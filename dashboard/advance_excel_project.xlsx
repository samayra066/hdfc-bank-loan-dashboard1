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Default Extension="1" ContentType="image/jpe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4DEB5201-107E-4F7A-8395-CDCAB0188489}" xr6:coauthVersionLast="36" xr6:coauthVersionMax="36" xr10:uidLastSave="{00000000-0000-0000-0000-000000000000}"/>
  <bookViews>
    <workbookView xWindow="0" yWindow="0" windowWidth="20490" windowHeight="7425" activeTab="5" xr2:uid="{00000000-000D-0000-FFFF-FFFF00000000}"/>
  </bookViews>
  <sheets>
    <sheet name="introduction" sheetId="4" r:id="rId1"/>
    <sheet name="data" sheetId="1" r:id="rId2"/>
    <sheet name="pivot table" sheetId="2" r:id="rId3"/>
    <sheet name="deshboard" sheetId="5" r:id="rId4"/>
    <sheet name="insights" sheetId="7" r:id="rId5"/>
    <sheet name="formula used " sheetId="9" r:id="rId6"/>
  </sheets>
  <definedNames>
    <definedName name="Slicer_City1">#N/A</definedName>
    <definedName name="Slicer_Loan_Type1">#N/A</definedName>
    <definedName name="Slicer_year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N4" i="1" l="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3" i="1"/>
  <c r="O3" i="1" s="1"/>
  <c r="A3" i="9"/>
  <c r="A12" i="9"/>
  <c r="A11" i="9"/>
  <c r="A10" i="9"/>
  <c r="A9" i="9"/>
  <c r="A4" i="9"/>
  <c r="A5" i="9"/>
  <c r="A6" i="9"/>
  <c r="A7" i="9"/>
  <c r="A8" i="9"/>
  <c r="J3" i="1" l="1"/>
  <c r="H3" i="1" s="1"/>
  <c r="A2" i="9"/>
  <c r="U4" i="1" l="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3" i="1"/>
  <c r="G4" i="1" l="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3" i="1"/>
  <c r="J6" i="1" l="1"/>
  <c r="H6" i="1" s="1"/>
  <c r="J7" i="1"/>
  <c r="H7" i="1" s="1"/>
  <c r="J8" i="1"/>
  <c r="H8" i="1" s="1"/>
  <c r="J9" i="1"/>
  <c r="H9" i="1" s="1"/>
  <c r="J10" i="1"/>
  <c r="H10" i="1" s="1"/>
  <c r="J11" i="1"/>
  <c r="H11" i="1" s="1"/>
  <c r="J12" i="1"/>
  <c r="H12" i="1" s="1"/>
  <c r="J13" i="1"/>
  <c r="H13" i="1" s="1"/>
  <c r="J14" i="1"/>
  <c r="H14" i="1" s="1"/>
  <c r="J15" i="1"/>
  <c r="H15" i="1" s="1"/>
  <c r="J16" i="1"/>
  <c r="H16" i="1" s="1"/>
  <c r="J17" i="1"/>
  <c r="H17" i="1" s="1"/>
  <c r="J18" i="1"/>
  <c r="H18" i="1" s="1"/>
  <c r="J19" i="1"/>
  <c r="H19" i="1" s="1"/>
  <c r="J20" i="1"/>
  <c r="H20" i="1" s="1"/>
  <c r="J21" i="1"/>
  <c r="H21" i="1" s="1"/>
  <c r="J22" i="1"/>
  <c r="H22" i="1" s="1"/>
  <c r="J23" i="1"/>
  <c r="H23" i="1" s="1"/>
  <c r="J24" i="1"/>
  <c r="H24" i="1" s="1"/>
  <c r="J25" i="1"/>
  <c r="H25" i="1" s="1"/>
  <c r="J26" i="1"/>
  <c r="H26" i="1" s="1"/>
  <c r="J27" i="1"/>
  <c r="H27" i="1" s="1"/>
  <c r="J28" i="1"/>
  <c r="H28" i="1" s="1"/>
  <c r="J29" i="1"/>
  <c r="H29" i="1" s="1"/>
  <c r="J30" i="1"/>
  <c r="H30" i="1" s="1"/>
  <c r="J31" i="1"/>
  <c r="H31" i="1" s="1"/>
  <c r="J32" i="1"/>
  <c r="H32" i="1" s="1"/>
  <c r="J33" i="1"/>
  <c r="H33" i="1" s="1"/>
  <c r="J34" i="1"/>
  <c r="H34" i="1" s="1"/>
  <c r="J35" i="1"/>
  <c r="H35" i="1" s="1"/>
  <c r="J36" i="1"/>
  <c r="H36" i="1" s="1"/>
  <c r="J37" i="1"/>
  <c r="H37" i="1" s="1"/>
  <c r="J38" i="1"/>
  <c r="H38" i="1" s="1"/>
  <c r="J39" i="1"/>
  <c r="H39" i="1" s="1"/>
  <c r="J40" i="1"/>
  <c r="H40" i="1" s="1"/>
  <c r="J41" i="1"/>
  <c r="H41" i="1" s="1"/>
  <c r="J42" i="1"/>
  <c r="H42" i="1" s="1"/>
  <c r="J43" i="1"/>
  <c r="H43" i="1" s="1"/>
  <c r="J44" i="1"/>
  <c r="H44" i="1" s="1"/>
  <c r="J45" i="1"/>
  <c r="H45" i="1" s="1"/>
  <c r="J46" i="1"/>
  <c r="H46" i="1" s="1"/>
  <c r="J47" i="1"/>
  <c r="H47" i="1" s="1"/>
  <c r="J48" i="1"/>
  <c r="H48" i="1" s="1"/>
  <c r="J49" i="1"/>
  <c r="H49" i="1" s="1"/>
  <c r="J50" i="1"/>
  <c r="H50" i="1" s="1"/>
  <c r="J51" i="1"/>
  <c r="H51" i="1" s="1"/>
  <c r="J52" i="1"/>
  <c r="H52" i="1" s="1"/>
  <c r="J53" i="1"/>
  <c r="H53" i="1" s="1"/>
  <c r="J54" i="1"/>
  <c r="H54" i="1" s="1"/>
  <c r="J55" i="1"/>
  <c r="H55" i="1" s="1"/>
  <c r="J56" i="1"/>
  <c r="H56" i="1" s="1"/>
  <c r="J57" i="1"/>
  <c r="H57" i="1" s="1"/>
  <c r="J58" i="1"/>
  <c r="H58" i="1" s="1"/>
  <c r="J59" i="1"/>
  <c r="H59" i="1" s="1"/>
  <c r="J60" i="1"/>
  <c r="H60" i="1" s="1"/>
  <c r="J61" i="1"/>
  <c r="H61" i="1" s="1"/>
  <c r="J62" i="1"/>
  <c r="H62" i="1" s="1"/>
  <c r="J63" i="1"/>
  <c r="H63" i="1" s="1"/>
  <c r="J64" i="1"/>
  <c r="H64" i="1" s="1"/>
  <c r="J65" i="1"/>
  <c r="H65" i="1" s="1"/>
  <c r="J66" i="1"/>
  <c r="H66" i="1" s="1"/>
  <c r="J67" i="1"/>
  <c r="H67" i="1" s="1"/>
  <c r="J68" i="1"/>
  <c r="H68" i="1" s="1"/>
  <c r="J69" i="1"/>
  <c r="H69" i="1" s="1"/>
  <c r="J70" i="1"/>
  <c r="H70" i="1" s="1"/>
  <c r="J71" i="1"/>
  <c r="H71" i="1" s="1"/>
  <c r="J72" i="1"/>
  <c r="H72" i="1" s="1"/>
  <c r="J73" i="1"/>
  <c r="H73" i="1" s="1"/>
  <c r="J74" i="1"/>
  <c r="H74" i="1" s="1"/>
  <c r="J75" i="1"/>
  <c r="H75" i="1" s="1"/>
  <c r="J76" i="1"/>
  <c r="H76" i="1" s="1"/>
  <c r="J77" i="1"/>
  <c r="H77" i="1" s="1"/>
  <c r="J78" i="1"/>
  <c r="H78" i="1" s="1"/>
  <c r="J79" i="1"/>
  <c r="H79" i="1" s="1"/>
  <c r="J80" i="1"/>
  <c r="H80" i="1" s="1"/>
  <c r="J81" i="1"/>
  <c r="H81" i="1" s="1"/>
  <c r="J82" i="1"/>
  <c r="H82" i="1" s="1"/>
  <c r="J83" i="1"/>
  <c r="H83" i="1" s="1"/>
  <c r="J84" i="1"/>
  <c r="H84" i="1" s="1"/>
  <c r="J85" i="1"/>
  <c r="H85" i="1" s="1"/>
  <c r="J86" i="1"/>
  <c r="H86" i="1" s="1"/>
  <c r="J87" i="1"/>
  <c r="H87" i="1" s="1"/>
  <c r="J88" i="1"/>
  <c r="H88" i="1" s="1"/>
  <c r="J89" i="1"/>
  <c r="H89" i="1" s="1"/>
  <c r="J90" i="1"/>
  <c r="H90" i="1" s="1"/>
  <c r="J91" i="1"/>
  <c r="H91" i="1" s="1"/>
  <c r="J92" i="1"/>
  <c r="H92" i="1" s="1"/>
  <c r="J93" i="1"/>
  <c r="H93" i="1" s="1"/>
  <c r="J94" i="1"/>
  <c r="H94" i="1" s="1"/>
  <c r="J95" i="1"/>
  <c r="H95" i="1" s="1"/>
  <c r="J96" i="1"/>
  <c r="H96" i="1" s="1"/>
  <c r="J97" i="1"/>
  <c r="H97" i="1" s="1"/>
  <c r="J98" i="1"/>
  <c r="H98" i="1" s="1"/>
  <c r="J99" i="1"/>
  <c r="H99" i="1" s="1"/>
  <c r="J100" i="1"/>
  <c r="H100" i="1" s="1"/>
  <c r="J101" i="1"/>
  <c r="H101" i="1" s="1"/>
  <c r="J102" i="1"/>
  <c r="H102" i="1" s="1"/>
  <c r="J103" i="1"/>
  <c r="H103" i="1" s="1"/>
  <c r="J104" i="1"/>
  <c r="H104" i="1" s="1"/>
  <c r="J105" i="1"/>
  <c r="H105" i="1" s="1"/>
  <c r="J106" i="1"/>
  <c r="H106" i="1" s="1"/>
  <c r="J107" i="1"/>
  <c r="H107" i="1" s="1"/>
  <c r="J108" i="1"/>
  <c r="H108" i="1" s="1"/>
  <c r="J109" i="1"/>
  <c r="H109" i="1" s="1"/>
  <c r="J110" i="1"/>
  <c r="H110" i="1" s="1"/>
  <c r="J111" i="1"/>
  <c r="H111" i="1" s="1"/>
  <c r="J112" i="1"/>
  <c r="H112" i="1" s="1"/>
  <c r="J113" i="1"/>
  <c r="H113" i="1" s="1"/>
  <c r="J114" i="1"/>
  <c r="H114" i="1" s="1"/>
  <c r="J115" i="1"/>
  <c r="H115" i="1" s="1"/>
  <c r="J116" i="1"/>
  <c r="H116" i="1" s="1"/>
  <c r="J117" i="1"/>
  <c r="H117" i="1" s="1"/>
  <c r="J118" i="1"/>
  <c r="H118" i="1" s="1"/>
  <c r="J119" i="1"/>
  <c r="H119" i="1" s="1"/>
  <c r="J120" i="1"/>
  <c r="H120" i="1" s="1"/>
  <c r="J121" i="1"/>
  <c r="H121" i="1" s="1"/>
  <c r="J122" i="1"/>
  <c r="H122" i="1" s="1"/>
  <c r="J123" i="1"/>
  <c r="H123" i="1" s="1"/>
  <c r="J124" i="1"/>
  <c r="H124" i="1" s="1"/>
  <c r="J125" i="1"/>
  <c r="H125" i="1" s="1"/>
  <c r="J126" i="1"/>
  <c r="H126" i="1" s="1"/>
  <c r="J127" i="1"/>
  <c r="H127" i="1" s="1"/>
  <c r="J128" i="1"/>
  <c r="H128" i="1" s="1"/>
  <c r="J129" i="1"/>
  <c r="H129" i="1" s="1"/>
  <c r="J130" i="1"/>
  <c r="H130" i="1" s="1"/>
  <c r="J131" i="1"/>
  <c r="H131" i="1" s="1"/>
  <c r="J132" i="1"/>
  <c r="H132" i="1" s="1"/>
  <c r="J133" i="1"/>
  <c r="H133" i="1" s="1"/>
  <c r="J134" i="1"/>
  <c r="H134" i="1" s="1"/>
  <c r="J135" i="1"/>
  <c r="H135" i="1" s="1"/>
  <c r="J136" i="1"/>
  <c r="H136" i="1" s="1"/>
  <c r="J137" i="1"/>
  <c r="H137" i="1" s="1"/>
  <c r="J138" i="1"/>
  <c r="H138" i="1" s="1"/>
  <c r="J139" i="1"/>
  <c r="H139" i="1" s="1"/>
  <c r="J140" i="1"/>
  <c r="H140" i="1" s="1"/>
  <c r="J141" i="1"/>
  <c r="H141" i="1" s="1"/>
  <c r="J142" i="1"/>
  <c r="H142" i="1" s="1"/>
  <c r="J143" i="1"/>
  <c r="H143" i="1" s="1"/>
  <c r="J144" i="1"/>
  <c r="H144" i="1" s="1"/>
  <c r="J145" i="1"/>
  <c r="H145" i="1" s="1"/>
  <c r="J146" i="1"/>
  <c r="H146" i="1" s="1"/>
  <c r="J147" i="1"/>
  <c r="H147" i="1" s="1"/>
  <c r="J148" i="1"/>
  <c r="H148" i="1" s="1"/>
  <c r="J149" i="1"/>
  <c r="H149" i="1" s="1"/>
  <c r="J150" i="1"/>
  <c r="H150" i="1" s="1"/>
  <c r="J151" i="1"/>
  <c r="H151" i="1" s="1"/>
  <c r="J152" i="1"/>
  <c r="H152" i="1" s="1"/>
  <c r="J153" i="1"/>
  <c r="H153" i="1" s="1"/>
  <c r="J154" i="1"/>
  <c r="H154" i="1" s="1"/>
  <c r="J155" i="1"/>
  <c r="H155" i="1" s="1"/>
  <c r="J156" i="1"/>
  <c r="H156" i="1" s="1"/>
  <c r="J157" i="1"/>
  <c r="H157" i="1" s="1"/>
  <c r="J158" i="1"/>
  <c r="H158" i="1" s="1"/>
  <c r="J159" i="1"/>
  <c r="H159" i="1" s="1"/>
  <c r="J160" i="1"/>
  <c r="H160" i="1" s="1"/>
  <c r="J161" i="1"/>
  <c r="H161" i="1" s="1"/>
  <c r="J162" i="1"/>
  <c r="H162" i="1" s="1"/>
  <c r="J163" i="1"/>
  <c r="H163" i="1" s="1"/>
  <c r="J164" i="1"/>
  <c r="H164" i="1" s="1"/>
  <c r="J165" i="1"/>
  <c r="H165" i="1" s="1"/>
  <c r="J166" i="1"/>
  <c r="H166" i="1" s="1"/>
  <c r="J167" i="1"/>
  <c r="H167" i="1" s="1"/>
  <c r="J168" i="1"/>
  <c r="H168" i="1" s="1"/>
  <c r="J169" i="1"/>
  <c r="H169" i="1" s="1"/>
  <c r="J170" i="1"/>
  <c r="H170" i="1" s="1"/>
  <c r="J171" i="1"/>
  <c r="H171" i="1" s="1"/>
  <c r="J172" i="1"/>
  <c r="H172" i="1" s="1"/>
  <c r="J173" i="1"/>
  <c r="H173" i="1" s="1"/>
  <c r="J174" i="1"/>
  <c r="H174" i="1" s="1"/>
  <c r="J175" i="1"/>
  <c r="H175" i="1" s="1"/>
  <c r="J176" i="1"/>
  <c r="H176" i="1" s="1"/>
  <c r="J177" i="1"/>
  <c r="H177" i="1" s="1"/>
  <c r="J178" i="1"/>
  <c r="H178" i="1" s="1"/>
  <c r="J179" i="1"/>
  <c r="H179" i="1" s="1"/>
  <c r="J180" i="1"/>
  <c r="H180" i="1" s="1"/>
  <c r="J181" i="1"/>
  <c r="H181" i="1" s="1"/>
  <c r="J182" i="1"/>
  <c r="H182" i="1" s="1"/>
  <c r="J183" i="1"/>
  <c r="H183" i="1" s="1"/>
  <c r="J184" i="1"/>
  <c r="H184" i="1" s="1"/>
  <c r="J185" i="1"/>
  <c r="H185" i="1" s="1"/>
  <c r="J186" i="1"/>
  <c r="H186" i="1" s="1"/>
  <c r="J187" i="1"/>
  <c r="H187" i="1" s="1"/>
  <c r="J188" i="1"/>
  <c r="H188" i="1" s="1"/>
  <c r="J189" i="1"/>
  <c r="H189" i="1" s="1"/>
  <c r="J190" i="1"/>
  <c r="H190" i="1" s="1"/>
  <c r="J191" i="1"/>
  <c r="H191" i="1" s="1"/>
  <c r="J192" i="1"/>
  <c r="H192" i="1" s="1"/>
  <c r="J193" i="1"/>
  <c r="H193" i="1" s="1"/>
  <c r="J194" i="1"/>
  <c r="H194" i="1" s="1"/>
  <c r="J195" i="1"/>
  <c r="H195" i="1" s="1"/>
  <c r="J196" i="1"/>
  <c r="H196" i="1" s="1"/>
  <c r="J197" i="1"/>
  <c r="H197" i="1" s="1"/>
  <c r="J198" i="1"/>
  <c r="H198" i="1" s="1"/>
  <c r="J199" i="1"/>
  <c r="H199" i="1" s="1"/>
  <c r="J200" i="1"/>
  <c r="H200" i="1" s="1"/>
  <c r="J201" i="1"/>
  <c r="H201" i="1" s="1"/>
  <c r="J202" i="1"/>
  <c r="H202" i="1" s="1"/>
  <c r="J203" i="1"/>
  <c r="H203" i="1" s="1"/>
  <c r="J204" i="1"/>
  <c r="H204" i="1" s="1"/>
  <c r="J205" i="1"/>
  <c r="H205" i="1" s="1"/>
  <c r="J206" i="1"/>
  <c r="H206" i="1" s="1"/>
  <c r="J207" i="1"/>
  <c r="H207" i="1" s="1"/>
  <c r="J208" i="1"/>
  <c r="H208" i="1" s="1"/>
  <c r="J209" i="1"/>
  <c r="H209" i="1" s="1"/>
  <c r="J210" i="1"/>
  <c r="H210" i="1" s="1"/>
  <c r="J211" i="1"/>
  <c r="H211" i="1" s="1"/>
  <c r="J212" i="1"/>
  <c r="H212" i="1" s="1"/>
  <c r="J213" i="1"/>
  <c r="H213" i="1" s="1"/>
  <c r="J214" i="1"/>
  <c r="H214" i="1" s="1"/>
  <c r="J215" i="1"/>
  <c r="H215" i="1" s="1"/>
  <c r="J216" i="1"/>
  <c r="H216" i="1" s="1"/>
  <c r="J217" i="1"/>
  <c r="H217" i="1" s="1"/>
  <c r="J218" i="1"/>
  <c r="H218" i="1" s="1"/>
  <c r="J219" i="1"/>
  <c r="H219" i="1" s="1"/>
  <c r="J220" i="1"/>
  <c r="H220" i="1" s="1"/>
  <c r="J221" i="1"/>
  <c r="H221" i="1" s="1"/>
  <c r="J222" i="1"/>
  <c r="H222" i="1" s="1"/>
  <c r="J223" i="1"/>
  <c r="H223" i="1" s="1"/>
  <c r="J224" i="1"/>
  <c r="H224" i="1" s="1"/>
  <c r="J225" i="1"/>
  <c r="H225" i="1" s="1"/>
  <c r="J226" i="1"/>
  <c r="H226" i="1" s="1"/>
  <c r="J227" i="1"/>
  <c r="H227" i="1" s="1"/>
  <c r="J228" i="1"/>
  <c r="H228" i="1" s="1"/>
  <c r="J229" i="1"/>
  <c r="H229" i="1" s="1"/>
  <c r="J230" i="1"/>
  <c r="H230" i="1" s="1"/>
  <c r="J231" i="1"/>
  <c r="H231" i="1" s="1"/>
  <c r="J232" i="1"/>
  <c r="H232" i="1" s="1"/>
  <c r="J233" i="1"/>
  <c r="H233" i="1" s="1"/>
  <c r="J234" i="1"/>
  <c r="H234" i="1" s="1"/>
  <c r="J235" i="1"/>
  <c r="H235" i="1" s="1"/>
  <c r="J236" i="1"/>
  <c r="H236" i="1" s="1"/>
  <c r="J237" i="1"/>
  <c r="H237" i="1" s="1"/>
  <c r="J238" i="1"/>
  <c r="H238" i="1" s="1"/>
  <c r="J239" i="1"/>
  <c r="H239" i="1" s="1"/>
  <c r="J240" i="1"/>
  <c r="H240" i="1" s="1"/>
  <c r="J241" i="1"/>
  <c r="H241" i="1" s="1"/>
  <c r="J242" i="1"/>
  <c r="H242" i="1" s="1"/>
  <c r="J243" i="1"/>
  <c r="H243" i="1" s="1"/>
  <c r="J244" i="1"/>
  <c r="H244" i="1" s="1"/>
  <c r="J245" i="1"/>
  <c r="H245" i="1" s="1"/>
  <c r="J246" i="1"/>
  <c r="H246" i="1" s="1"/>
  <c r="J247" i="1"/>
  <c r="H247" i="1" s="1"/>
  <c r="J248" i="1"/>
  <c r="H248" i="1" s="1"/>
  <c r="J249" i="1"/>
  <c r="H249" i="1" s="1"/>
  <c r="J250" i="1"/>
  <c r="H250" i="1" s="1"/>
  <c r="J251" i="1"/>
  <c r="H251" i="1" s="1"/>
  <c r="J252" i="1"/>
  <c r="H252" i="1" s="1"/>
  <c r="J253" i="1"/>
  <c r="H253" i="1" s="1"/>
  <c r="J254" i="1"/>
  <c r="H254" i="1" s="1"/>
  <c r="J255" i="1"/>
  <c r="H255" i="1" s="1"/>
  <c r="J256" i="1"/>
  <c r="H256" i="1" s="1"/>
  <c r="J257" i="1"/>
  <c r="H257" i="1" s="1"/>
  <c r="J258" i="1"/>
  <c r="H258" i="1" s="1"/>
  <c r="J259" i="1"/>
  <c r="H259" i="1" s="1"/>
  <c r="J260" i="1"/>
  <c r="H260" i="1" s="1"/>
  <c r="J261" i="1"/>
  <c r="H261" i="1" s="1"/>
  <c r="J262" i="1"/>
  <c r="H262" i="1" s="1"/>
  <c r="J263" i="1"/>
  <c r="H263" i="1" s="1"/>
  <c r="J264" i="1"/>
  <c r="H264" i="1" s="1"/>
  <c r="J265" i="1"/>
  <c r="H265" i="1" s="1"/>
  <c r="J266" i="1"/>
  <c r="H266" i="1" s="1"/>
  <c r="J267" i="1"/>
  <c r="H267" i="1" s="1"/>
  <c r="J268" i="1"/>
  <c r="H268" i="1" s="1"/>
  <c r="J269" i="1"/>
  <c r="H269" i="1" s="1"/>
  <c r="J270" i="1"/>
  <c r="H270" i="1" s="1"/>
  <c r="J271" i="1"/>
  <c r="H271" i="1" s="1"/>
  <c r="J272" i="1"/>
  <c r="H272" i="1" s="1"/>
  <c r="J273" i="1"/>
  <c r="H273" i="1" s="1"/>
  <c r="J274" i="1"/>
  <c r="H274" i="1" s="1"/>
  <c r="J275" i="1"/>
  <c r="H275" i="1" s="1"/>
  <c r="J276" i="1"/>
  <c r="H276" i="1" s="1"/>
  <c r="J277" i="1"/>
  <c r="H277" i="1" s="1"/>
  <c r="J278" i="1"/>
  <c r="H278" i="1" s="1"/>
  <c r="J279" i="1"/>
  <c r="H279" i="1" s="1"/>
  <c r="J280" i="1"/>
  <c r="H280" i="1" s="1"/>
  <c r="J281" i="1"/>
  <c r="H281" i="1" s="1"/>
  <c r="J282" i="1"/>
  <c r="H282" i="1" s="1"/>
  <c r="J283" i="1"/>
  <c r="H283" i="1" s="1"/>
  <c r="J284" i="1"/>
  <c r="H284" i="1" s="1"/>
  <c r="J285" i="1"/>
  <c r="H285" i="1" s="1"/>
  <c r="J286" i="1"/>
  <c r="H286" i="1" s="1"/>
  <c r="J287" i="1"/>
  <c r="H287" i="1" s="1"/>
  <c r="J288" i="1"/>
  <c r="H288" i="1" s="1"/>
  <c r="J289" i="1"/>
  <c r="H289" i="1" s="1"/>
  <c r="J290" i="1"/>
  <c r="H290" i="1" s="1"/>
  <c r="J291" i="1"/>
  <c r="H291" i="1" s="1"/>
  <c r="J292" i="1"/>
  <c r="H292" i="1" s="1"/>
  <c r="J293" i="1"/>
  <c r="H293" i="1" s="1"/>
  <c r="J294" i="1"/>
  <c r="H294" i="1" s="1"/>
  <c r="J295" i="1"/>
  <c r="H295" i="1" s="1"/>
  <c r="J296" i="1"/>
  <c r="H296" i="1" s="1"/>
  <c r="J297" i="1"/>
  <c r="H297" i="1" s="1"/>
  <c r="J298" i="1"/>
  <c r="H298" i="1" s="1"/>
  <c r="J299" i="1"/>
  <c r="H299" i="1" s="1"/>
  <c r="J300" i="1"/>
  <c r="H300" i="1" s="1"/>
  <c r="J301" i="1"/>
  <c r="H301" i="1" s="1"/>
  <c r="J302" i="1"/>
  <c r="H302" i="1" s="1"/>
  <c r="J303" i="1"/>
  <c r="H303" i="1" s="1"/>
  <c r="J304" i="1"/>
  <c r="H304" i="1" s="1"/>
  <c r="J305" i="1"/>
  <c r="H305" i="1" s="1"/>
  <c r="J306" i="1"/>
  <c r="H306" i="1" s="1"/>
  <c r="J307" i="1"/>
  <c r="H307" i="1" s="1"/>
  <c r="J308" i="1"/>
  <c r="H308" i="1" s="1"/>
  <c r="J309" i="1"/>
  <c r="H309" i="1" s="1"/>
  <c r="J310" i="1"/>
  <c r="H310" i="1" s="1"/>
  <c r="J311" i="1"/>
  <c r="H311" i="1" s="1"/>
  <c r="J312" i="1"/>
  <c r="H312" i="1" s="1"/>
  <c r="J313" i="1"/>
  <c r="H313" i="1" s="1"/>
  <c r="J314" i="1"/>
  <c r="H314" i="1" s="1"/>
  <c r="J315" i="1"/>
  <c r="H315" i="1" s="1"/>
  <c r="J316" i="1"/>
  <c r="H316" i="1" s="1"/>
  <c r="J317" i="1"/>
  <c r="H317" i="1" s="1"/>
  <c r="J318" i="1"/>
  <c r="H318" i="1" s="1"/>
  <c r="J319" i="1"/>
  <c r="H319" i="1" s="1"/>
  <c r="J320" i="1"/>
  <c r="H320" i="1" s="1"/>
  <c r="J321" i="1"/>
  <c r="H321" i="1" s="1"/>
  <c r="J322" i="1"/>
  <c r="H322" i="1" s="1"/>
  <c r="J323" i="1"/>
  <c r="H323" i="1" s="1"/>
  <c r="J324" i="1"/>
  <c r="H324" i="1" s="1"/>
  <c r="J325" i="1"/>
  <c r="H325" i="1" s="1"/>
  <c r="J326" i="1"/>
  <c r="H326" i="1" s="1"/>
  <c r="J327" i="1"/>
  <c r="H327" i="1" s="1"/>
  <c r="J328" i="1"/>
  <c r="H328" i="1" s="1"/>
  <c r="J329" i="1"/>
  <c r="H329" i="1" s="1"/>
  <c r="J330" i="1"/>
  <c r="H330" i="1" s="1"/>
  <c r="J331" i="1"/>
  <c r="H331" i="1" s="1"/>
  <c r="J332" i="1"/>
  <c r="H332" i="1" s="1"/>
  <c r="J333" i="1"/>
  <c r="H333" i="1" s="1"/>
  <c r="J334" i="1"/>
  <c r="H334" i="1" s="1"/>
  <c r="J335" i="1"/>
  <c r="H335" i="1" s="1"/>
  <c r="J336" i="1"/>
  <c r="H336" i="1" s="1"/>
  <c r="J337" i="1"/>
  <c r="H337" i="1" s="1"/>
  <c r="J338" i="1"/>
  <c r="H338" i="1" s="1"/>
  <c r="J339" i="1"/>
  <c r="H339" i="1" s="1"/>
  <c r="J340" i="1"/>
  <c r="H340" i="1" s="1"/>
  <c r="J341" i="1"/>
  <c r="H341" i="1" s="1"/>
  <c r="J342" i="1"/>
  <c r="H342" i="1" s="1"/>
  <c r="J343" i="1"/>
  <c r="H343" i="1" s="1"/>
  <c r="J344" i="1"/>
  <c r="H344" i="1" s="1"/>
  <c r="J345" i="1"/>
  <c r="H345" i="1" s="1"/>
  <c r="J346" i="1"/>
  <c r="H346" i="1" s="1"/>
  <c r="J347" i="1"/>
  <c r="H347" i="1" s="1"/>
  <c r="J348" i="1"/>
  <c r="H348" i="1" s="1"/>
  <c r="J349" i="1"/>
  <c r="H349" i="1" s="1"/>
  <c r="J350" i="1"/>
  <c r="H350" i="1" s="1"/>
  <c r="J351" i="1"/>
  <c r="H351" i="1" s="1"/>
  <c r="J352" i="1"/>
  <c r="H352" i="1" s="1"/>
  <c r="J353" i="1"/>
  <c r="H353" i="1" s="1"/>
  <c r="J354" i="1"/>
  <c r="H354" i="1" s="1"/>
  <c r="J355" i="1"/>
  <c r="H355" i="1" s="1"/>
  <c r="J356" i="1"/>
  <c r="H356" i="1" s="1"/>
  <c r="J357" i="1"/>
  <c r="H357" i="1" s="1"/>
  <c r="J358" i="1"/>
  <c r="H358" i="1" s="1"/>
  <c r="J359" i="1"/>
  <c r="H359" i="1" s="1"/>
  <c r="J360" i="1"/>
  <c r="H360" i="1" s="1"/>
  <c r="J361" i="1"/>
  <c r="H361" i="1" s="1"/>
  <c r="J362" i="1"/>
  <c r="H362" i="1" s="1"/>
  <c r="J363" i="1"/>
  <c r="H363" i="1" s="1"/>
  <c r="J364" i="1"/>
  <c r="H364" i="1" s="1"/>
  <c r="J365" i="1"/>
  <c r="H365" i="1" s="1"/>
  <c r="J366" i="1"/>
  <c r="H366" i="1" s="1"/>
  <c r="J367" i="1"/>
  <c r="H367" i="1" s="1"/>
  <c r="J368" i="1"/>
  <c r="H368" i="1" s="1"/>
  <c r="J369" i="1"/>
  <c r="H369" i="1" s="1"/>
  <c r="J370" i="1"/>
  <c r="H370" i="1" s="1"/>
  <c r="J371" i="1"/>
  <c r="H371" i="1" s="1"/>
  <c r="J372" i="1"/>
  <c r="H372" i="1" s="1"/>
  <c r="J373" i="1"/>
  <c r="H373" i="1" s="1"/>
  <c r="J374" i="1"/>
  <c r="H374" i="1" s="1"/>
  <c r="J375" i="1"/>
  <c r="H375" i="1" s="1"/>
  <c r="J376" i="1"/>
  <c r="H376" i="1" s="1"/>
  <c r="J377" i="1"/>
  <c r="H377" i="1" s="1"/>
  <c r="J378" i="1"/>
  <c r="H378" i="1" s="1"/>
  <c r="J379" i="1"/>
  <c r="H379" i="1" s="1"/>
  <c r="J380" i="1"/>
  <c r="H380" i="1" s="1"/>
  <c r="J381" i="1"/>
  <c r="H381" i="1" s="1"/>
  <c r="J382" i="1"/>
  <c r="H382" i="1" s="1"/>
  <c r="J383" i="1"/>
  <c r="H383" i="1" s="1"/>
  <c r="J384" i="1"/>
  <c r="H384" i="1" s="1"/>
  <c r="J385" i="1"/>
  <c r="H385" i="1" s="1"/>
  <c r="J386" i="1"/>
  <c r="H386" i="1" s="1"/>
  <c r="J387" i="1"/>
  <c r="H387" i="1" s="1"/>
  <c r="J388" i="1"/>
  <c r="H388" i="1" s="1"/>
  <c r="J389" i="1"/>
  <c r="H389" i="1" s="1"/>
  <c r="J390" i="1"/>
  <c r="H390" i="1" s="1"/>
  <c r="J391" i="1"/>
  <c r="H391" i="1" s="1"/>
  <c r="J392" i="1"/>
  <c r="H392" i="1" s="1"/>
  <c r="J393" i="1"/>
  <c r="H393" i="1" s="1"/>
  <c r="J394" i="1"/>
  <c r="H394" i="1" s="1"/>
  <c r="J395" i="1"/>
  <c r="H395" i="1" s="1"/>
  <c r="J396" i="1"/>
  <c r="H396" i="1" s="1"/>
  <c r="J397" i="1"/>
  <c r="H397" i="1" s="1"/>
  <c r="J398" i="1"/>
  <c r="H398" i="1" s="1"/>
  <c r="J399" i="1"/>
  <c r="H399" i="1" s="1"/>
  <c r="J400" i="1"/>
  <c r="H400" i="1" s="1"/>
  <c r="J401" i="1"/>
  <c r="H401" i="1" s="1"/>
  <c r="J402" i="1"/>
  <c r="H402" i="1" s="1"/>
  <c r="J403" i="1"/>
  <c r="H403" i="1" s="1"/>
  <c r="J404" i="1"/>
  <c r="H404" i="1" s="1"/>
  <c r="J405" i="1"/>
  <c r="H405" i="1" s="1"/>
  <c r="J406" i="1"/>
  <c r="H406" i="1" s="1"/>
  <c r="J407" i="1"/>
  <c r="H407" i="1" s="1"/>
  <c r="J408" i="1"/>
  <c r="H408" i="1" s="1"/>
  <c r="J409" i="1"/>
  <c r="H409" i="1" s="1"/>
  <c r="J410" i="1"/>
  <c r="H410" i="1" s="1"/>
  <c r="J411" i="1"/>
  <c r="H411" i="1" s="1"/>
  <c r="J412" i="1"/>
  <c r="H412" i="1" s="1"/>
  <c r="J413" i="1"/>
  <c r="H413" i="1" s="1"/>
  <c r="J414" i="1"/>
  <c r="H414" i="1" s="1"/>
  <c r="J415" i="1"/>
  <c r="H415" i="1" s="1"/>
  <c r="J416" i="1"/>
  <c r="H416" i="1" s="1"/>
  <c r="J417" i="1"/>
  <c r="H417" i="1" s="1"/>
  <c r="J418" i="1"/>
  <c r="H418" i="1" s="1"/>
  <c r="J419" i="1"/>
  <c r="H419" i="1" s="1"/>
  <c r="J420" i="1"/>
  <c r="H420" i="1" s="1"/>
  <c r="J421" i="1"/>
  <c r="H421" i="1" s="1"/>
  <c r="J422" i="1"/>
  <c r="H422" i="1" s="1"/>
  <c r="J423" i="1"/>
  <c r="H423" i="1" s="1"/>
  <c r="J424" i="1"/>
  <c r="H424" i="1" s="1"/>
  <c r="J425" i="1"/>
  <c r="H425" i="1" s="1"/>
  <c r="J426" i="1"/>
  <c r="H426" i="1" s="1"/>
  <c r="J427" i="1"/>
  <c r="H427" i="1" s="1"/>
  <c r="J428" i="1"/>
  <c r="H428" i="1" s="1"/>
  <c r="J429" i="1"/>
  <c r="H429" i="1" s="1"/>
  <c r="J430" i="1"/>
  <c r="H430" i="1" s="1"/>
  <c r="J431" i="1"/>
  <c r="H431" i="1" s="1"/>
  <c r="J432" i="1"/>
  <c r="H432" i="1" s="1"/>
  <c r="J433" i="1"/>
  <c r="H433" i="1" s="1"/>
  <c r="J434" i="1"/>
  <c r="H434" i="1" s="1"/>
  <c r="J435" i="1"/>
  <c r="H435" i="1" s="1"/>
  <c r="J436" i="1"/>
  <c r="H436" i="1" s="1"/>
  <c r="J437" i="1"/>
  <c r="H437" i="1" s="1"/>
  <c r="J438" i="1"/>
  <c r="H438" i="1" s="1"/>
  <c r="J439" i="1"/>
  <c r="H439" i="1" s="1"/>
  <c r="J440" i="1"/>
  <c r="H440" i="1" s="1"/>
  <c r="J441" i="1"/>
  <c r="H441" i="1" s="1"/>
  <c r="J442" i="1"/>
  <c r="H442" i="1" s="1"/>
  <c r="J443" i="1"/>
  <c r="H443" i="1" s="1"/>
  <c r="J444" i="1"/>
  <c r="H444" i="1" s="1"/>
  <c r="J445" i="1"/>
  <c r="H445" i="1" s="1"/>
  <c r="J446" i="1"/>
  <c r="H446" i="1" s="1"/>
  <c r="J447" i="1"/>
  <c r="H447" i="1" s="1"/>
  <c r="J448" i="1"/>
  <c r="H448" i="1" s="1"/>
  <c r="J449" i="1"/>
  <c r="H449" i="1" s="1"/>
  <c r="J450" i="1"/>
  <c r="H450" i="1" s="1"/>
  <c r="J451" i="1"/>
  <c r="H451" i="1" s="1"/>
  <c r="J452" i="1"/>
  <c r="H452" i="1" s="1"/>
  <c r="J453" i="1"/>
  <c r="H453" i="1" s="1"/>
  <c r="J454" i="1"/>
  <c r="H454" i="1" s="1"/>
  <c r="J455" i="1"/>
  <c r="H455" i="1" s="1"/>
  <c r="J456" i="1"/>
  <c r="H456" i="1" s="1"/>
  <c r="J457" i="1"/>
  <c r="H457" i="1" s="1"/>
  <c r="J458" i="1"/>
  <c r="H458" i="1" s="1"/>
  <c r="J459" i="1"/>
  <c r="H459" i="1" s="1"/>
  <c r="J460" i="1"/>
  <c r="H460" i="1" s="1"/>
  <c r="J461" i="1"/>
  <c r="H461" i="1" s="1"/>
  <c r="J462" i="1"/>
  <c r="H462" i="1" s="1"/>
  <c r="J463" i="1"/>
  <c r="H463" i="1" s="1"/>
  <c r="J464" i="1"/>
  <c r="H464" i="1" s="1"/>
  <c r="J465" i="1"/>
  <c r="H465" i="1" s="1"/>
  <c r="J466" i="1"/>
  <c r="H466" i="1" s="1"/>
  <c r="J467" i="1"/>
  <c r="H467" i="1" s="1"/>
  <c r="J468" i="1"/>
  <c r="H468" i="1" s="1"/>
  <c r="J469" i="1"/>
  <c r="H469" i="1" s="1"/>
  <c r="J470" i="1"/>
  <c r="H470" i="1" s="1"/>
  <c r="J471" i="1"/>
  <c r="H471" i="1" s="1"/>
  <c r="J472" i="1"/>
  <c r="H472" i="1" s="1"/>
  <c r="J473" i="1"/>
  <c r="H473" i="1" s="1"/>
  <c r="J474" i="1"/>
  <c r="H474" i="1" s="1"/>
  <c r="J475" i="1"/>
  <c r="H475" i="1" s="1"/>
  <c r="J476" i="1"/>
  <c r="H476" i="1" s="1"/>
  <c r="J477" i="1"/>
  <c r="H477" i="1" s="1"/>
  <c r="J478" i="1"/>
  <c r="H478" i="1" s="1"/>
  <c r="J479" i="1"/>
  <c r="H479" i="1" s="1"/>
  <c r="J480" i="1"/>
  <c r="H480" i="1" s="1"/>
  <c r="J481" i="1"/>
  <c r="H481" i="1" s="1"/>
  <c r="J482" i="1"/>
  <c r="H482" i="1" s="1"/>
  <c r="J483" i="1"/>
  <c r="H483" i="1" s="1"/>
  <c r="J484" i="1"/>
  <c r="H484" i="1" s="1"/>
  <c r="J485" i="1"/>
  <c r="H485" i="1" s="1"/>
  <c r="J486" i="1"/>
  <c r="H486" i="1" s="1"/>
  <c r="J487" i="1"/>
  <c r="H487" i="1" s="1"/>
  <c r="J488" i="1"/>
  <c r="H488" i="1" s="1"/>
  <c r="J489" i="1"/>
  <c r="H489" i="1" s="1"/>
  <c r="J490" i="1"/>
  <c r="H490" i="1" s="1"/>
  <c r="J491" i="1"/>
  <c r="H491" i="1" s="1"/>
  <c r="J492" i="1"/>
  <c r="H492" i="1" s="1"/>
  <c r="J493" i="1"/>
  <c r="H493" i="1" s="1"/>
  <c r="J494" i="1"/>
  <c r="H494" i="1" s="1"/>
  <c r="J495" i="1"/>
  <c r="H495" i="1" s="1"/>
  <c r="J496" i="1"/>
  <c r="H496" i="1" s="1"/>
  <c r="J497" i="1"/>
  <c r="H497" i="1" s="1"/>
  <c r="J498" i="1"/>
  <c r="H498" i="1" s="1"/>
  <c r="J499" i="1"/>
  <c r="H499" i="1" s="1"/>
  <c r="J500" i="1"/>
  <c r="H500" i="1" s="1"/>
  <c r="J501" i="1"/>
  <c r="H501" i="1" s="1"/>
  <c r="J502" i="1"/>
  <c r="H502" i="1" s="1"/>
  <c r="J503" i="1"/>
  <c r="H503" i="1" s="1"/>
  <c r="J504" i="1"/>
  <c r="H504" i="1" s="1"/>
  <c r="J505" i="1"/>
  <c r="H505" i="1" s="1"/>
  <c r="J506" i="1"/>
  <c r="H506" i="1" s="1"/>
  <c r="J507" i="1"/>
  <c r="H507" i="1" s="1"/>
  <c r="J508" i="1"/>
  <c r="H508" i="1" s="1"/>
  <c r="J509" i="1"/>
  <c r="H509" i="1" s="1"/>
  <c r="J510" i="1"/>
  <c r="H510" i="1" s="1"/>
  <c r="J511" i="1"/>
  <c r="H511" i="1" s="1"/>
  <c r="J512" i="1"/>
  <c r="H512" i="1" s="1"/>
  <c r="J513" i="1"/>
  <c r="H513" i="1" s="1"/>
  <c r="J514" i="1"/>
  <c r="H514" i="1" s="1"/>
  <c r="J515" i="1"/>
  <c r="H515" i="1" s="1"/>
  <c r="J516" i="1"/>
  <c r="H516" i="1" s="1"/>
  <c r="J517" i="1"/>
  <c r="H517" i="1" s="1"/>
  <c r="J518" i="1"/>
  <c r="H518" i="1" s="1"/>
  <c r="J519" i="1"/>
  <c r="H519" i="1" s="1"/>
  <c r="J520" i="1"/>
  <c r="H520" i="1" s="1"/>
  <c r="J521" i="1"/>
  <c r="H521" i="1" s="1"/>
  <c r="J522" i="1"/>
  <c r="H522" i="1" s="1"/>
  <c r="J523" i="1"/>
  <c r="H523" i="1" s="1"/>
  <c r="J524" i="1"/>
  <c r="H524" i="1" s="1"/>
  <c r="J525" i="1"/>
  <c r="H525" i="1" s="1"/>
  <c r="J526" i="1"/>
  <c r="H526" i="1" s="1"/>
  <c r="J527" i="1"/>
  <c r="H527" i="1" s="1"/>
  <c r="J528" i="1"/>
  <c r="H528" i="1" s="1"/>
  <c r="J529" i="1"/>
  <c r="H529" i="1" s="1"/>
  <c r="J530" i="1"/>
  <c r="H530" i="1" s="1"/>
  <c r="J531" i="1"/>
  <c r="H531" i="1" s="1"/>
  <c r="J532" i="1"/>
  <c r="H532" i="1" s="1"/>
  <c r="J533" i="1"/>
  <c r="H533" i="1" s="1"/>
  <c r="J534" i="1"/>
  <c r="H534" i="1" s="1"/>
  <c r="J535" i="1"/>
  <c r="H535" i="1" s="1"/>
  <c r="J536" i="1"/>
  <c r="H536" i="1" s="1"/>
  <c r="J537" i="1"/>
  <c r="H537" i="1" s="1"/>
  <c r="J538" i="1"/>
  <c r="H538" i="1" s="1"/>
  <c r="J539" i="1"/>
  <c r="H539" i="1" s="1"/>
  <c r="J540" i="1"/>
  <c r="H540" i="1" s="1"/>
  <c r="J541" i="1"/>
  <c r="H541" i="1" s="1"/>
  <c r="J542" i="1"/>
  <c r="H542" i="1" s="1"/>
  <c r="J543" i="1"/>
  <c r="H543" i="1" s="1"/>
  <c r="J544" i="1"/>
  <c r="H544" i="1" s="1"/>
  <c r="J545" i="1"/>
  <c r="H545" i="1" s="1"/>
  <c r="J546" i="1"/>
  <c r="H546" i="1" s="1"/>
  <c r="J547" i="1"/>
  <c r="H547" i="1" s="1"/>
  <c r="J548" i="1"/>
  <c r="H548" i="1" s="1"/>
  <c r="J549" i="1"/>
  <c r="H549" i="1" s="1"/>
  <c r="J550" i="1"/>
  <c r="H550" i="1" s="1"/>
  <c r="J551" i="1"/>
  <c r="H551" i="1" s="1"/>
  <c r="J552" i="1"/>
  <c r="H552" i="1" s="1"/>
  <c r="J553" i="1"/>
  <c r="H553" i="1" s="1"/>
  <c r="J554" i="1"/>
  <c r="H554" i="1" s="1"/>
  <c r="J555" i="1"/>
  <c r="H555" i="1" s="1"/>
  <c r="J556" i="1"/>
  <c r="H556" i="1" s="1"/>
  <c r="J557" i="1"/>
  <c r="H557" i="1" s="1"/>
  <c r="J558" i="1"/>
  <c r="H558" i="1" s="1"/>
  <c r="J559" i="1"/>
  <c r="H559" i="1" s="1"/>
  <c r="J560" i="1"/>
  <c r="H560" i="1" s="1"/>
  <c r="J561" i="1"/>
  <c r="H561" i="1" s="1"/>
  <c r="J562" i="1"/>
  <c r="H562" i="1" s="1"/>
  <c r="J563" i="1"/>
  <c r="H563" i="1" s="1"/>
  <c r="J564" i="1"/>
  <c r="H564" i="1" s="1"/>
  <c r="J565" i="1"/>
  <c r="H565" i="1" s="1"/>
  <c r="J566" i="1"/>
  <c r="H566" i="1" s="1"/>
  <c r="J567" i="1"/>
  <c r="H567" i="1" s="1"/>
  <c r="J568" i="1"/>
  <c r="H568" i="1" s="1"/>
  <c r="J569" i="1"/>
  <c r="H569" i="1" s="1"/>
  <c r="J570" i="1"/>
  <c r="H570" i="1" s="1"/>
  <c r="J571" i="1"/>
  <c r="H571" i="1" s="1"/>
  <c r="J572" i="1"/>
  <c r="H572" i="1" s="1"/>
  <c r="J573" i="1"/>
  <c r="H573" i="1" s="1"/>
  <c r="J574" i="1"/>
  <c r="H574" i="1" s="1"/>
  <c r="J575" i="1"/>
  <c r="H575" i="1" s="1"/>
  <c r="J576" i="1"/>
  <c r="H576" i="1" s="1"/>
  <c r="J577" i="1"/>
  <c r="H577" i="1" s="1"/>
  <c r="J578" i="1"/>
  <c r="H578" i="1" s="1"/>
  <c r="J579" i="1"/>
  <c r="H579" i="1" s="1"/>
  <c r="J580" i="1"/>
  <c r="H580" i="1" s="1"/>
  <c r="J581" i="1"/>
  <c r="H581" i="1" s="1"/>
  <c r="J582" i="1"/>
  <c r="H582" i="1" s="1"/>
  <c r="J583" i="1"/>
  <c r="H583" i="1" s="1"/>
  <c r="J584" i="1"/>
  <c r="H584" i="1" s="1"/>
  <c r="J585" i="1"/>
  <c r="H585" i="1" s="1"/>
  <c r="J586" i="1"/>
  <c r="H586" i="1" s="1"/>
  <c r="J587" i="1"/>
  <c r="H587" i="1" s="1"/>
  <c r="J588" i="1"/>
  <c r="H588" i="1" s="1"/>
  <c r="J589" i="1"/>
  <c r="H589" i="1" s="1"/>
  <c r="J590" i="1"/>
  <c r="H590" i="1" s="1"/>
  <c r="J591" i="1"/>
  <c r="H591" i="1" s="1"/>
  <c r="J592" i="1"/>
  <c r="H592" i="1" s="1"/>
  <c r="J593" i="1"/>
  <c r="H593" i="1" s="1"/>
  <c r="J594" i="1"/>
  <c r="H594" i="1" s="1"/>
  <c r="J595" i="1"/>
  <c r="H595" i="1" s="1"/>
  <c r="J596" i="1"/>
  <c r="H596" i="1" s="1"/>
  <c r="J597" i="1"/>
  <c r="H597" i="1" s="1"/>
  <c r="J598" i="1"/>
  <c r="H598" i="1" s="1"/>
  <c r="J599" i="1"/>
  <c r="H599" i="1" s="1"/>
  <c r="J600" i="1"/>
  <c r="H600" i="1" s="1"/>
  <c r="J601" i="1"/>
  <c r="H601" i="1" s="1"/>
  <c r="J602" i="1"/>
  <c r="H602" i="1" s="1"/>
  <c r="J603" i="1"/>
  <c r="H603" i="1" s="1"/>
  <c r="J604" i="1"/>
  <c r="H604" i="1" s="1"/>
  <c r="J605" i="1"/>
  <c r="H605" i="1" s="1"/>
  <c r="J606" i="1"/>
  <c r="H606" i="1" s="1"/>
  <c r="J607" i="1"/>
  <c r="H607" i="1" s="1"/>
  <c r="J608" i="1"/>
  <c r="H608" i="1" s="1"/>
  <c r="J609" i="1"/>
  <c r="H609" i="1" s="1"/>
  <c r="J610" i="1"/>
  <c r="H610" i="1" s="1"/>
  <c r="J611" i="1"/>
  <c r="H611" i="1" s="1"/>
  <c r="J612" i="1"/>
  <c r="H612" i="1" s="1"/>
  <c r="J613" i="1"/>
  <c r="H613" i="1" s="1"/>
  <c r="J614" i="1"/>
  <c r="H614" i="1" s="1"/>
  <c r="J615" i="1"/>
  <c r="H615" i="1" s="1"/>
  <c r="J616" i="1"/>
  <c r="H616" i="1" s="1"/>
  <c r="J617" i="1"/>
  <c r="H617" i="1" s="1"/>
  <c r="J618" i="1"/>
  <c r="H618" i="1" s="1"/>
  <c r="J619" i="1"/>
  <c r="H619" i="1" s="1"/>
  <c r="J620" i="1"/>
  <c r="H620" i="1" s="1"/>
  <c r="J621" i="1"/>
  <c r="H621" i="1" s="1"/>
  <c r="J622" i="1"/>
  <c r="H622" i="1" s="1"/>
  <c r="J623" i="1"/>
  <c r="H623" i="1" s="1"/>
  <c r="J624" i="1"/>
  <c r="H624" i="1" s="1"/>
  <c r="J625" i="1"/>
  <c r="H625" i="1" s="1"/>
  <c r="J626" i="1"/>
  <c r="H626" i="1" s="1"/>
  <c r="J627" i="1"/>
  <c r="H627" i="1" s="1"/>
  <c r="J628" i="1"/>
  <c r="H628" i="1" s="1"/>
  <c r="J629" i="1"/>
  <c r="H629" i="1" s="1"/>
  <c r="J630" i="1"/>
  <c r="H630" i="1" s="1"/>
  <c r="J631" i="1"/>
  <c r="H631" i="1" s="1"/>
  <c r="J632" i="1"/>
  <c r="H632" i="1" s="1"/>
  <c r="J633" i="1"/>
  <c r="H633" i="1" s="1"/>
  <c r="J634" i="1"/>
  <c r="H634" i="1" s="1"/>
  <c r="J635" i="1"/>
  <c r="H635" i="1" s="1"/>
  <c r="J636" i="1"/>
  <c r="H636" i="1" s="1"/>
  <c r="J637" i="1"/>
  <c r="H637" i="1" s="1"/>
  <c r="J638" i="1"/>
  <c r="H638" i="1" s="1"/>
  <c r="J639" i="1"/>
  <c r="H639" i="1" s="1"/>
  <c r="J640" i="1"/>
  <c r="H640" i="1" s="1"/>
  <c r="J641" i="1"/>
  <c r="H641" i="1" s="1"/>
  <c r="J642" i="1"/>
  <c r="H642" i="1" s="1"/>
  <c r="J643" i="1"/>
  <c r="H643" i="1" s="1"/>
  <c r="J644" i="1"/>
  <c r="H644" i="1" s="1"/>
  <c r="J645" i="1"/>
  <c r="H645" i="1" s="1"/>
  <c r="J646" i="1"/>
  <c r="H646" i="1" s="1"/>
  <c r="J647" i="1"/>
  <c r="H647" i="1" s="1"/>
  <c r="J648" i="1"/>
  <c r="H648" i="1" s="1"/>
  <c r="J649" i="1"/>
  <c r="H649" i="1" s="1"/>
  <c r="J650" i="1"/>
  <c r="H650" i="1" s="1"/>
  <c r="J651" i="1"/>
  <c r="H651" i="1" s="1"/>
  <c r="J652" i="1"/>
  <c r="H652" i="1" s="1"/>
  <c r="J653" i="1"/>
  <c r="H653" i="1" s="1"/>
  <c r="J654" i="1"/>
  <c r="H654" i="1" s="1"/>
  <c r="J655" i="1"/>
  <c r="H655" i="1" s="1"/>
  <c r="J656" i="1"/>
  <c r="H656" i="1" s="1"/>
  <c r="J657" i="1"/>
  <c r="H657" i="1" s="1"/>
  <c r="J658" i="1"/>
  <c r="H658" i="1" s="1"/>
  <c r="J659" i="1"/>
  <c r="H659" i="1" s="1"/>
  <c r="J660" i="1"/>
  <c r="H660" i="1" s="1"/>
  <c r="J661" i="1"/>
  <c r="H661" i="1" s="1"/>
  <c r="J662" i="1"/>
  <c r="H662" i="1" s="1"/>
  <c r="J663" i="1"/>
  <c r="H663" i="1" s="1"/>
  <c r="J664" i="1"/>
  <c r="H664" i="1" s="1"/>
  <c r="J665" i="1"/>
  <c r="H665" i="1" s="1"/>
  <c r="J666" i="1"/>
  <c r="H666" i="1" s="1"/>
  <c r="J667" i="1"/>
  <c r="H667" i="1" s="1"/>
  <c r="J668" i="1"/>
  <c r="H668" i="1" s="1"/>
  <c r="J669" i="1"/>
  <c r="H669" i="1" s="1"/>
  <c r="J670" i="1"/>
  <c r="H670" i="1" s="1"/>
  <c r="J671" i="1"/>
  <c r="H671" i="1" s="1"/>
  <c r="J672" i="1"/>
  <c r="H672" i="1" s="1"/>
  <c r="J673" i="1"/>
  <c r="H673" i="1" s="1"/>
  <c r="J674" i="1"/>
  <c r="H674" i="1" s="1"/>
  <c r="J675" i="1"/>
  <c r="H675" i="1" s="1"/>
  <c r="J676" i="1"/>
  <c r="H676" i="1" s="1"/>
  <c r="J677" i="1"/>
  <c r="H677" i="1" s="1"/>
  <c r="J678" i="1"/>
  <c r="H678" i="1" s="1"/>
  <c r="J679" i="1"/>
  <c r="H679" i="1" s="1"/>
  <c r="J680" i="1"/>
  <c r="H680" i="1" s="1"/>
  <c r="J681" i="1"/>
  <c r="H681" i="1" s="1"/>
  <c r="J682" i="1"/>
  <c r="H682" i="1" s="1"/>
  <c r="J683" i="1"/>
  <c r="H683" i="1" s="1"/>
  <c r="J684" i="1"/>
  <c r="H684" i="1" s="1"/>
  <c r="J685" i="1"/>
  <c r="H685" i="1" s="1"/>
  <c r="J686" i="1"/>
  <c r="H686" i="1" s="1"/>
  <c r="J687" i="1"/>
  <c r="H687" i="1" s="1"/>
  <c r="J688" i="1"/>
  <c r="H688" i="1" s="1"/>
  <c r="J689" i="1"/>
  <c r="H689" i="1" s="1"/>
  <c r="J690" i="1"/>
  <c r="H690" i="1" s="1"/>
  <c r="J691" i="1"/>
  <c r="H691" i="1" s="1"/>
  <c r="J692" i="1"/>
  <c r="H692" i="1" s="1"/>
  <c r="J693" i="1"/>
  <c r="H693" i="1" s="1"/>
  <c r="J694" i="1"/>
  <c r="H694" i="1" s="1"/>
  <c r="J695" i="1"/>
  <c r="H695" i="1" s="1"/>
  <c r="J696" i="1"/>
  <c r="H696" i="1" s="1"/>
  <c r="J697" i="1"/>
  <c r="H697" i="1" s="1"/>
  <c r="J698" i="1"/>
  <c r="H698" i="1" s="1"/>
  <c r="J699" i="1"/>
  <c r="H699" i="1" s="1"/>
  <c r="J700" i="1"/>
  <c r="H700" i="1" s="1"/>
  <c r="J701" i="1"/>
  <c r="H701" i="1" s="1"/>
  <c r="J4" i="1"/>
  <c r="H4" i="1" s="1"/>
  <c r="J5" i="1"/>
  <c r="H5" i="1" s="1"/>
  <c r="A10" i="5"/>
  <c r="S10" i="5"/>
  <c r="M10" i="5"/>
  <c r="G10" i="5"/>
  <c r="X10" i="5"/>
  <c r="L220" i="1" l="1"/>
  <c r="Q220" i="1" s="1"/>
  <c r="L366" i="1"/>
  <c r="Q366" i="1" s="1"/>
  <c r="O366" i="1" s="1"/>
  <c r="L185" i="1"/>
  <c r="Q185" i="1" s="1"/>
  <c r="L517" i="1"/>
  <c r="Q517" i="1" s="1"/>
  <c r="O517" i="1" s="1"/>
  <c r="L582" i="1"/>
  <c r="Q582" i="1" s="1"/>
  <c r="O582" i="1" s="1"/>
  <c r="L441" i="1"/>
  <c r="Q441" i="1" s="1"/>
  <c r="O441" i="1" s="1"/>
  <c r="L275" i="1"/>
  <c r="Q275" i="1" s="1"/>
  <c r="O275" i="1" s="1"/>
  <c r="L21" i="1"/>
  <c r="Q21" i="1" s="1"/>
  <c r="L428" i="1"/>
  <c r="Q428" i="1" s="1"/>
  <c r="O428" i="1" s="1"/>
  <c r="L429" i="1"/>
  <c r="Q429" i="1" s="1"/>
  <c r="O429" i="1" s="1"/>
  <c r="L475" i="1"/>
  <c r="Q475" i="1" s="1"/>
  <c r="L202" i="1"/>
  <c r="Q202" i="1" s="1"/>
  <c r="L157" i="1"/>
  <c r="Q157" i="1" s="1"/>
  <c r="L465" i="1"/>
  <c r="Q465" i="1" s="1"/>
  <c r="O465" i="1" s="1"/>
  <c r="L295" i="1"/>
  <c r="Q295" i="1" s="1"/>
  <c r="O295" i="1" s="1"/>
  <c r="L38" i="1"/>
  <c r="Q38" i="1" s="1"/>
  <c r="L210" i="1"/>
  <c r="Q210" i="1" s="1"/>
  <c r="L677" i="1"/>
  <c r="Q677" i="1" s="1"/>
  <c r="O677" i="1" s="1"/>
  <c r="L666" i="1"/>
  <c r="Q666" i="1" s="1"/>
  <c r="L324" i="1"/>
  <c r="Q324" i="1" s="1"/>
  <c r="O324" i="1" s="1"/>
  <c r="L43" i="1"/>
  <c r="Q43" i="1" s="1"/>
  <c r="L182" i="1"/>
  <c r="Q182" i="1" s="1"/>
  <c r="L416" i="1"/>
  <c r="Q416" i="1" s="1"/>
  <c r="O416" i="1" s="1"/>
  <c r="L183" i="1"/>
  <c r="Q183" i="1" s="1"/>
  <c r="L134" i="1"/>
  <c r="Q134" i="1" s="1"/>
  <c r="L643" i="1"/>
  <c r="Q643" i="1" s="1"/>
  <c r="L412" i="1"/>
  <c r="Q412" i="1" s="1"/>
  <c r="L397" i="1"/>
  <c r="Q397" i="1" s="1"/>
  <c r="O397" i="1" s="1"/>
  <c r="L503" i="1"/>
  <c r="Q503" i="1" s="1"/>
  <c r="O503" i="1" s="1"/>
  <c r="L129" i="1"/>
  <c r="Q129" i="1" s="1"/>
  <c r="L221" i="1"/>
  <c r="Q221" i="1" s="1"/>
  <c r="O221" i="1" s="1"/>
  <c r="L314" i="1"/>
  <c r="Q314" i="1" s="1"/>
  <c r="O314" i="1" s="1"/>
  <c r="L540" i="1"/>
  <c r="Q540" i="1" s="1"/>
  <c r="O540" i="1" s="1"/>
  <c r="L30" i="1"/>
  <c r="Q30" i="1" s="1"/>
  <c r="L310" i="1"/>
  <c r="Q310" i="1" s="1"/>
  <c r="L373" i="1"/>
  <c r="Q373" i="1" s="1"/>
  <c r="L647" i="1"/>
  <c r="Q647" i="1" s="1"/>
  <c r="L413" i="1"/>
  <c r="Q413" i="1" s="1"/>
  <c r="O413" i="1" s="1"/>
  <c r="L438" i="1"/>
  <c r="Q438" i="1" s="1"/>
  <c r="O438" i="1" s="1"/>
  <c r="L9" i="1"/>
  <c r="Q9" i="1" s="1"/>
  <c r="L537" i="1"/>
  <c r="Q537" i="1" s="1"/>
  <c r="O537" i="1" s="1"/>
  <c r="L370" i="1"/>
  <c r="Q370" i="1" s="1"/>
  <c r="L489" i="1"/>
  <c r="Q489" i="1" s="1"/>
  <c r="L682" i="1"/>
  <c r="Q682" i="1" s="1"/>
  <c r="O682" i="1" s="1"/>
  <c r="L645" i="1"/>
  <c r="Q645" i="1" s="1"/>
  <c r="O645" i="1" s="1"/>
  <c r="L90" i="1"/>
  <c r="Q90" i="1" s="1"/>
  <c r="L594" i="1"/>
  <c r="Q594" i="1" s="1"/>
  <c r="O594" i="1" s="1"/>
  <c r="L24" i="1"/>
  <c r="Q24" i="1" s="1"/>
  <c r="L80" i="1"/>
  <c r="Q80" i="1" s="1"/>
  <c r="L570" i="1"/>
  <c r="Q570" i="1" s="1"/>
  <c r="L286" i="1"/>
  <c r="Q286" i="1" s="1"/>
  <c r="L663" i="1"/>
  <c r="Q663" i="1" s="1"/>
  <c r="O663" i="1" s="1"/>
  <c r="L668" i="1"/>
  <c r="Q668" i="1" s="1"/>
  <c r="L315" i="1"/>
  <c r="Q315" i="1" s="1"/>
  <c r="O315" i="1" s="1"/>
  <c r="L375" i="1"/>
  <c r="Q375" i="1" s="1"/>
  <c r="O375" i="1" s="1"/>
  <c r="L168" i="1"/>
  <c r="Q168" i="1" s="1"/>
  <c r="L505" i="1"/>
  <c r="Q505" i="1" s="1"/>
  <c r="O505" i="1" s="1"/>
  <c r="L602" i="1"/>
  <c r="Q602" i="1" s="1"/>
  <c r="O602" i="1" s="1"/>
  <c r="L326" i="1"/>
  <c r="Q326" i="1" s="1"/>
  <c r="L426" i="1"/>
  <c r="Q426" i="1" s="1"/>
  <c r="O426" i="1" s="1"/>
  <c r="L697" i="1"/>
  <c r="Q697" i="1" s="1"/>
  <c r="L454" i="1"/>
  <c r="Q454" i="1" s="1"/>
  <c r="O454" i="1" s="1"/>
  <c r="L603" i="1"/>
  <c r="Q603" i="1" s="1"/>
  <c r="O603" i="1" s="1"/>
  <c r="L452" i="1"/>
  <c r="Q452" i="1" s="1"/>
  <c r="O452" i="1" s="1"/>
  <c r="L165" i="1"/>
  <c r="Q165" i="1" s="1"/>
  <c r="L175" i="1"/>
  <c r="Q175" i="1" s="1"/>
  <c r="L618" i="1"/>
  <c r="Q618" i="1" s="1"/>
  <c r="L266" i="1"/>
  <c r="Q266" i="1" s="1"/>
  <c r="O266" i="1" s="1"/>
  <c r="L448" i="1"/>
  <c r="Q448" i="1" s="1"/>
  <c r="O448" i="1" s="1"/>
  <c r="L334" i="1"/>
  <c r="Q334" i="1" s="1"/>
  <c r="O334" i="1" s="1"/>
  <c r="L71" i="1"/>
  <c r="Q71" i="1" s="1"/>
  <c r="L264" i="1"/>
  <c r="Q264" i="1" s="1"/>
  <c r="O264" i="1" s="1"/>
  <c r="L356" i="1"/>
  <c r="Q356" i="1" s="1"/>
  <c r="O356" i="1" s="1"/>
  <c r="L664" i="1"/>
  <c r="Q664" i="1" s="1"/>
  <c r="L644" i="1"/>
  <c r="Q644" i="1" s="1"/>
  <c r="O644" i="1" s="1"/>
  <c r="L469" i="1"/>
  <c r="Q469" i="1" s="1"/>
  <c r="O469" i="1" s="1"/>
  <c r="L528" i="1"/>
  <c r="Q528" i="1" s="1"/>
  <c r="O528" i="1" s="1"/>
  <c r="L353" i="1"/>
  <c r="Q353" i="1" s="1"/>
  <c r="O353" i="1" s="1"/>
  <c r="L104" i="1"/>
  <c r="Q104" i="1" s="1"/>
  <c r="L131" i="1"/>
  <c r="Q131" i="1" s="1"/>
  <c r="L307" i="1"/>
  <c r="Q307" i="1" s="1"/>
  <c r="O307" i="1" s="1"/>
  <c r="L379" i="1"/>
  <c r="Q379" i="1" s="1"/>
  <c r="L180" i="1"/>
  <c r="Q180" i="1" s="1"/>
  <c r="L495" i="1"/>
  <c r="Q495" i="1" s="1"/>
  <c r="O495" i="1" s="1"/>
  <c r="L4" i="1"/>
  <c r="Q4" i="1" s="1"/>
  <c r="L485" i="1"/>
  <c r="Q485" i="1" s="1"/>
  <c r="O485" i="1" s="1"/>
  <c r="L636" i="1"/>
  <c r="Q636" i="1" s="1"/>
  <c r="O636" i="1" s="1"/>
  <c r="L555" i="1"/>
  <c r="Q555" i="1" s="1"/>
  <c r="O555" i="1" s="1"/>
  <c r="L169" i="1"/>
  <c r="Q169" i="1" s="1"/>
  <c r="L152" i="1"/>
  <c r="Q152" i="1" s="1"/>
  <c r="L562" i="1"/>
  <c r="Q562" i="1" s="1"/>
  <c r="O562" i="1" s="1"/>
  <c r="L232" i="1"/>
  <c r="Q232" i="1" s="1"/>
  <c r="O232" i="1" s="1"/>
  <c r="L3" i="1"/>
  <c r="Q3" i="1" s="1"/>
  <c r="L25" i="1"/>
  <c r="Q25" i="1" s="1"/>
  <c r="L325" i="1"/>
  <c r="Q325" i="1" s="1"/>
  <c r="O325" i="1" s="1"/>
  <c r="L265" i="1"/>
  <c r="Q265" i="1" s="1"/>
  <c r="O265" i="1" s="1"/>
  <c r="L604" i="1"/>
  <c r="Q604" i="1" s="1"/>
  <c r="O604" i="1" s="1"/>
  <c r="L648" i="1"/>
  <c r="Q648" i="1" s="1"/>
  <c r="L158" i="1"/>
  <c r="Q158" i="1" s="1"/>
  <c r="L149" i="1"/>
  <c r="Q149" i="1" s="1"/>
  <c r="L444" i="1"/>
  <c r="Q444" i="1" s="1"/>
  <c r="O444" i="1" s="1"/>
  <c r="L360" i="1"/>
  <c r="Q360" i="1" s="1"/>
  <c r="O360" i="1" s="1"/>
  <c r="L345" i="1"/>
  <c r="Q345" i="1" s="1"/>
  <c r="O345" i="1" s="1"/>
  <c r="L194" i="1"/>
  <c r="Q194" i="1" s="1"/>
  <c r="L583" i="1"/>
  <c r="Q583" i="1" s="1"/>
  <c r="L211" i="1"/>
  <c r="Q211" i="1" s="1"/>
  <c r="L534" i="1"/>
  <c r="Q534" i="1" s="1"/>
  <c r="O534" i="1" s="1"/>
  <c r="L261" i="1"/>
  <c r="Q261" i="1" s="1"/>
  <c r="O261" i="1" s="1"/>
  <c r="L598" i="1"/>
  <c r="Q598" i="1" s="1"/>
  <c r="O598" i="1" s="1"/>
  <c r="L665" i="1"/>
  <c r="Q665" i="1" s="1"/>
  <c r="O665" i="1" s="1"/>
  <c r="L564" i="1"/>
  <c r="Q564" i="1" s="1"/>
  <c r="O564" i="1" s="1"/>
  <c r="L561" i="1"/>
  <c r="Q561" i="1" s="1"/>
  <c r="O561" i="1" s="1"/>
  <c r="L161" i="1"/>
  <c r="Q161" i="1" s="1"/>
  <c r="L13" i="1"/>
  <c r="Q13" i="1" s="1"/>
  <c r="L91" i="1"/>
  <c r="Q91" i="1" s="1"/>
  <c r="L318" i="1"/>
  <c r="Q318" i="1" s="1"/>
  <c r="L577" i="1"/>
  <c r="Q577" i="1" s="1"/>
  <c r="O577" i="1" s="1"/>
  <c r="L199" i="1"/>
  <c r="Q199" i="1" s="1"/>
  <c r="L481" i="1"/>
  <c r="Q481" i="1" s="1"/>
  <c r="O481" i="1" s="1"/>
  <c r="L273" i="1"/>
  <c r="Q273" i="1" s="1"/>
  <c r="O273" i="1" s="1"/>
  <c r="L254" i="1"/>
  <c r="Q254" i="1" s="1"/>
  <c r="O254" i="1" s="1"/>
  <c r="L389" i="1"/>
  <c r="Q389" i="1" s="1"/>
  <c r="L338" i="1"/>
  <c r="Q338" i="1" s="1"/>
  <c r="O338" i="1" s="1"/>
  <c r="L116" i="1"/>
  <c r="Q116" i="1" s="1"/>
  <c r="L31" i="1"/>
  <c r="Q31" i="1" s="1"/>
  <c r="L532" i="1"/>
  <c r="Q532" i="1" s="1"/>
  <c r="O532" i="1" s="1"/>
  <c r="L56" i="1"/>
  <c r="Q56" i="1" s="1"/>
  <c r="L23" i="1"/>
  <c r="Q23" i="1" s="1"/>
  <c r="L355" i="1"/>
  <c r="Q355" i="1" s="1"/>
  <c r="O355" i="1" s="1"/>
  <c r="L407" i="1"/>
  <c r="Q407" i="1" s="1"/>
  <c r="L526" i="1"/>
  <c r="Q526" i="1" s="1"/>
  <c r="O526" i="1" s="1"/>
  <c r="L556" i="1"/>
  <c r="Q556" i="1" s="1"/>
  <c r="O556" i="1" s="1"/>
  <c r="L575" i="1"/>
  <c r="Q575" i="1" s="1"/>
  <c r="O575" i="1" s="1"/>
  <c r="L237" i="1"/>
  <c r="Q237" i="1" s="1"/>
  <c r="O237" i="1" s="1"/>
  <c r="L568" i="1"/>
  <c r="Q568" i="1" s="1"/>
  <c r="O568" i="1" s="1"/>
  <c r="L255" i="1"/>
  <c r="Q255" i="1" s="1"/>
  <c r="O255" i="1" s="1"/>
  <c r="L569" i="1"/>
  <c r="Q569" i="1" s="1"/>
  <c r="O569" i="1" s="1"/>
  <c r="L123" i="1"/>
  <c r="Q123" i="1" s="1"/>
  <c r="L394" i="1"/>
  <c r="Q394" i="1" s="1"/>
  <c r="L653" i="1"/>
  <c r="Q653" i="1" s="1"/>
  <c r="O653" i="1" s="1"/>
  <c r="L47" i="1"/>
  <c r="Q47" i="1" s="1"/>
  <c r="L287" i="1"/>
  <c r="Q287" i="1" s="1"/>
  <c r="O287" i="1" s="1"/>
  <c r="L317" i="1"/>
  <c r="Q317" i="1" s="1"/>
  <c r="O317" i="1" s="1"/>
  <c r="L504" i="1"/>
  <c r="Q504" i="1" s="1"/>
  <c r="O504" i="1" s="1"/>
  <c r="L404" i="1"/>
  <c r="Q404" i="1" s="1"/>
  <c r="O404" i="1" s="1"/>
  <c r="L156" i="1"/>
  <c r="Q156" i="1" s="1"/>
  <c r="L558" i="1"/>
  <c r="Q558" i="1" s="1"/>
  <c r="O558" i="1" s="1"/>
  <c r="L58" i="1"/>
  <c r="Q58" i="1" s="1"/>
  <c r="L669" i="1"/>
  <c r="Q669" i="1" s="1"/>
  <c r="O669" i="1" s="1"/>
  <c r="L171" i="1"/>
  <c r="Q171" i="1" s="1"/>
  <c r="L585" i="1"/>
  <c r="Q585" i="1" s="1"/>
  <c r="O585" i="1" s="1"/>
  <c r="L698" i="1"/>
  <c r="Q698" i="1" s="1"/>
  <c r="O698" i="1" s="1"/>
  <c r="L611" i="1"/>
  <c r="Q611" i="1" s="1"/>
  <c r="L297" i="1"/>
  <c r="Q297" i="1" s="1"/>
  <c r="L699" i="1"/>
  <c r="Q699" i="1" s="1"/>
  <c r="O699" i="1" s="1"/>
  <c r="L339" i="1"/>
  <c r="Q339" i="1" s="1"/>
  <c r="O339" i="1" s="1"/>
  <c r="L263" i="1"/>
  <c r="Q263" i="1" s="1"/>
  <c r="O263" i="1" s="1"/>
  <c r="L393" i="1"/>
  <c r="Q393" i="1" s="1"/>
  <c r="O393" i="1" s="1"/>
  <c r="L26" i="1"/>
  <c r="Q26" i="1" s="1"/>
  <c r="L535" i="1"/>
  <c r="Q535" i="1" s="1"/>
  <c r="O535" i="1" s="1"/>
  <c r="L377" i="1"/>
  <c r="Q377" i="1" s="1"/>
  <c r="L686" i="1"/>
  <c r="Q686" i="1" s="1"/>
  <c r="L118" i="1"/>
  <c r="Q118" i="1" s="1"/>
  <c r="L133" i="1"/>
  <c r="Q133" i="1" s="1"/>
  <c r="L74" i="1"/>
  <c r="Q74" i="1" s="1"/>
  <c r="L213" i="1"/>
  <c r="Q213" i="1" s="1"/>
  <c r="L319" i="1"/>
  <c r="Q319" i="1" s="1"/>
  <c r="O319" i="1" s="1"/>
  <c r="L28" i="1"/>
  <c r="Q28" i="1" s="1"/>
  <c r="L654" i="1"/>
  <c r="Q654" i="1" s="1"/>
  <c r="L559" i="1"/>
  <c r="Q559" i="1" s="1"/>
  <c r="L671" i="1"/>
  <c r="Q671" i="1" s="1"/>
  <c r="O671" i="1" s="1"/>
  <c r="L172" i="1"/>
  <c r="Q172" i="1" s="1"/>
  <c r="L61" i="1"/>
  <c r="Q61" i="1" s="1"/>
  <c r="L45" i="1"/>
  <c r="Q45" i="1" s="1"/>
  <c r="L398" i="1"/>
  <c r="Q398" i="1" s="1"/>
  <c r="O398" i="1" s="1"/>
  <c r="L605" i="1"/>
  <c r="Q605" i="1" s="1"/>
  <c r="O605" i="1" s="1"/>
  <c r="L130" i="1"/>
  <c r="Q130" i="1" s="1"/>
  <c r="L523" i="1"/>
  <c r="Q523" i="1" s="1"/>
  <c r="L632" i="1"/>
  <c r="Q632" i="1" s="1"/>
  <c r="O632" i="1" s="1"/>
  <c r="L477" i="1"/>
  <c r="Q477" i="1" s="1"/>
  <c r="L292" i="1"/>
  <c r="Q292" i="1" s="1"/>
  <c r="O292" i="1" s="1"/>
  <c r="L527" i="1"/>
  <c r="Q527" i="1" s="1"/>
  <c r="O527" i="1" s="1"/>
  <c r="L597" i="1"/>
  <c r="Q597" i="1" s="1"/>
  <c r="O597" i="1" s="1"/>
  <c r="L659" i="1"/>
  <c r="Q659" i="1" s="1"/>
  <c r="O659" i="1" s="1"/>
  <c r="L252" i="1"/>
  <c r="Q252" i="1" s="1"/>
  <c r="L627" i="1"/>
  <c r="Q627" i="1" s="1"/>
  <c r="L39" i="1"/>
  <c r="Q39" i="1" s="1"/>
  <c r="L512" i="1"/>
  <c r="Q512" i="1" s="1"/>
  <c r="L661" i="1"/>
  <c r="Q661" i="1" s="1"/>
  <c r="O661" i="1" s="1"/>
  <c r="L97" i="1"/>
  <c r="Q97" i="1" s="1"/>
  <c r="L464" i="1"/>
  <c r="Q464" i="1" s="1"/>
  <c r="O464" i="1" s="1"/>
  <c r="L166" i="1"/>
  <c r="Q166" i="1" s="1"/>
  <c r="L693" i="1"/>
  <c r="Q693" i="1" s="1"/>
  <c r="L46" i="1"/>
  <c r="Q46" i="1" s="1"/>
  <c r="L579" i="1"/>
  <c r="Q579" i="1" s="1"/>
  <c r="O579" i="1" s="1"/>
  <c r="L430" i="1"/>
  <c r="Q430" i="1" s="1"/>
  <c r="O430" i="1" s="1"/>
  <c r="L16" i="1"/>
  <c r="Q16" i="1" s="1"/>
  <c r="L518" i="1"/>
  <c r="Q518" i="1" s="1"/>
  <c r="O518" i="1" s="1"/>
  <c r="L303" i="1"/>
  <c r="Q303" i="1" s="1"/>
  <c r="O303" i="1" s="1"/>
  <c r="L685" i="1"/>
  <c r="Q685" i="1" s="1"/>
  <c r="O685" i="1" s="1"/>
  <c r="L396" i="1"/>
  <c r="Q396" i="1" s="1"/>
  <c r="L141" i="1"/>
  <c r="Q141" i="1" s="1"/>
  <c r="L639" i="1"/>
  <c r="Q639" i="1" s="1"/>
  <c r="L332" i="1"/>
  <c r="Q332" i="1" s="1"/>
  <c r="O332" i="1" s="1"/>
  <c r="L493" i="1"/>
  <c r="Q493" i="1" s="1"/>
  <c r="O493" i="1" s="1"/>
  <c r="L390" i="1"/>
  <c r="Q390" i="1" s="1"/>
  <c r="O390" i="1" s="1"/>
  <c r="L343" i="1"/>
  <c r="Q343" i="1" s="1"/>
  <c r="O343" i="1" s="1"/>
  <c r="L629" i="1"/>
  <c r="Q629" i="1" s="1"/>
  <c r="O629" i="1" s="1"/>
  <c r="L137" i="1"/>
  <c r="Q137" i="1" s="1"/>
  <c r="L687" i="1"/>
  <c r="Q687" i="1" s="1"/>
  <c r="L670" i="1"/>
  <c r="Q670" i="1" s="1"/>
  <c r="O670" i="1" s="1"/>
  <c r="L601" i="1"/>
  <c r="Q601" i="1" s="1"/>
  <c r="O601" i="1" s="1"/>
  <c r="L146" i="1"/>
  <c r="Q146" i="1" s="1"/>
  <c r="L624" i="1"/>
  <c r="Q624" i="1" s="1"/>
  <c r="O624" i="1" s="1"/>
  <c r="L675" i="1"/>
  <c r="Q675" i="1" s="1"/>
  <c r="O675" i="1" s="1"/>
  <c r="L328" i="1"/>
  <c r="Q328" i="1" s="1"/>
  <c r="O328" i="1" s="1"/>
  <c r="L126" i="1"/>
  <c r="Q126" i="1" s="1"/>
  <c r="L640" i="1"/>
  <c r="Q640" i="1" s="1"/>
  <c r="L278" i="1"/>
  <c r="Q278" i="1" s="1"/>
  <c r="O278" i="1" s="1"/>
  <c r="L41" i="1"/>
  <c r="Q41" i="1" s="1"/>
  <c r="L179" i="1"/>
  <c r="Q179" i="1" s="1"/>
  <c r="L435" i="1"/>
  <c r="Q435" i="1" s="1"/>
  <c r="O435" i="1" s="1"/>
  <c r="L201" i="1"/>
  <c r="Q201" i="1" s="1"/>
  <c r="L354" i="1"/>
  <c r="Q354" i="1" s="1"/>
  <c r="O354" i="1" s="1"/>
  <c r="L337" i="1"/>
  <c r="Q337" i="1" s="1"/>
  <c r="L574" i="1"/>
  <c r="Q574" i="1" s="1"/>
  <c r="L256" i="1"/>
  <c r="Q256" i="1" s="1"/>
  <c r="L312" i="1"/>
  <c r="Q312" i="1" s="1"/>
  <c r="L251" i="1"/>
  <c r="Q251" i="1" s="1"/>
  <c r="O251" i="1" s="1"/>
  <c r="L94" i="1"/>
  <c r="Q94" i="1" s="1"/>
  <c r="L417" i="1"/>
  <c r="Q417" i="1" s="1"/>
  <c r="O417" i="1" s="1"/>
  <c r="L283" i="1"/>
  <c r="Q283" i="1" s="1"/>
  <c r="O283" i="1" s="1"/>
  <c r="L418" i="1"/>
  <c r="Q418" i="1" s="1"/>
  <c r="L72" i="1"/>
  <c r="Q72" i="1" s="1"/>
  <c r="L184" i="1"/>
  <c r="Q184" i="1" s="1"/>
  <c r="L501" i="1"/>
  <c r="Q501" i="1" s="1"/>
  <c r="O501" i="1" s="1"/>
  <c r="L641" i="1"/>
  <c r="Q641" i="1" s="1"/>
  <c r="O641" i="1" s="1"/>
  <c r="L147" i="1"/>
  <c r="Q147" i="1" s="1"/>
  <c r="L60" i="1"/>
  <c r="Q60" i="1" s="1"/>
  <c r="L243" i="1"/>
  <c r="Q243" i="1" s="1"/>
  <c r="O243" i="1" s="1"/>
  <c r="L177" i="1"/>
  <c r="Q177" i="1" s="1"/>
  <c r="L335" i="1"/>
  <c r="Q335" i="1" s="1"/>
  <c r="L49" i="1"/>
  <c r="Q49" i="1" s="1"/>
  <c r="L462" i="1"/>
  <c r="Q462" i="1" s="1"/>
  <c r="L483" i="1"/>
  <c r="Q483" i="1" s="1"/>
  <c r="O483" i="1" s="1"/>
  <c r="L600" i="1"/>
  <c r="Q600" i="1" s="1"/>
  <c r="O600" i="1" s="1"/>
  <c r="L490" i="1"/>
  <c r="Q490" i="1" s="1"/>
  <c r="O490" i="1" s="1"/>
  <c r="L432" i="1"/>
  <c r="Q432" i="1" s="1"/>
  <c r="O432" i="1" s="1"/>
  <c r="L313" i="1"/>
  <c r="Q313" i="1" s="1"/>
  <c r="L270" i="1"/>
  <c r="Q270" i="1" s="1"/>
  <c r="L662" i="1"/>
  <c r="Q662" i="1" s="1"/>
  <c r="O662" i="1" s="1"/>
  <c r="L650" i="1"/>
  <c r="Q650" i="1" s="1"/>
  <c r="L192" i="1"/>
  <c r="Q192" i="1" s="1"/>
  <c r="L521" i="1"/>
  <c r="Q521" i="1" s="1"/>
  <c r="O521" i="1" s="1"/>
  <c r="L142" i="1"/>
  <c r="Q142" i="1" s="1"/>
  <c r="L595" i="1"/>
  <c r="Q595" i="1" s="1"/>
  <c r="O595" i="1" s="1"/>
  <c r="L700" i="1"/>
  <c r="Q700" i="1" s="1"/>
  <c r="L449" i="1"/>
  <c r="Q449" i="1" s="1"/>
  <c r="L277" i="1"/>
  <c r="Q277" i="1" s="1"/>
  <c r="O277" i="1" s="1"/>
  <c r="L415" i="1"/>
  <c r="Q415" i="1" s="1"/>
  <c r="O415" i="1" s="1"/>
  <c r="L64" i="1"/>
  <c r="Q64" i="1" s="1"/>
  <c r="L358" i="1"/>
  <c r="Q358" i="1" s="1"/>
  <c r="O358" i="1" s="1"/>
  <c r="L509" i="1"/>
  <c r="Q509" i="1" s="1"/>
  <c r="O509" i="1" s="1"/>
  <c r="L502" i="1"/>
  <c r="Q502" i="1" s="1"/>
  <c r="O502" i="1" s="1"/>
  <c r="L510" i="1"/>
  <c r="Q510" i="1" s="1"/>
  <c r="L374" i="1"/>
  <c r="Q374" i="1" s="1"/>
  <c r="L52" i="1"/>
  <c r="Q52" i="1" s="1"/>
  <c r="L178" i="1"/>
  <c r="Q178" i="1" s="1"/>
  <c r="L85" i="1"/>
  <c r="Q85" i="1" s="1"/>
  <c r="L522" i="1"/>
  <c r="Q522" i="1" s="1"/>
  <c r="O522" i="1" s="1"/>
  <c r="L34" i="1"/>
  <c r="Q34" i="1" s="1"/>
  <c r="L451" i="1"/>
  <c r="Q451" i="1" s="1"/>
  <c r="O451" i="1" s="1"/>
  <c r="L35" i="1"/>
  <c r="Q35" i="1" s="1"/>
  <c r="L590" i="1"/>
  <c r="Q590" i="1" s="1"/>
  <c r="L268" i="1"/>
  <c r="Q268" i="1" s="1"/>
  <c r="O268" i="1" s="1"/>
  <c r="L419" i="1"/>
  <c r="Q419" i="1" s="1"/>
  <c r="O419" i="1" s="1"/>
  <c r="L36" i="1"/>
  <c r="Q36" i="1" s="1"/>
  <c r="L244" i="1"/>
  <c r="Q244" i="1" s="1"/>
  <c r="O244" i="1" s="1"/>
  <c r="L439" i="1"/>
  <c r="Q439" i="1" s="1"/>
  <c r="O439" i="1" s="1"/>
  <c r="L487" i="1"/>
  <c r="Q487" i="1" s="1"/>
  <c r="O487" i="1" s="1"/>
  <c r="L302" i="1"/>
  <c r="Q302" i="1" s="1"/>
  <c r="L282" i="1"/>
  <c r="Q282" i="1" s="1"/>
  <c r="L506" i="1"/>
  <c r="Q506" i="1" s="1"/>
  <c r="O506" i="1" s="1"/>
  <c r="L276" i="1"/>
  <c r="Q276" i="1" s="1"/>
  <c r="O276" i="1" s="1"/>
  <c r="L364" i="1"/>
  <c r="Q364" i="1" s="1"/>
  <c r="O364" i="1" s="1"/>
  <c r="L329" i="1"/>
  <c r="Q329" i="1" s="1"/>
  <c r="O329" i="1" s="1"/>
  <c r="L231" i="1"/>
  <c r="Q231" i="1" s="1"/>
  <c r="O231" i="1" s="1"/>
  <c r="L55" i="1"/>
  <c r="Q55" i="1" s="1"/>
  <c r="L248" i="1"/>
  <c r="Q248" i="1" s="1"/>
  <c r="L257" i="1"/>
  <c r="Q257" i="1" s="1"/>
  <c r="L109" i="1"/>
  <c r="Q109" i="1" s="1"/>
  <c r="L54" i="1"/>
  <c r="Q54" i="1" s="1"/>
  <c r="L681" i="1"/>
  <c r="Q681" i="1" s="1"/>
  <c r="O681" i="1" s="1"/>
  <c r="L125" i="1"/>
  <c r="Q125" i="1" s="1"/>
  <c r="L691" i="1"/>
  <c r="Q691" i="1" s="1"/>
  <c r="O691" i="1" s="1"/>
  <c r="L173" i="1"/>
  <c r="Q173" i="1" s="1"/>
  <c r="L269" i="1"/>
  <c r="Q269" i="1" s="1"/>
  <c r="L346" i="1"/>
  <c r="Q346" i="1" s="1"/>
  <c r="L132" i="1"/>
  <c r="Q132" i="1" s="1"/>
  <c r="L349" i="1"/>
  <c r="Q349" i="1" s="1"/>
  <c r="O349" i="1" s="1"/>
  <c r="L545" i="1"/>
  <c r="Q545" i="1" s="1"/>
  <c r="O545" i="1" s="1"/>
  <c r="L160" i="1"/>
  <c r="Q160" i="1" s="1"/>
  <c r="L238" i="1"/>
  <c r="Q238" i="1" s="1"/>
  <c r="O238" i="1" s="1"/>
  <c r="L279" i="1"/>
  <c r="Q279" i="1" s="1"/>
  <c r="O279" i="1" s="1"/>
  <c r="L245" i="1"/>
  <c r="Q245" i="1" s="1"/>
  <c r="L551" i="1"/>
  <c r="Q551" i="1" s="1"/>
  <c r="L380" i="1"/>
  <c r="Q380" i="1" s="1"/>
  <c r="O380" i="1" s="1"/>
  <c r="L621" i="1"/>
  <c r="Q621" i="1" s="1"/>
  <c r="L311" i="1"/>
  <c r="Q311" i="1" s="1"/>
  <c r="O311" i="1" s="1"/>
  <c r="L92" i="1"/>
  <c r="Q92" i="1" s="1"/>
  <c r="L205" i="1"/>
  <c r="Q205" i="1" s="1"/>
  <c r="L223" i="1"/>
  <c r="Q223" i="1" s="1"/>
  <c r="O223" i="1" s="1"/>
  <c r="L106" i="1"/>
  <c r="Q106" i="1" s="1"/>
  <c r="L121" i="1"/>
  <c r="Q121" i="1" s="1"/>
  <c r="L331" i="1"/>
  <c r="Q331" i="1" s="1"/>
  <c r="O331" i="1" s="1"/>
  <c r="L471" i="1"/>
  <c r="Q471" i="1" s="1"/>
  <c r="L212" i="1"/>
  <c r="Q212" i="1" s="1"/>
  <c r="L515" i="1"/>
  <c r="Q515" i="1" s="1"/>
  <c r="O515" i="1" s="1"/>
  <c r="L14" i="1"/>
  <c r="Q14" i="1" s="1"/>
  <c r="L584" i="1"/>
  <c r="Q584" i="1" s="1"/>
  <c r="O584" i="1" s="1"/>
  <c r="L227" i="1"/>
  <c r="Q227" i="1" s="1"/>
  <c r="L635" i="1"/>
  <c r="Q635" i="1" s="1"/>
  <c r="L694" i="1"/>
  <c r="Q694" i="1" s="1"/>
  <c r="O694" i="1" s="1"/>
  <c r="L86" i="1"/>
  <c r="Q86" i="1" s="1"/>
  <c r="L44" i="1"/>
  <c r="Q44" i="1" s="1"/>
  <c r="L538" i="1"/>
  <c r="Q538" i="1" s="1"/>
  <c r="O538" i="1" s="1"/>
  <c r="L567" i="1"/>
  <c r="Q567" i="1" s="1"/>
  <c r="O567" i="1" s="1"/>
  <c r="L296" i="1"/>
  <c r="Q296" i="1" s="1"/>
  <c r="O296" i="1" s="1"/>
  <c r="L447" i="1"/>
  <c r="Q447" i="1" s="1"/>
  <c r="L82" i="1"/>
  <c r="Q82" i="1" s="1"/>
  <c r="L539" i="1"/>
  <c r="Q539" i="1" s="1"/>
  <c r="O539" i="1" s="1"/>
  <c r="L361" i="1"/>
  <c r="Q361" i="1" s="1"/>
  <c r="O361" i="1" s="1"/>
  <c r="L363" i="1"/>
  <c r="Q363" i="1" s="1"/>
  <c r="O363" i="1" s="1"/>
  <c r="L340" i="1"/>
  <c r="Q340" i="1" s="1"/>
  <c r="O340" i="1" s="1"/>
  <c r="L320" i="1"/>
  <c r="Q320" i="1" s="1"/>
  <c r="O320" i="1" s="1"/>
  <c r="L401" i="1"/>
  <c r="Q401" i="1" s="1"/>
  <c r="O401" i="1" s="1"/>
  <c r="L543" i="1"/>
  <c r="Q543" i="1" s="1"/>
  <c r="L638" i="1"/>
  <c r="Q638" i="1" s="1"/>
  <c r="L306" i="1"/>
  <c r="Q306" i="1" s="1"/>
  <c r="O306" i="1" s="1"/>
  <c r="L308" i="1"/>
  <c r="Q308" i="1" s="1"/>
  <c r="O308" i="1" s="1"/>
  <c r="L406" i="1"/>
  <c r="Q406" i="1" s="1"/>
  <c r="O406" i="1" s="1"/>
  <c r="L657" i="1"/>
  <c r="Q657" i="1" s="1"/>
  <c r="O657" i="1" s="1"/>
  <c r="L365" i="1"/>
  <c r="Q365" i="1" s="1"/>
  <c r="O365" i="1" s="1"/>
  <c r="L11" i="1"/>
  <c r="Q11" i="1" s="1"/>
  <c r="L62" i="1"/>
  <c r="Q62" i="1" s="1"/>
  <c r="L135" i="1"/>
  <c r="Q135" i="1" s="1"/>
  <c r="L206" i="1"/>
  <c r="Q206" i="1" s="1"/>
  <c r="L57" i="1"/>
  <c r="Q57" i="1" s="1"/>
  <c r="L524" i="1"/>
  <c r="Q524" i="1" s="1"/>
  <c r="O524" i="1" s="1"/>
  <c r="L95" i="1"/>
  <c r="Q95" i="1" s="1"/>
  <c r="L247" i="1"/>
  <c r="Q247" i="1" s="1"/>
  <c r="O247" i="1" s="1"/>
  <c r="L468" i="1"/>
  <c r="Q468" i="1" s="1"/>
  <c r="O468" i="1" s="1"/>
  <c r="L110" i="1"/>
  <c r="Q110" i="1" s="1"/>
  <c r="L422" i="1"/>
  <c r="Q422" i="1" s="1"/>
  <c r="L676" i="1"/>
  <c r="Q676" i="1" s="1"/>
  <c r="L492" i="1"/>
  <c r="Q492" i="1" s="1"/>
  <c r="L164" i="1"/>
  <c r="Q164" i="1" s="1"/>
  <c r="L15" i="1"/>
  <c r="Q15" i="1" s="1"/>
  <c r="L599" i="1"/>
  <c r="Q599" i="1" s="1"/>
  <c r="O599" i="1" s="1"/>
  <c r="L460" i="1"/>
  <c r="Q460" i="1" s="1"/>
  <c r="O460" i="1" s="1"/>
  <c r="L400" i="1"/>
  <c r="Q400" i="1" s="1"/>
  <c r="L423" i="1"/>
  <c r="Q423" i="1" s="1"/>
  <c r="L690" i="1"/>
  <c r="Q690" i="1" s="1"/>
  <c r="O690" i="1" s="1"/>
  <c r="L695" i="1"/>
  <c r="Q695" i="1" s="1"/>
  <c r="O695" i="1" s="1"/>
  <c r="L655" i="1"/>
  <c r="Q655" i="1" s="1"/>
  <c r="O655" i="1" s="1"/>
  <c r="L111" i="1"/>
  <c r="Q111" i="1" s="1"/>
  <c r="L228" i="1"/>
  <c r="Q228" i="1" s="1"/>
  <c r="O228" i="1" s="1"/>
  <c r="L634" i="1"/>
  <c r="Q634" i="1" s="1"/>
  <c r="O634" i="1" s="1"/>
  <c r="L108" i="1"/>
  <c r="Q108" i="1" s="1"/>
  <c r="L480" i="1"/>
  <c r="Q480" i="1" s="1"/>
  <c r="L588" i="1"/>
  <c r="Q588" i="1" s="1"/>
  <c r="O588" i="1" s="1"/>
  <c r="L285" i="1"/>
  <c r="Q285" i="1" s="1"/>
  <c r="L37" i="1"/>
  <c r="Q37" i="1" s="1"/>
  <c r="L552" i="1"/>
  <c r="Q552" i="1" s="1"/>
  <c r="O552" i="1" s="1"/>
  <c r="L658" i="1"/>
  <c r="Q658" i="1" s="1"/>
  <c r="O658" i="1" s="1"/>
  <c r="L688" i="1"/>
  <c r="Q688" i="1" s="1"/>
  <c r="O688" i="1" s="1"/>
  <c r="L333" i="1"/>
  <c r="Q333" i="1" s="1"/>
  <c r="L625" i="1"/>
  <c r="Q625" i="1" s="1"/>
  <c r="L457" i="1"/>
  <c r="Q457" i="1" s="1"/>
  <c r="O457" i="1" s="1"/>
  <c r="L359" i="1"/>
  <c r="Q359" i="1" s="1"/>
  <c r="L70" i="1"/>
  <c r="Q70" i="1" s="1"/>
  <c r="L32" i="1"/>
  <c r="Q32" i="1" s="1"/>
  <c r="L33" i="1"/>
  <c r="Q33" i="1" s="1"/>
  <c r="L73" i="1"/>
  <c r="Q73" i="1" s="1"/>
  <c r="L159" i="1"/>
  <c r="Q159" i="1" s="1"/>
  <c r="L610" i="1"/>
  <c r="Q610" i="1" s="1"/>
  <c r="L499" i="1"/>
  <c r="Q499" i="1" s="1"/>
  <c r="O499" i="1" s="1"/>
  <c r="L507" i="1"/>
  <c r="Q507" i="1" s="1"/>
  <c r="O507" i="1" s="1"/>
  <c r="L386" i="1"/>
  <c r="Q386" i="1" s="1"/>
  <c r="O386" i="1" s="1"/>
  <c r="L259" i="1"/>
  <c r="Q259" i="1" s="1"/>
  <c r="O259" i="1" s="1"/>
  <c r="L660" i="1"/>
  <c r="Q660" i="1" s="1"/>
  <c r="O660" i="1" s="1"/>
  <c r="L249" i="1"/>
  <c r="Q249" i="1" s="1"/>
  <c r="O249" i="1" s="1"/>
  <c r="L162" i="1"/>
  <c r="Q162" i="1" s="1"/>
  <c r="L445" i="1"/>
  <c r="Q445" i="1" s="1"/>
  <c r="L553" i="1"/>
  <c r="Q553" i="1" s="1"/>
  <c r="L66" i="1"/>
  <c r="Q66" i="1" s="1"/>
  <c r="L214" i="1"/>
  <c r="Q214" i="1" s="1"/>
  <c r="L367" i="1"/>
  <c r="Q367" i="1" s="1"/>
  <c r="O367" i="1" s="1"/>
  <c r="L546" i="1"/>
  <c r="Q546" i="1" s="1"/>
  <c r="O546" i="1" s="1"/>
  <c r="L235" i="1"/>
  <c r="Q235" i="1" s="1"/>
  <c r="O235" i="1" s="1"/>
  <c r="L368" i="1"/>
  <c r="Q368" i="1" s="1"/>
  <c r="L530" i="1"/>
  <c r="Q530" i="1" s="1"/>
  <c r="L262" i="1"/>
  <c r="Q262" i="1" s="1"/>
  <c r="O262" i="1" s="1"/>
  <c r="L138" i="1"/>
  <c r="Q138" i="1" s="1"/>
  <c r="L547" i="1"/>
  <c r="Q547" i="1" s="1"/>
  <c r="O547" i="1" s="1"/>
  <c r="L376" i="1"/>
  <c r="Q376" i="1" s="1"/>
  <c r="O376" i="1" s="1"/>
  <c r="L7" i="1"/>
  <c r="Q7" i="1" s="1"/>
  <c r="L576" i="1"/>
  <c r="Q576" i="1" s="1"/>
  <c r="O576" i="1" s="1"/>
  <c r="L437" i="1"/>
  <c r="Q437" i="1" s="1"/>
  <c r="L500" i="1"/>
  <c r="Q500" i="1" s="1"/>
  <c r="L520" i="1"/>
  <c r="Q520" i="1" s="1"/>
  <c r="O520" i="1" s="1"/>
  <c r="L388" i="1"/>
  <c r="Q388" i="1" s="1"/>
  <c r="O388" i="1" s="1"/>
  <c r="L75" i="1"/>
  <c r="Q75" i="1" s="1"/>
  <c r="L107" i="1"/>
  <c r="Q107" i="1" s="1"/>
  <c r="L195" i="1"/>
  <c r="Q195" i="1" s="1"/>
  <c r="L673" i="1"/>
  <c r="Q673" i="1" s="1"/>
  <c r="O673" i="1" s="1"/>
  <c r="L622" i="1"/>
  <c r="Q622" i="1" s="1"/>
  <c r="L529" i="1"/>
  <c r="Q529" i="1" s="1"/>
  <c r="L218" i="1"/>
  <c r="Q218" i="1" s="1"/>
  <c r="W218" i="1" s="1"/>
  <c r="L100" i="1"/>
  <c r="Q100" i="1" s="1"/>
  <c r="L696" i="1"/>
  <c r="Q696" i="1" s="1"/>
  <c r="O696" i="1" s="1"/>
  <c r="L65" i="1"/>
  <c r="Q65" i="1" s="1"/>
  <c r="L514" i="1"/>
  <c r="Q514" i="1" s="1"/>
  <c r="O514" i="1" s="1"/>
  <c r="L578" i="1"/>
  <c r="Q578" i="1" s="1"/>
  <c r="O578" i="1" s="1"/>
  <c r="L226" i="1"/>
  <c r="Q226" i="1" s="1"/>
  <c r="L656" i="1"/>
  <c r="Q656" i="1" s="1"/>
  <c r="L215" i="1"/>
  <c r="Q215" i="1" s="1"/>
  <c r="L459" i="1"/>
  <c r="Q459" i="1" s="1"/>
  <c r="O459" i="1" s="1"/>
  <c r="L494" i="1"/>
  <c r="Q494" i="1" s="1"/>
  <c r="O494" i="1" s="1"/>
  <c r="L443" i="1"/>
  <c r="Q443" i="1" s="1"/>
  <c r="O443" i="1" s="1"/>
  <c r="L96" i="1"/>
  <c r="Q96" i="1" s="1"/>
  <c r="L678" i="1"/>
  <c r="Q678" i="1" s="1"/>
  <c r="O678" i="1" s="1"/>
  <c r="L414" i="1"/>
  <c r="Q414" i="1" s="1"/>
  <c r="L167" i="1"/>
  <c r="Q167" i="1" s="1"/>
  <c r="L174" i="1"/>
  <c r="Q174" i="1" s="1"/>
  <c r="L421" i="1"/>
  <c r="Q421" i="1" s="1"/>
  <c r="L114" i="1"/>
  <c r="Q114" i="1" s="1"/>
  <c r="L281" i="1"/>
  <c r="Q281" i="1" s="1"/>
  <c r="O281" i="1" s="1"/>
  <c r="L409" i="1"/>
  <c r="Q409" i="1" s="1"/>
  <c r="O409" i="1" s="1"/>
  <c r="L6" i="1"/>
  <c r="Q6" i="1" s="1"/>
  <c r="L580" i="1"/>
  <c r="Q580" i="1" s="1"/>
  <c r="L591" i="1"/>
  <c r="Q591" i="1" s="1"/>
  <c r="L557" i="1"/>
  <c r="Q557" i="1" s="1"/>
  <c r="O557" i="1" s="1"/>
  <c r="L586" i="1"/>
  <c r="Q586" i="1" s="1"/>
  <c r="L246" i="1"/>
  <c r="Q246" i="1" s="1"/>
  <c r="O246" i="1" s="1"/>
  <c r="L455" i="1"/>
  <c r="Q455" i="1" s="1"/>
  <c r="O455" i="1" s="1"/>
  <c r="L378" i="1"/>
  <c r="Q378" i="1" s="1"/>
  <c r="O378" i="1" s="1"/>
  <c r="L342" i="1"/>
  <c r="Q342" i="1" s="1"/>
  <c r="O342" i="1" s="1"/>
  <c r="L630" i="1"/>
  <c r="Q630" i="1" s="1"/>
  <c r="L78" i="1"/>
  <c r="Q78" i="1" s="1"/>
  <c r="L508" i="1"/>
  <c r="Q508" i="1" s="1"/>
  <c r="O508" i="1" s="1"/>
  <c r="L68" i="1"/>
  <c r="Q68" i="1" s="1"/>
  <c r="L98" i="1"/>
  <c r="Q98" i="1" s="1"/>
  <c r="L316" i="1"/>
  <c r="Q316" i="1" s="1"/>
  <c r="O316" i="1" s="1"/>
  <c r="L8" i="1"/>
  <c r="Q8" i="1" s="1"/>
  <c r="L384" i="1"/>
  <c r="Q384" i="1" s="1"/>
  <c r="O384" i="1" s="1"/>
  <c r="L291" i="1"/>
  <c r="Q291" i="1" s="1"/>
  <c r="L458" i="1"/>
  <c r="Q458" i="1" s="1"/>
  <c r="L272" i="1"/>
  <c r="Q272" i="1" s="1"/>
  <c r="L139" i="1"/>
  <c r="Q139" i="1" s="1"/>
  <c r="L203" i="1"/>
  <c r="Q203" i="1" s="1"/>
  <c r="L89" i="1"/>
  <c r="Q89" i="1" s="1"/>
  <c r="L327" i="1"/>
  <c r="Q327" i="1" s="1"/>
  <c r="O327" i="1" s="1"/>
  <c r="L181" i="1"/>
  <c r="Q181" i="1" s="1"/>
  <c r="L646" i="1"/>
  <c r="Q646" i="1" s="1"/>
  <c r="L587" i="1"/>
  <c r="Q587" i="1" s="1"/>
  <c r="L424" i="1"/>
  <c r="Q424" i="1" s="1"/>
  <c r="O424" i="1" s="1"/>
  <c r="L484" i="1"/>
  <c r="Q484" i="1" s="1"/>
  <c r="O484" i="1" s="1"/>
  <c r="L496" i="1"/>
  <c r="Q496" i="1" s="1"/>
  <c r="O496" i="1" s="1"/>
  <c r="L17" i="1"/>
  <c r="Q17" i="1" s="1"/>
  <c r="L637" i="1"/>
  <c r="Q637" i="1" s="1"/>
  <c r="O637" i="1" s="1"/>
  <c r="L536" i="1"/>
  <c r="Q536" i="1" s="1"/>
  <c r="O536" i="1" s="1"/>
  <c r="L207" i="1"/>
  <c r="Q207" i="1" s="1"/>
  <c r="L321" i="1"/>
  <c r="Q321" i="1" s="1"/>
  <c r="L478" i="1"/>
  <c r="Q478" i="1" s="1"/>
  <c r="O478" i="1" s="1"/>
  <c r="L298" i="1"/>
  <c r="Q298" i="1" s="1"/>
  <c r="O298" i="1" s="1"/>
  <c r="L236" i="1"/>
  <c r="Q236" i="1" s="1"/>
  <c r="O236" i="1" s="1"/>
  <c r="L607" i="1"/>
  <c r="Q607" i="1" s="1"/>
  <c r="O607" i="1" s="1"/>
  <c r="L200" i="1"/>
  <c r="Q200" i="1" s="1"/>
  <c r="L29" i="1"/>
  <c r="Q29" i="1" s="1"/>
  <c r="L571" i="1"/>
  <c r="Q571" i="1" s="1"/>
  <c r="L128" i="1"/>
  <c r="Q128" i="1" s="1"/>
  <c r="L300" i="1"/>
  <c r="Q300" i="1" s="1"/>
  <c r="L479" i="1"/>
  <c r="Q479" i="1" s="1"/>
  <c r="L371" i="1"/>
  <c r="Q371" i="1" s="1"/>
  <c r="O371" i="1" s="1"/>
  <c r="L461" i="1"/>
  <c r="Q461" i="1" s="1"/>
  <c r="O461" i="1" s="1"/>
  <c r="L362" i="1"/>
  <c r="Q362" i="1" s="1"/>
  <c r="O362" i="1" s="1"/>
  <c r="L565" i="1"/>
  <c r="Q565" i="1" s="1"/>
  <c r="O565" i="1" s="1"/>
  <c r="L572" i="1"/>
  <c r="Q572" i="1" s="1"/>
  <c r="L470" i="1"/>
  <c r="Q470" i="1" s="1"/>
  <c r="L288" i="1"/>
  <c r="Q288" i="1" s="1"/>
  <c r="O288" i="1" s="1"/>
  <c r="L486" i="1"/>
  <c r="Q486" i="1" s="1"/>
  <c r="O486" i="1" s="1"/>
  <c r="L592" i="1"/>
  <c r="Q592" i="1" s="1"/>
  <c r="O592" i="1" s="1"/>
  <c r="L427" i="1"/>
  <c r="Q427" i="1" s="1"/>
  <c r="O427" i="1" s="1"/>
  <c r="L188" i="1"/>
  <c r="Q188" i="1" s="1"/>
  <c r="L136" i="1"/>
  <c r="Q136" i="1" s="1"/>
  <c r="L369" i="1"/>
  <c r="Q369" i="1" s="1"/>
  <c r="L150" i="1"/>
  <c r="Q150" i="1" s="1"/>
  <c r="L456" i="1"/>
  <c r="Q456" i="1" s="1"/>
  <c r="O456" i="1" s="1"/>
  <c r="L608" i="1"/>
  <c r="Q608" i="1" s="1"/>
  <c r="L151" i="1"/>
  <c r="Q151" i="1" s="1"/>
  <c r="L208" i="1"/>
  <c r="Q208" i="1" s="1"/>
  <c r="L304" i="1"/>
  <c r="Q304" i="1" s="1"/>
  <c r="O304" i="1" s="1"/>
  <c r="L473" i="1"/>
  <c r="Q473" i="1" s="1"/>
  <c r="O473" i="1" s="1"/>
  <c r="L474" i="1"/>
  <c r="Q474" i="1" s="1"/>
  <c r="L253" i="1"/>
  <c r="Q253" i="1" s="1"/>
  <c r="L554" i="1"/>
  <c r="Q554" i="1" s="1"/>
  <c r="O554" i="1" s="1"/>
  <c r="L120" i="1"/>
  <c r="Q120" i="1" s="1"/>
  <c r="L81" i="1"/>
  <c r="Q81" i="1" s="1"/>
  <c r="L402" i="1"/>
  <c r="Q402" i="1" s="1"/>
  <c r="O402" i="1" s="1"/>
  <c r="L143" i="1"/>
  <c r="Q143" i="1" s="1"/>
  <c r="L357" i="1"/>
  <c r="Q357" i="1" s="1"/>
  <c r="O357" i="1" s="1"/>
  <c r="L351" i="1"/>
  <c r="Q351" i="1" s="1"/>
  <c r="L113" i="1"/>
  <c r="Q113" i="1" s="1"/>
  <c r="L204" i="1"/>
  <c r="Q204" i="1" s="1"/>
  <c r="L623" i="1"/>
  <c r="Q623" i="1" s="1"/>
  <c r="O623" i="1" s="1"/>
  <c r="L446" i="1"/>
  <c r="Q446" i="1" s="1"/>
  <c r="O446" i="1" s="1"/>
  <c r="L301" i="1"/>
  <c r="Q301" i="1" s="1"/>
  <c r="O301" i="1" s="1"/>
  <c r="L372" i="1"/>
  <c r="Q372" i="1" s="1"/>
  <c r="O372" i="1" s="1"/>
  <c r="L59" i="1"/>
  <c r="Q59" i="1" s="1"/>
  <c r="L651" i="1"/>
  <c r="Q651" i="1" s="1"/>
  <c r="L27" i="1"/>
  <c r="Q27" i="1" s="1"/>
  <c r="L127" i="1"/>
  <c r="Q127" i="1" s="1"/>
  <c r="L596" i="1"/>
  <c r="Q596" i="1" s="1"/>
  <c r="O596" i="1" s="1"/>
  <c r="L115" i="1"/>
  <c r="Q115" i="1" s="1"/>
  <c r="L124" i="1"/>
  <c r="Q124" i="1" s="1"/>
  <c r="L289" i="1"/>
  <c r="Q289" i="1" s="1"/>
  <c r="O289" i="1" s="1"/>
  <c r="L18" i="1"/>
  <c r="Q18" i="1" s="1"/>
  <c r="L674" i="1"/>
  <c r="Q674" i="1" s="1"/>
  <c r="L593" i="1"/>
  <c r="Q593" i="1" s="1"/>
  <c r="L234" i="1"/>
  <c r="Q234" i="1" s="1"/>
  <c r="O234" i="1" s="1"/>
  <c r="L12" i="1"/>
  <c r="Q12" i="1" s="1"/>
  <c r="L667" i="1"/>
  <c r="Q667" i="1" s="1"/>
  <c r="O667" i="1" s="1"/>
  <c r="L267" i="1"/>
  <c r="Q267" i="1" s="1"/>
  <c r="O267" i="1" s="1"/>
  <c r="L197" i="1"/>
  <c r="Q197" i="1" s="1"/>
  <c r="L305" i="1"/>
  <c r="Q305" i="1" s="1"/>
  <c r="O305" i="1" s="1"/>
  <c r="L51" i="1"/>
  <c r="Q51" i="1" s="1"/>
  <c r="L442" i="1"/>
  <c r="Q442" i="1" s="1"/>
  <c r="L633" i="1"/>
  <c r="Q633" i="1" s="1"/>
  <c r="O633" i="1" s="1"/>
  <c r="L341" i="1"/>
  <c r="Q341" i="1" s="1"/>
  <c r="O341" i="1" s="1"/>
  <c r="L233" i="1"/>
  <c r="Q233" i="1" s="1"/>
  <c r="O233" i="1" s="1"/>
  <c r="L563" i="1"/>
  <c r="Q563" i="1" s="1"/>
  <c r="O563" i="1" s="1"/>
  <c r="L10" i="1"/>
  <c r="Q10" i="1" s="1"/>
  <c r="L541" i="1"/>
  <c r="Q541" i="1" s="1"/>
  <c r="L560" i="1"/>
  <c r="Q560" i="1" s="1"/>
  <c r="L381" i="1"/>
  <c r="Q381" i="1" s="1"/>
  <c r="L5" i="1"/>
  <c r="Q5" i="1" s="1"/>
  <c r="L466" i="1"/>
  <c r="Q466" i="1" s="1"/>
  <c r="L99" i="1"/>
  <c r="Q99" i="1" s="1"/>
  <c r="L408" i="1"/>
  <c r="Q408" i="1" s="1"/>
  <c r="O408" i="1" s="1"/>
  <c r="L330" i="1"/>
  <c r="Q330" i="1" s="1"/>
  <c r="O330" i="1" s="1"/>
  <c r="L87" i="1"/>
  <c r="Q87" i="1" s="1"/>
  <c r="L352" i="1"/>
  <c r="Q352" i="1" s="1"/>
  <c r="L542" i="1"/>
  <c r="Q542" i="1" s="1"/>
  <c r="L187" i="1"/>
  <c r="Q187" i="1" s="1"/>
  <c r="L385" i="1"/>
  <c r="Q385" i="1" s="1"/>
  <c r="O385" i="1" s="1"/>
  <c r="L93" i="1"/>
  <c r="Q93" i="1" s="1"/>
  <c r="L410" i="1"/>
  <c r="Q410" i="1" s="1"/>
  <c r="O410" i="1" s="1"/>
  <c r="L101" i="1"/>
  <c r="Q101" i="1" s="1"/>
  <c r="L48" i="1"/>
  <c r="Q48" i="1" s="1"/>
  <c r="L19" i="1"/>
  <c r="Q19" i="1" s="1"/>
  <c r="L250" i="1"/>
  <c r="Q250" i="1" s="1"/>
  <c r="L198" i="1"/>
  <c r="Q198" i="1" s="1"/>
  <c r="L649" i="1"/>
  <c r="Q649" i="1" s="1"/>
  <c r="L69" i="1"/>
  <c r="Q69" i="1" s="1"/>
  <c r="L217" i="1"/>
  <c r="Q217" i="1" s="1"/>
  <c r="L476" i="1"/>
  <c r="Q476" i="1" s="1"/>
  <c r="O476" i="1" s="1"/>
  <c r="L153" i="1"/>
  <c r="Q153" i="1" s="1"/>
  <c r="L453" i="1"/>
  <c r="Q453" i="1" s="1"/>
  <c r="L450" i="1"/>
  <c r="Q450" i="1" s="1"/>
  <c r="L516" i="1"/>
  <c r="Q516" i="1" s="1"/>
  <c r="O516" i="1" s="1"/>
  <c r="L672" i="1"/>
  <c r="Q672" i="1" s="1"/>
  <c r="L140" i="1"/>
  <c r="Q140" i="1" s="1"/>
  <c r="L689" i="1"/>
  <c r="Q689" i="1" s="1"/>
  <c r="O689" i="1" s="1"/>
  <c r="L403" i="1"/>
  <c r="Q403" i="1" s="1"/>
  <c r="O403" i="1" s="1"/>
  <c r="L626" i="1"/>
  <c r="Q626" i="1" s="1"/>
  <c r="L322" i="1"/>
  <c r="Q322" i="1" s="1"/>
  <c r="L431" i="1"/>
  <c r="Q431" i="1" s="1"/>
  <c r="L119" i="1"/>
  <c r="Q119" i="1" s="1"/>
  <c r="L347" i="1"/>
  <c r="Q347" i="1" s="1"/>
  <c r="O347" i="1" s="1"/>
  <c r="L79" i="1"/>
  <c r="Q79" i="1" s="1"/>
  <c r="L294" i="1"/>
  <c r="Q294" i="1" s="1"/>
  <c r="O294" i="1" s="1"/>
  <c r="L209" i="1"/>
  <c r="Q209" i="1" s="1"/>
  <c r="L323" i="1"/>
  <c r="Q323" i="1" s="1"/>
  <c r="L53" i="1"/>
  <c r="Q53" i="1" s="1"/>
  <c r="L467" i="1"/>
  <c r="Q467" i="1" s="1"/>
  <c r="L83" i="1"/>
  <c r="Q83" i="1" s="1"/>
  <c r="L241" i="1"/>
  <c r="Q241" i="1" s="1"/>
  <c r="O241" i="1" s="1"/>
  <c r="L395" i="1"/>
  <c r="Q395" i="1" s="1"/>
  <c r="O395" i="1" s="1"/>
  <c r="L271" i="1"/>
  <c r="Q271" i="1" s="1"/>
  <c r="O271" i="1" s="1"/>
  <c r="L387" i="1"/>
  <c r="Q387" i="1" s="1"/>
  <c r="O387" i="1" s="1"/>
  <c r="L472" i="1"/>
  <c r="Q472" i="1" s="1"/>
  <c r="L190" i="1"/>
  <c r="Q190" i="1" s="1"/>
  <c r="L189" i="1"/>
  <c r="Q189" i="1" s="1"/>
  <c r="L112" i="1"/>
  <c r="Q112" i="1" s="1"/>
  <c r="L463" i="1"/>
  <c r="Q463" i="1" s="1"/>
  <c r="O463" i="1" s="1"/>
  <c r="L84" i="1"/>
  <c r="Q84" i="1" s="1"/>
  <c r="L488" i="1"/>
  <c r="Q488" i="1" s="1"/>
  <c r="O488" i="1" s="1"/>
  <c r="L589" i="1"/>
  <c r="Q589" i="1" s="1"/>
  <c r="O589" i="1" s="1"/>
  <c r="L260" i="1"/>
  <c r="Q260" i="1" s="1"/>
  <c r="L581" i="1"/>
  <c r="Q581" i="1" s="1"/>
  <c r="L411" i="1"/>
  <c r="Q411" i="1" s="1"/>
  <c r="L219" i="1"/>
  <c r="Q219" i="1" s="1"/>
  <c r="L405" i="1"/>
  <c r="Q405" i="1" s="1"/>
  <c r="O405" i="1" s="1"/>
  <c r="L348" i="1"/>
  <c r="Q348" i="1" s="1"/>
  <c r="O348" i="1" s="1"/>
  <c r="L196" i="1"/>
  <c r="Q196" i="1" s="1"/>
  <c r="L573" i="1"/>
  <c r="Q573" i="1" s="1"/>
  <c r="O573" i="1" s="1"/>
  <c r="L293" i="1"/>
  <c r="Q293" i="1" s="1"/>
  <c r="L274" i="1"/>
  <c r="Q274" i="1" s="1"/>
  <c r="L63" i="1"/>
  <c r="Q63" i="1" s="1"/>
  <c r="L692" i="1"/>
  <c r="Q692" i="1" s="1"/>
  <c r="O692" i="1" s="1"/>
  <c r="L497" i="1"/>
  <c r="Q497" i="1" s="1"/>
  <c r="L299" i="1"/>
  <c r="Q299" i="1" s="1"/>
  <c r="O299" i="1" s="1"/>
  <c r="L309" i="1"/>
  <c r="Q309" i="1" s="1"/>
  <c r="O309" i="1" s="1"/>
  <c r="L614" i="1"/>
  <c r="Q614" i="1" s="1"/>
  <c r="O614" i="1" s="1"/>
  <c r="L350" i="1"/>
  <c r="Q350" i="1" s="1"/>
  <c r="L148" i="1"/>
  <c r="Q148" i="1" s="1"/>
  <c r="L382" i="1"/>
  <c r="Q382" i="1" s="1"/>
  <c r="L399" i="1"/>
  <c r="Q399" i="1" s="1"/>
  <c r="L683" i="1"/>
  <c r="Q683" i="1" s="1"/>
  <c r="O683" i="1" s="1"/>
  <c r="L50" i="1"/>
  <c r="Q50" i="1" s="1"/>
  <c r="L628" i="1"/>
  <c r="Q628" i="1" s="1"/>
  <c r="O628" i="1" s="1"/>
  <c r="L619" i="1"/>
  <c r="Q619" i="1" s="1"/>
  <c r="O619" i="1" s="1"/>
  <c r="L550" i="1"/>
  <c r="Q550" i="1" s="1"/>
  <c r="L76" i="1"/>
  <c r="Q76" i="1" s="1"/>
  <c r="L290" i="1"/>
  <c r="Q290" i="1" s="1"/>
  <c r="L20" i="1"/>
  <c r="Q20" i="1" s="1"/>
  <c r="L42" i="1"/>
  <c r="Q42" i="1" s="1"/>
  <c r="L336" i="1"/>
  <c r="Q336" i="1" s="1"/>
  <c r="O336" i="1" s="1"/>
  <c r="L491" i="1"/>
  <c r="Q491" i="1" s="1"/>
  <c r="O491" i="1" s="1"/>
  <c r="L392" i="1"/>
  <c r="Q392" i="1" s="1"/>
  <c r="O392" i="1" s="1"/>
  <c r="L436" i="1"/>
  <c r="Q436" i="1" s="1"/>
  <c r="L531" i="1"/>
  <c r="Q531" i="1" s="1"/>
  <c r="L613" i="1"/>
  <c r="Q613" i="1" s="1"/>
  <c r="L40" i="1"/>
  <c r="Q40" i="1" s="1"/>
  <c r="L642" i="1"/>
  <c r="Q642" i="1" s="1"/>
  <c r="L163" i="1"/>
  <c r="Q163" i="1" s="1"/>
  <c r="L77" i="1"/>
  <c r="Q77" i="1" s="1"/>
  <c r="L193" i="1"/>
  <c r="Q193" i="1" s="1"/>
  <c r="L105" i="1"/>
  <c r="Q105" i="1" s="1"/>
  <c r="L224" i="1"/>
  <c r="Q224" i="1" s="1"/>
  <c r="L609" i="1"/>
  <c r="Q609" i="1" s="1"/>
  <c r="L280" i="1"/>
  <c r="Q280" i="1" s="1"/>
  <c r="O280" i="1" s="1"/>
  <c r="L239" i="1"/>
  <c r="Q239" i="1" s="1"/>
  <c r="O239" i="1" s="1"/>
  <c r="L548" i="1"/>
  <c r="Q548" i="1" s="1"/>
  <c r="L216" i="1"/>
  <c r="Q216" i="1" s="1"/>
  <c r="L170" i="1"/>
  <c r="Q170" i="1" s="1"/>
  <c r="L544" i="1"/>
  <c r="Q544" i="1" s="1"/>
  <c r="L684" i="1"/>
  <c r="Q684" i="1" s="1"/>
  <c r="L620" i="1"/>
  <c r="Q620" i="1" s="1"/>
  <c r="L482" i="1"/>
  <c r="Q482" i="1" s="1"/>
  <c r="O482" i="1" s="1"/>
  <c r="L612" i="1"/>
  <c r="Q612" i="1" s="1"/>
  <c r="O612" i="1" s="1"/>
  <c r="L519" i="1"/>
  <c r="Q519" i="1" s="1"/>
  <c r="O519" i="1" s="1"/>
  <c r="L606" i="1"/>
  <c r="Q606" i="1" s="1"/>
  <c r="L122" i="1"/>
  <c r="Q122" i="1" s="1"/>
  <c r="L391" i="1"/>
  <c r="Q391" i="1" s="1"/>
  <c r="L615" i="1"/>
  <c r="Q615" i="1" s="1"/>
  <c r="L102" i="1"/>
  <c r="Q102" i="1" s="1"/>
  <c r="L652" i="1"/>
  <c r="Q652" i="1" s="1"/>
  <c r="O652" i="1" s="1"/>
  <c r="L103" i="1"/>
  <c r="Q103" i="1" s="1"/>
  <c r="L383" i="1"/>
  <c r="Q383" i="1" s="1"/>
  <c r="O383" i="1" s="1"/>
  <c r="L154" i="1"/>
  <c r="Q154" i="1" s="1"/>
  <c r="L440" i="1"/>
  <c r="Q440" i="1" s="1"/>
  <c r="O440" i="1" s="1"/>
  <c r="L88" i="1"/>
  <c r="Q88" i="1" s="1"/>
  <c r="L679" i="1"/>
  <c r="Q679" i="1" s="1"/>
  <c r="L566" i="1"/>
  <c r="Q566" i="1" s="1"/>
  <c r="L155" i="1"/>
  <c r="Q155" i="1" s="1"/>
  <c r="L145" i="1"/>
  <c r="Q145" i="1" s="1"/>
  <c r="L434" i="1"/>
  <c r="Q434" i="1" s="1"/>
  <c r="O434" i="1" s="1"/>
  <c r="L616" i="1"/>
  <c r="Q616" i="1" s="1"/>
  <c r="O616" i="1" s="1"/>
  <c r="L549" i="1"/>
  <c r="Q549" i="1" s="1"/>
  <c r="O549" i="1" s="1"/>
  <c r="L240" i="1"/>
  <c r="Q240" i="1" s="1"/>
  <c r="L229" i="1"/>
  <c r="Q229" i="1" s="1"/>
  <c r="L144" i="1"/>
  <c r="Q144" i="1" s="1"/>
  <c r="L222" i="1"/>
  <c r="Q222" i="1" s="1"/>
  <c r="O222" i="1" s="1"/>
  <c r="L525" i="1"/>
  <c r="Q525" i="1" s="1"/>
  <c r="L117" i="1"/>
  <c r="Q117" i="1" s="1"/>
  <c r="L67" i="1"/>
  <c r="Q67" i="1" s="1"/>
  <c r="L433" i="1"/>
  <c r="Q433" i="1" s="1"/>
  <c r="O433" i="1" s="1"/>
  <c r="L701" i="1"/>
  <c r="Q701" i="1" s="1"/>
  <c r="L284" i="1"/>
  <c r="Q284" i="1" s="1"/>
  <c r="L225" i="1"/>
  <c r="Q225" i="1" s="1"/>
  <c r="L176" i="1"/>
  <c r="Q176" i="1" s="1"/>
  <c r="L191" i="1"/>
  <c r="Q191" i="1" s="1"/>
  <c r="L617" i="1"/>
  <c r="Q617" i="1" s="1"/>
  <c r="L498" i="1"/>
  <c r="Q498" i="1" s="1"/>
  <c r="L511" i="1"/>
  <c r="Q511" i="1" s="1"/>
  <c r="L242" i="1"/>
  <c r="Q242" i="1" s="1"/>
  <c r="L513" i="1"/>
  <c r="Q513" i="1" s="1"/>
  <c r="L230" i="1"/>
  <c r="Q230" i="1" s="1"/>
  <c r="L186" i="1"/>
  <c r="Q186" i="1" s="1"/>
  <c r="L420" i="1"/>
  <c r="Q420" i="1" s="1"/>
  <c r="L680" i="1"/>
  <c r="Q680" i="1" s="1"/>
  <c r="L631" i="1"/>
  <c r="Q631" i="1" s="1"/>
  <c r="L533" i="1"/>
  <c r="Q533" i="1" s="1"/>
  <c r="L258" i="1"/>
  <c r="Q258" i="1" s="1"/>
  <c r="L22" i="1"/>
  <c r="Q22" i="1" s="1"/>
  <c r="L344" i="1"/>
  <c r="Q344" i="1" s="1"/>
  <c r="L425" i="1"/>
  <c r="Q425" i="1" s="1"/>
  <c r="R3" i="1" l="1"/>
  <c r="R5" i="1"/>
  <c r="W5" i="1"/>
  <c r="R258" i="1"/>
  <c r="O258" i="1"/>
  <c r="R701" i="1"/>
  <c r="O701" i="1"/>
  <c r="R391" i="1"/>
  <c r="O391" i="1"/>
  <c r="R544" i="1"/>
  <c r="O544" i="1"/>
  <c r="R436" i="1"/>
  <c r="O436" i="1"/>
  <c r="R550" i="1"/>
  <c r="O550" i="1"/>
  <c r="R350" i="1"/>
  <c r="O350" i="1"/>
  <c r="R293" i="1"/>
  <c r="O293" i="1"/>
  <c r="R260" i="1"/>
  <c r="O260" i="1"/>
  <c r="R472" i="1"/>
  <c r="O472" i="1"/>
  <c r="R323" i="1"/>
  <c r="O323" i="1"/>
  <c r="R626" i="1"/>
  <c r="O626" i="1"/>
  <c r="R541" i="1"/>
  <c r="O541" i="1"/>
  <c r="R533" i="1"/>
  <c r="O533" i="1"/>
  <c r="R511" i="1"/>
  <c r="O511" i="1"/>
  <c r="R631" i="1"/>
  <c r="O631" i="1"/>
  <c r="R498" i="1"/>
  <c r="O498" i="1"/>
  <c r="W606" i="1"/>
  <c r="O606" i="1"/>
  <c r="R680" i="1"/>
  <c r="O680" i="1"/>
  <c r="R617" i="1"/>
  <c r="O617" i="1"/>
  <c r="W548" i="1"/>
  <c r="O548" i="1"/>
  <c r="W697" i="1"/>
  <c r="O697" i="1"/>
  <c r="W668" i="1"/>
  <c r="O668" i="1"/>
  <c r="W647" i="1"/>
  <c r="O647" i="1"/>
  <c r="R420" i="1"/>
  <c r="O420" i="1"/>
  <c r="W525" i="1"/>
  <c r="O525" i="1"/>
  <c r="W642" i="1"/>
  <c r="O642" i="1"/>
  <c r="W497" i="1"/>
  <c r="O497" i="1"/>
  <c r="W672" i="1"/>
  <c r="O672" i="1"/>
  <c r="W649" i="1"/>
  <c r="O649" i="1"/>
  <c r="W466" i="1"/>
  <c r="O466" i="1"/>
  <c r="W608" i="1"/>
  <c r="O608" i="1"/>
  <c r="W479" i="1"/>
  <c r="O479" i="1"/>
  <c r="W586" i="1"/>
  <c r="O586" i="1"/>
  <c r="W421" i="1"/>
  <c r="O421" i="1"/>
  <c r="W359" i="1"/>
  <c r="O359" i="1"/>
  <c r="W285" i="1"/>
  <c r="O285" i="1"/>
  <c r="W492" i="1"/>
  <c r="O492" i="1"/>
  <c r="W471" i="1"/>
  <c r="O471" i="1"/>
  <c r="W621" i="1"/>
  <c r="O621" i="1"/>
  <c r="W650" i="1"/>
  <c r="O650" i="1"/>
  <c r="W462" i="1"/>
  <c r="O462" i="1"/>
  <c r="W312" i="1"/>
  <c r="O312" i="1"/>
  <c r="W512" i="1"/>
  <c r="O512" i="1"/>
  <c r="W477" i="1"/>
  <c r="O477" i="1"/>
  <c r="W318" i="1"/>
  <c r="O318" i="1"/>
  <c r="W373" i="1"/>
  <c r="O373" i="1"/>
  <c r="W425" i="1"/>
  <c r="O425" i="1"/>
  <c r="W399" i="1"/>
  <c r="O399" i="1"/>
  <c r="W300" i="1"/>
  <c r="O300" i="1"/>
  <c r="W272" i="1"/>
  <c r="O272" i="1"/>
  <c r="W553" i="1"/>
  <c r="O553" i="1"/>
  <c r="W676" i="1"/>
  <c r="O676" i="1"/>
  <c r="W256" i="1"/>
  <c r="O256" i="1"/>
  <c r="W639" i="1"/>
  <c r="O639" i="1"/>
  <c r="W394" i="1"/>
  <c r="O394" i="1"/>
  <c r="R618" i="1"/>
  <c r="O618" i="1"/>
  <c r="R326" i="1"/>
  <c r="O326" i="1"/>
  <c r="R286" i="1"/>
  <c r="O286" i="1"/>
  <c r="R489" i="1"/>
  <c r="O489" i="1"/>
  <c r="R310" i="1"/>
  <c r="O310" i="1"/>
  <c r="R412" i="1"/>
  <c r="O412" i="1"/>
  <c r="R666" i="1"/>
  <c r="O666" i="1"/>
  <c r="W475" i="1"/>
  <c r="O475" i="1"/>
  <c r="W344" i="1"/>
  <c r="O344" i="1"/>
  <c r="R566" i="1"/>
  <c r="O566" i="1"/>
  <c r="R620" i="1"/>
  <c r="O620" i="1"/>
  <c r="R609" i="1"/>
  <c r="O609" i="1"/>
  <c r="R613" i="1"/>
  <c r="O613" i="1"/>
  <c r="R290" i="1"/>
  <c r="O290" i="1"/>
  <c r="W382" i="1"/>
  <c r="O382" i="1"/>
  <c r="R411" i="1"/>
  <c r="O411" i="1"/>
  <c r="R467" i="1"/>
  <c r="O467" i="1"/>
  <c r="R431" i="1"/>
  <c r="O431" i="1"/>
  <c r="R450" i="1"/>
  <c r="O450" i="1"/>
  <c r="W250" i="1"/>
  <c r="O250" i="1"/>
  <c r="R542" i="1"/>
  <c r="O542" i="1"/>
  <c r="R381" i="1"/>
  <c r="O381" i="1"/>
  <c r="R442" i="1"/>
  <c r="O442" i="1"/>
  <c r="R593" i="1"/>
  <c r="O593" i="1"/>
  <c r="R253" i="1"/>
  <c r="O253" i="1"/>
  <c r="R470" i="1"/>
  <c r="O470" i="1"/>
  <c r="R321" i="1"/>
  <c r="O321" i="1"/>
  <c r="R587" i="1"/>
  <c r="O587" i="1"/>
  <c r="W458" i="1"/>
  <c r="O458" i="1"/>
  <c r="R591" i="1"/>
  <c r="O591" i="1"/>
  <c r="R656" i="1"/>
  <c r="O656" i="1"/>
  <c r="R529" i="1"/>
  <c r="O529" i="1"/>
  <c r="R500" i="1"/>
  <c r="O500" i="1"/>
  <c r="R530" i="1"/>
  <c r="O530" i="1"/>
  <c r="R445" i="1"/>
  <c r="O445" i="1"/>
  <c r="R610" i="1"/>
  <c r="O610" i="1"/>
  <c r="R625" i="1"/>
  <c r="O625" i="1"/>
  <c r="W480" i="1"/>
  <c r="O480" i="1"/>
  <c r="R423" i="1"/>
  <c r="O423" i="1"/>
  <c r="R422" i="1"/>
  <c r="O422" i="1"/>
  <c r="R638" i="1"/>
  <c r="O638" i="1"/>
  <c r="R635" i="1"/>
  <c r="O635" i="1"/>
  <c r="W551" i="1"/>
  <c r="O551" i="1"/>
  <c r="R346" i="1"/>
  <c r="O346" i="1"/>
  <c r="R257" i="1"/>
  <c r="O257" i="1"/>
  <c r="R282" i="1"/>
  <c r="O282" i="1"/>
  <c r="R590" i="1"/>
  <c r="O590" i="1"/>
  <c r="R374" i="1"/>
  <c r="O374" i="1"/>
  <c r="R449" i="1"/>
  <c r="O449" i="1"/>
  <c r="R270" i="1"/>
  <c r="O270" i="1"/>
  <c r="W335" i="1"/>
  <c r="O335" i="1"/>
  <c r="R574" i="1"/>
  <c r="O574" i="1"/>
  <c r="R640" i="1"/>
  <c r="O640" i="1"/>
  <c r="R687" i="1"/>
  <c r="O687" i="1"/>
  <c r="R627" i="1"/>
  <c r="O627" i="1"/>
  <c r="W523" i="1"/>
  <c r="O523" i="1"/>
  <c r="R559" i="1"/>
  <c r="O559" i="1"/>
  <c r="R686" i="1"/>
  <c r="O686" i="1"/>
  <c r="R297" i="1"/>
  <c r="O297" i="1"/>
  <c r="R407" i="1"/>
  <c r="O407" i="1"/>
  <c r="R389" i="1"/>
  <c r="O389" i="1"/>
  <c r="R648" i="1"/>
  <c r="O648" i="1"/>
  <c r="R379" i="1"/>
  <c r="O379" i="1"/>
  <c r="W664" i="1"/>
  <c r="O664" i="1"/>
  <c r="W570" i="1"/>
  <c r="O570" i="1"/>
  <c r="W370" i="1"/>
  <c r="O370" i="1"/>
  <c r="W643" i="1"/>
  <c r="O643" i="1"/>
  <c r="R513" i="1"/>
  <c r="O513" i="1"/>
  <c r="R284" i="1"/>
  <c r="O284" i="1"/>
  <c r="W679" i="1"/>
  <c r="O679" i="1"/>
  <c r="R615" i="1"/>
  <c r="O615" i="1"/>
  <c r="R684" i="1"/>
  <c r="O684" i="1"/>
  <c r="R531" i="1"/>
  <c r="O531" i="1"/>
  <c r="W274" i="1"/>
  <c r="O274" i="1"/>
  <c r="W581" i="1"/>
  <c r="O581" i="1"/>
  <c r="R322" i="1"/>
  <c r="O322" i="1"/>
  <c r="R453" i="1"/>
  <c r="O453" i="1"/>
  <c r="R352" i="1"/>
  <c r="O352" i="1"/>
  <c r="R560" i="1"/>
  <c r="O560" i="1"/>
  <c r="R674" i="1"/>
  <c r="O674" i="1"/>
  <c r="R651" i="1"/>
  <c r="O651" i="1"/>
  <c r="R351" i="1"/>
  <c r="O351" i="1"/>
  <c r="R474" i="1"/>
  <c r="O474" i="1"/>
  <c r="R369" i="1"/>
  <c r="O369" i="1"/>
  <c r="R572" i="1"/>
  <c r="O572" i="1"/>
  <c r="R571" i="1"/>
  <c r="O571" i="1"/>
  <c r="R646" i="1"/>
  <c r="O646" i="1"/>
  <c r="R291" i="1"/>
  <c r="O291" i="1"/>
  <c r="R630" i="1"/>
  <c r="O630" i="1"/>
  <c r="R580" i="1"/>
  <c r="O580" i="1"/>
  <c r="R414" i="1"/>
  <c r="O414" i="1"/>
  <c r="R622" i="1"/>
  <c r="O622" i="1"/>
  <c r="W437" i="1"/>
  <c r="O437" i="1"/>
  <c r="R368" i="1"/>
  <c r="O368" i="1"/>
  <c r="R333" i="1"/>
  <c r="O333" i="1"/>
  <c r="W400" i="1"/>
  <c r="O400" i="1"/>
  <c r="R543" i="1"/>
  <c r="O543" i="1"/>
  <c r="R447" i="1"/>
  <c r="O447" i="1"/>
  <c r="W269" i="1"/>
  <c r="O269" i="1"/>
  <c r="R248" i="1"/>
  <c r="O248" i="1"/>
  <c r="W302" i="1"/>
  <c r="O302" i="1"/>
  <c r="R510" i="1"/>
  <c r="O510" i="1"/>
  <c r="R700" i="1"/>
  <c r="O700" i="1"/>
  <c r="R313" i="1"/>
  <c r="O313" i="1"/>
  <c r="R418" i="1"/>
  <c r="O418" i="1"/>
  <c r="R337" i="1"/>
  <c r="O337" i="1"/>
  <c r="R396" i="1"/>
  <c r="O396" i="1"/>
  <c r="R693" i="1"/>
  <c r="O693" i="1"/>
  <c r="R252" i="1"/>
  <c r="O252" i="1"/>
  <c r="R654" i="1"/>
  <c r="O654" i="1"/>
  <c r="R377" i="1"/>
  <c r="O377" i="1"/>
  <c r="W611" i="1"/>
  <c r="O611" i="1"/>
  <c r="W583" i="1"/>
  <c r="O583" i="1"/>
  <c r="R242" i="1"/>
  <c r="O242" i="1"/>
  <c r="W216" i="1"/>
  <c r="W163" i="1"/>
  <c r="R240" i="1"/>
  <c r="O240" i="1"/>
  <c r="R191" i="1"/>
  <c r="W120" i="1"/>
  <c r="W100" i="1"/>
  <c r="W54" i="1"/>
  <c r="W133" i="1"/>
  <c r="W116" i="1"/>
  <c r="W149" i="1"/>
  <c r="W202" i="1"/>
  <c r="R153" i="1"/>
  <c r="W42" i="1"/>
  <c r="W186" i="1"/>
  <c r="W176" i="1"/>
  <c r="W20" i="1"/>
  <c r="W83" i="1"/>
  <c r="W127" i="1"/>
  <c r="W109" i="1"/>
  <c r="W52" i="1"/>
  <c r="W118" i="1"/>
  <c r="W158" i="1"/>
  <c r="R48" i="1"/>
  <c r="W230" i="1"/>
  <c r="O230" i="1"/>
  <c r="W225" i="1"/>
  <c r="O225" i="1"/>
  <c r="R144" i="1"/>
  <c r="R102" i="1"/>
  <c r="W63" i="1"/>
  <c r="R189" i="1"/>
  <c r="R27" i="1"/>
  <c r="R113" i="1"/>
  <c r="W150" i="1"/>
  <c r="R128" i="1"/>
  <c r="R78" i="1"/>
  <c r="W167" i="1"/>
  <c r="R135" i="1"/>
  <c r="R82" i="1"/>
  <c r="R121" i="1"/>
  <c r="R72" i="1"/>
  <c r="W141" i="1"/>
  <c r="R46" i="1"/>
  <c r="R156" i="1"/>
  <c r="W123" i="1"/>
  <c r="R13" i="1"/>
  <c r="R211" i="1"/>
  <c r="R152" i="1"/>
  <c r="R88" i="1"/>
  <c r="R105" i="1"/>
  <c r="R87" i="1"/>
  <c r="R22" i="1"/>
  <c r="R229" i="1"/>
  <c r="O229" i="1"/>
  <c r="R224" i="1"/>
  <c r="O224" i="1"/>
  <c r="R76" i="1"/>
  <c r="R148" i="1"/>
  <c r="R190" i="1"/>
  <c r="R53" i="1"/>
  <c r="W19" i="1"/>
  <c r="W51" i="1"/>
  <c r="R207" i="1"/>
  <c r="R226" i="1"/>
  <c r="O226" i="1"/>
  <c r="R162" i="1"/>
  <c r="R159" i="1"/>
  <c r="R108" i="1"/>
  <c r="R110" i="1"/>
  <c r="W62" i="1"/>
  <c r="R227" i="1"/>
  <c r="O227" i="1"/>
  <c r="R106" i="1"/>
  <c r="W245" i="1"/>
  <c r="O245" i="1"/>
  <c r="R35" i="1"/>
  <c r="R177" i="1"/>
  <c r="W126" i="1"/>
  <c r="R137" i="1"/>
  <c r="R130" i="1"/>
  <c r="W161" i="1"/>
  <c r="W169" i="1"/>
  <c r="R689" i="1"/>
  <c r="W689" i="1"/>
  <c r="R455" i="1"/>
  <c r="W455" i="1"/>
  <c r="R244" i="1"/>
  <c r="W244" i="1"/>
  <c r="R268" i="1"/>
  <c r="W268" i="1"/>
  <c r="R433" i="1"/>
  <c r="W433" i="1"/>
  <c r="R549" i="1"/>
  <c r="W549" i="1"/>
  <c r="R440" i="1"/>
  <c r="W440" i="1"/>
  <c r="R122" i="1"/>
  <c r="W122" i="1"/>
  <c r="R170" i="1"/>
  <c r="W170" i="1"/>
  <c r="R193" i="1"/>
  <c r="W193" i="1"/>
  <c r="R392" i="1"/>
  <c r="W392" i="1"/>
  <c r="R619" i="1"/>
  <c r="W619" i="1"/>
  <c r="R614" i="1"/>
  <c r="W614" i="1"/>
  <c r="R573" i="1"/>
  <c r="W573" i="1"/>
  <c r="R589" i="1"/>
  <c r="W589" i="1"/>
  <c r="R387" i="1"/>
  <c r="W387" i="1"/>
  <c r="R209" i="1"/>
  <c r="W209" i="1"/>
  <c r="R403" i="1"/>
  <c r="W403" i="1"/>
  <c r="R476" i="1"/>
  <c r="W476" i="1"/>
  <c r="R101" i="1"/>
  <c r="W101" i="1"/>
  <c r="R330" i="1"/>
  <c r="W330" i="1"/>
  <c r="R10" i="1"/>
  <c r="W10" i="1"/>
  <c r="R197" i="1"/>
  <c r="W197" i="1"/>
  <c r="R289" i="1"/>
  <c r="W289" i="1"/>
  <c r="R372" i="1"/>
  <c r="W372" i="1"/>
  <c r="R143" i="1"/>
  <c r="W143" i="1"/>
  <c r="R304" i="1"/>
  <c r="W304" i="1"/>
  <c r="R188" i="1"/>
  <c r="W188" i="1"/>
  <c r="R362" i="1"/>
  <c r="W362" i="1"/>
  <c r="R200" i="1"/>
  <c r="W200" i="1"/>
  <c r="R637" i="1"/>
  <c r="W637" i="1"/>
  <c r="R327" i="1"/>
  <c r="W327" i="1"/>
  <c r="R8" i="1"/>
  <c r="W8" i="1"/>
  <c r="R378" i="1"/>
  <c r="W378" i="1"/>
  <c r="R409" i="1"/>
  <c r="W409" i="1"/>
  <c r="R96" i="1"/>
  <c r="W96" i="1"/>
  <c r="R514" i="1"/>
  <c r="W514" i="1"/>
  <c r="R195" i="1"/>
  <c r="W195" i="1"/>
  <c r="R7" i="1"/>
  <c r="W7" i="1"/>
  <c r="R546" i="1"/>
  <c r="W546" i="1"/>
  <c r="R660" i="1"/>
  <c r="W660" i="1"/>
  <c r="R33" i="1"/>
  <c r="W33" i="1"/>
  <c r="R658" i="1"/>
  <c r="W658" i="1"/>
  <c r="R228" i="1"/>
  <c r="W228" i="1"/>
  <c r="R599" i="1"/>
  <c r="W599" i="1"/>
  <c r="R247" i="1"/>
  <c r="W247" i="1"/>
  <c r="R365" i="1"/>
  <c r="W365" i="1"/>
  <c r="R320" i="1"/>
  <c r="W320" i="1"/>
  <c r="R567" i="1"/>
  <c r="W567" i="1"/>
  <c r="R14" i="1"/>
  <c r="W14" i="1"/>
  <c r="R205" i="1"/>
  <c r="W205" i="1"/>
  <c r="R238" i="1"/>
  <c r="W238" i="1"/>
  <c r="R691" i="1"/>
  <c r="W691" i="1"/>
  <c r="R231" i="1"/>
  <c r="W231" i="1"/>
  <c r="R439" i="1"/>
  <c r="W439" i="1"/>
  <c r="R34" i="1"/>
  <c r="W34" i="1"/>
  <c r="R509" i="1"/>
  <c r="W509" i="1"/>
  <c r="R142" i="1"/>
  <c r="W142" i="1"/>
  <c r="R490" i="1"/>
  <c r="W490" i="1"/>
  <c r="R60" i="1"/>
  <c r="W60" i="1"/>
  <c r="R417" i="1"/>
  <c r="W417" i="1"/>
  <c r="R201" i="1"/>
  <c r="W201" i="1"/>
  <c r="R675" i="1"/>
  <c r="W675" i="1"/>
  <c r="R343" i="1"/>
  <c r="W343" i="1"/>
  <c r="R303" i="1"/>
  <c r="W303" i="1"/>
  <c r="R464" i="1"/>
  <c r="W464" i="1"/>
  <c r="R597" i="1"/>
  <c r="W597" i="1"/>
  <c r="R398" i="1"/>
  <c r="W398" i="1"/>
  <c r="R319" i="1"/>
  <c r="W319" i="1"/>
  <c r="R26" i="1"/>
  <c r="W26" i="1"/>
  <c r="R585" i="1"/>
  <c r="W585" i="1"/>
  <c r="R317" i="1"/>
  <c r="W317" i="1"/>
  <c r="R568" i="1"/>
  <c r="W568" i="1"/>
  <c r="R56" i="1"/>
  <c r="W56" i="1"/>
  <c r="R481" i="1"/>
  <c r="W481" i="1"/>
  <c r="R564" i="1"/>
  <c r="W564" i="1"/>
  <c r="R345" i="1"/>
  <c r="W345" i="1"/>
  <c r="R325" i="1"/>
  <c r="W325" i="1"/>
  <c r="R636" i="1"/>
  <c r="W636" i="1"/>
  <c r="R104" i="1"/>
  <c r="W104" i="1"/>
  <c r="R264" i="1"/>
  <c r="W264" i="1"/>
  <c r="R452" i="1"/>
  <c r="W452" i="1"/>
  <c r="R168" i="1"/>
  <c r="W168" i="1"/>
  <c r="R24" i="1"/>
  <c r="W24" i="1"/>
  <c r="R9" i="1"/>
  <c r="W9" i="1"/>
  <c r="R314" i="1"/>
  <c r="W314" i="1"/>
  <c r="R183" i="1"/>
  <c r="W183" i="1"/>
  <c r="R38" i="1"/>
  <c r="W38" i="1"/>
  <c r="R21" i="1"/>
  <c r="W21" i="1"/>
  <c r="R176" i="1"/>
  <c r="R216" i="1"/>
  <c r="R497" i="1"/>
  <c r="R250" i="1"/>
  <c r="R120" i="1"/>
  <c r="R272" i="1"/>
  <c r="R218" i="1"/>
  <c r="R400" i="1"/>
  <c r="R245" i="1"/>
  <c r="R462" i="1"/>
  <c r="R141" i="1"/>
  <c r="R611" i="1"/>
  <c r="R149" i="1"/>
  <c r="R370" i="1"/>
  <c r="W22" i="1"/>
  <c r="W513" i="1"/>
  <c r="W284" i="1"/>
  <c r="W102" i="1"/>
  <c r="W105" i="1"/>
  <c r="W148" i="1"/>
  <c r="W189" i="1"/>
  <c r="W626" i="1"/>
  <c r="W352" i="1"/>
  <c r="W674" i="1"/>
  <c r="W369" i="1"/>
  <c r="W646" i="1"/>
  <c r="W414" i="1"/>
  <c r="W368" i="1"/>
  <c r="W108" i="1"/>
  <c r="W543" i="1"/>
  <c r="W35" i="1"/>
  <c r="W177" i="1"/>
  <c r="W137" i="1"/>
  <c r="W130" i="1"/>
  <c r="W407" i="1"/>
  <c r="W618" i="1"/>
  <c r="R67" i="1"/>
  <c r="W67" i="1"/>
  <c r="R616" i="1"/>
  <c r="W616" i="1"/>
  <c r="R154" i="1"/>
  <c r="W154" i="1"/>
  <c r="R77" i="1"/>
  <c r="W77" i="1"/>
  <c r="R491" i="1"/>
  <c r="W491" i="1"/>
  <c r="R628" i="1"/>
  <c r="W628" i="1"/>
  <c r="R309" i="1"/>
  <c r="W309" i="1"/>
  <c r="R196" i="1"/>
  <c r="W196" i="1"/>
  <c r="R488" i="1"/>
  <c r="W488" i="1"/>
  <c r="R271" i="1"/>
  <c r="W271" i="1"/>
  <c r="R294" i="1"/>
  <c r="W294" i="1"/>
  <c r="R217" i="1"/>
  <c r="W217" i="1"/>
  <c r="R410" i="1"/>
  <c r="W410" i="1"/>
  <c r="R408" i="1"/>
  <c r="W408" i="1"/>
  <c r="R563" i="1"/>
  <c r="W563" i="1"/>
  <c r="R267" i="1"/>
  <c r="W267" i="1"/>
  <c r="R124" i="1"/>
  <c r="W124" i="1"/>
  <c r="R301" i="1"/>
  <c r="W301" i="1"/>
  <c r="R402" i="1"/>
  <c r="W402" i="1"/>
  <c r="R208" i="1"/>
  <c r="W208" i="1"/>
  <c r="R427" i="1"/>
  <c r="W427" i="1"/>
  <c r="R461" i="1"/>
  <c r="W461" i="1"/>
  <c r="R607" i="1"/>
  <c r="W607" i="1"/>
  <c r="R17" i="1"/>
  <c r="W17" i="1"/>
  <c r="R89" i="1"/>
  <c r="W89" i="1"/>
  <c r="R316" i="1"/>
  <c r="W316" i="1"/>
  <c r="R281" i="1"/>
  <c r="W281" i="1"/>
  <c r="R443" i="1"/>
  <c r="W443" i="1"/>
  <c r="R65" i="1"/>
  <c r="W65" i="1"/>
  <c r="R107" i="1"/>
  <c r="W107" i="1"/>
  <c r="R376" i="1"/>
  <c r="W376" i="1"/>
  <c r="R367" i="1"/>
  <c r="W367" i="1"/>
  <c r="R259" i="1"/>
  <c r="W259" i="1"/>
  <c r="R32" i="1"/>
  <c r="W32" i="1"/>
  <c r="R552" i="1"/>
  <c r="W552" i="1"/>
  <c r="R111" i="1"/>
  <c r="W111" i="1"/>
  <c r="R15" i="1"/>
  <c r="W15" i="1"/>
  <c r="R95" i="1"/>
  <c r="W95" i="1"/>
  <c r="R657" i="1"/>
  <c r="W657" i="1"/>
  <c r="R340" i="1"/>
  <c r="W340" i="1"/>
  <c r="R538" i="1"/>
  <c r="W538" i="1"/>
  <c r="R515" i="1"/>
  <c r="W515" i="1"/>
  <c r="R92" i="1"/>
  <c r="W92" i="1"/>
  <c r="R160" i="1"/>
  <c r="W160" i="1"/>
  <c r="R125" i="1"/>
  <c r="W125" i="1"/>
  <c r="R329" i="1"/>
  <c r="W329" i="1"/>
  <c r="R522" i="1"/>
  <c r="W522" i="1"/>
  <c r="R358" i="1"/>
  <c r="W358" i="1"/>
  <c r="R521" i="1"/>
  <c r="W521" i="1"/>
  <c r="R600" i="1"/>
  <c r="W600" i="1"/>
  <c r="R147" i="1"/>
  <c r="W147" i="1"/>
  <c r="R94" i="1"/>
  <c r="W94" i="1"/>
  <c r="R435" i="1"/>
  <c r="W435" i="1"/>
  <c r="R624" i="1"/>
  <c r="W624" i="1"/>
  <c r="R390" i="1"/>
  <c r="W390" i="1"/>
  <c r="R518" i="1"/>
  <c r="W518" i="1"/>
  <c r="R97" i="1"/>
  <c r="W97" i="1"/>
  <c r="R527" i="1"/>
  <c r="W527" i="1"/>
  <c r="R45" i="1"/>
  <c r="W45" i="1"/>
  <c r="R213" i="1"/>
  <c r="W213" i="1"/>
  <c r="R393" i="1"/>
  <c r="W393" i="1"/>
  <c r="R171" i="1"/>
  <c r="W171" i="1"/>
  <c r="R287" i="1"/>
  <c r="W287" i="1"/>
  <c r="R237" i="1"/>
  <c r="W237" i="1"/>
  <c r="R532" i="1"/>
  <c r="W532" i="1"/>
  <c r="R199" i="1"/>
  <c r="W199" i="1"/>
  <c r="R665" i="1"/>
  <c r="W665" i="1"/>
  <c r="R360" i="1"/>
  <c r="W360" i="1"/>
  <c r="R25" i="1"/>
  <c r="W25" i="1"/>
  <c r="R485" i="1"/>
  <c r="W485" i="1"/>
  <c r="R353" i="1"/>
  <c r="W353" i="1"/>
  <c r="R71" i="1"/>
  <c r="W71" i="1"/>
  <c r="R603" i="1"/>
  <c r="W603" i="1"/>
  <c r="R375" i="1"/>
  <c r="W375" i="1"/>
  <c r="R594" i="1"/>
  <c r="W594" i="1"/>
  <c r="R438" i="1"/>
  <c r="W438" i="1"/>
  <c r="R221" i="1"/>
  <c r="W221" i="1"/>
  <c r="R416" i="1"/>
  <c r="W416" i="1"/>
  <c r="R295" i="1"/>
  <c r="W295" i="1"/>
  <c r="R275" i="1"/>
  <c r="W275" i="1"/>
  <c r="R225" i="1"/>
  <c r="R548" i="1"/>
  <c r="R63" i="1"/>
  <c r="R19" i="1"/>
  <c r="R608" i="1"/>
  <c r="R458" i="1"/>
  <c r="R437" i="1"/>
  <c r="R492" i="1"/>
  <c r="R269" i="1"/>
  <c r="R335" i="1"/>
  <c r="R512" i="1"/>
  <c r="R394" i="1"/>
  <c r="R158" i="1"/>
  <c r="R647" i="1"/>
  <c r="W258" i="1"/>
  <c r="W242" i="1"/>
  <c r="W701" i="1"/>
  <c r="W615" i="1"/>
  <c r="W613" i="1"/>
  <c r="W350" i="1"/>
  <c r="W190" i="1"/>
  <c r="W450" i="1"/>
  <c r="W87" i="1"/>
  <c r="W27" i="1"/>
  <c r="W470" i="1"/>
  <c r="W656" i="1"/>
  <c r="W445" i="1"/>
  <c r="W423" i="1"/>
  <c r="W82" i="1"/>
  <c r="W346" i="1"/>
  <c r="W374" i="1"/>
  <c r="W72" i="1"/>
  <c r="W559" i="1"/>
  <c r="W389" i="1"/>
  <c r="W326" i="1"/>
  <c r="R117" i="1"/>
  <c r="W117" i="1"/>
  <c r="R434" i="1"/>
  <c r="W434" i="1"/>
  <c r="R383" i="1"/>
  <c r="W383" i="1"/>
  <c r="R519" i="1"/>
  <c r="W519" i="1"/>
  <c r="R336" i="1"/>
  <c r="W336" i="1"/>
  <c r="R50" i="1"/>
  <c r="W50" i="1"/>
  <c r="R299" i="1"/>
  <c r="W299" i="1"/>
  <c r="R348" i="1"/>
  <c r="W348" i="1"/>
  <c r="R84" i="1"/>
  <c r="W84" i="1"/>
  <c r="R395" i="1"/>
  <c r="W395" i="1"/>
  <c r="R79" i="1"/>
  <c r="W79" i="1"/>
  <c r="R140" i="1"/>
  <c r="W140" i="1"/>
  <c r="R69" i="1"/>
  <c r="W69" i="1"/>
  <c r="R93" i="1"/>
  <c r="W93" i="1"/>
  <c r="R99" i="1"/>
  <c r="W99" i="1"/>
  <c r="R233" i="1"/>
  <c r="W233" i="1"/>
  <c r="R667" i="1"/>
  <c r="W667" i="1"/>
  <c r="R115" i="1"/>
  <c r="W115" i="1"/>
  <c r="R446" i="1"/>
  <c r="W446" i="1"/>
  <c r="R81" i="1"/>
  <c r="W81" i="1"/>
  <c r="R151" i="1"/>
  <c r="W151" i="1"/>
  <c r="R592" i="1"/>
  <c r="W592" i="1"/>
  <c r="R371" i="1"/>
  <c r="W371" i="1"/>
  <c r="R236" i="1"/>
  <c r="W236" i="1"/>
  <c r="R496" i="1"/>
  <c r="W496" i="1"/>
  <c r="R203" i="1"/>
  <c r="W203" i="1"/>
  <c r="R98" i="1"/>
  <c r="W98" i="1"/>
  <c r="R246" i="1"/>
  <c r="W246" i="1"/>
  <c r="R114" i="1"/>
  <c r="W114" i="1"/>
  <c r="R494" i="1"/>
  <c r="W494" i="1"/>
  <c r="R696" i="1"/>
  <c r="W696" i="1"/>
  <c r="R75" i="1"/>
  <c r="W75" i="1"/>
  <c r="R547" i="1"/>
  <c r="W547" i="1"/>
  <c r="R214" i="1"/>
  <c r="W214" i="1"/>
  <c r="R386" i="1"/>
  <c r="W386" i="1"/>
  <c r="R70" i="1"/>
  <c r="W70" i="1"/>
  <c r="R37" i="1"/>
  <c r="W37" i="1"/>
  <c r="R655" i="1"/>
  <c r="W655" i="1"/>
  <c r="R164" i="1"/>
  <c r="W164" i="1"/>
  <c r="R524" i="1"/>
  <c r="W524" i="1"/>
  <c r="R406" i="1"/>
  <c r="W406" i="1"/>
  <c r="R363" i="1"/>
  <c r="W363" i="1"/>
  <c r="R44" i="1"/>
  <c r="W44" i="1"/>
  <c r="R212" i="1"/>
  <c r="W212" i="1"/>
  <c r="R311" i="1"/>
  <c r="W311" i="1"/>
  <c r="R545" i="1"/>
  <c r="W545" i="1"/>
  <c r="R681" i="1"/>
  <c r="W681" i="1"/>
  <c r="R364" i="1"/>
  <c r="W364" i="1"/>
  <c r="R36" i="1"/>
  <c r="W36" i="1"/>
  <c r="R85" i="1"/>
  <c r="W85" i="1"/>
  <c r="R64" i="1"/>
  <c r="W64" i="1"/>
  <c r="R192" i="1"/>
  <c r="W192" i="1"/>
  <c r="R483" i="1"/>
  <c r="W483" i="1"/>
  <c r="R641" i="1"/>
  <c r="W641" i="1"/>
  <c r="R251" i="1"/>
  <c r="W251" i="1"/>
  <c r="R179" i="1"/>
  <c r="W179" i="1"/>
  <c r="R146" i="1"/>
  <c r="W146" i="1"/>
  <c r="R493" i="1"/>
  <c r="W493" i="1"/>
  <c r="R16" i="1"/>
  <c r="W16" i="1"/>
  <c r="R661" i="1"/>
  <c r="W661" i="1"/>
  <c r="R292" i="1"/>
  <c r="W292" i="1"/>
  <c r="R61" i="1"/>
  <c r="W61" i="1"/>
  <c r="R74" i="1"/>
  <c r="W74" i="1"/>
  <c r="R263" i="1"/>
  <c r="W263" i="1"/>
  <c r="R669" i="1"/>
  <c r="W669" i="1"/>
  <c r="R47" i="1"/>
  <c r="W47" i="1"/>
  <c r="R575" i="1"/>
  <c r="W575" i="1"/>
  <c r="R31" i="1"/>
  <c r="W31" i="1"/>
  <c r="R577" i="1"/>
  <c r="W577" i="1"/>
  <c r="R598" i="1"/>
  <c r="W598" i="1"/>
  <c r="R444" i="1"/>
  <c r="W444" i="1"/>
  <c r="W3" i="1"/>
  <c r="R4" i="1"/>
  <c r="W4" i="1"/>
  <c r="R528" i="1"/>
  <c r="W528" i="1"/>
  <c r="R334" i="1"/>
  <c r="W334" i="1"/>
  <c r="R454" i="1"/>
  <c r="W454" i="1"/>
  <c r="R315" i="1"/>
  <c r="W315" i="1"/>
  <c r="R90" i="1"/>
  <c r="W90" i="1"/>
  <c r="R413" i="1"/>
  <c r="W413" i="1"/>
  <c r="R129" i="1"/>
  <c r="W129" i="1"/>
  <c r="R182" i="1"/>
  <c r="W182" i="1"/>
  <c r="R465" i="1"/>
  <c r="W465" i="1"/>
  <c r="R441" i="1"/>
  <c r="W441" i="1"/>
  <c r="R525" i="1"/>
  <c r="R163" i="1"/>
  <c r="R274" i="1"/>
  <c r="R150" i="1"/>
  <c r="R586" i="1"/>
  <c r="R553" i="1"/>
  <c r="R676" i="1"/>
  <c r="R54" i="1"/>
  <c r="R477" i="1"/>
  <c r="R123" i="1"/>
  <c r="R169" i="1"/>
  <c r="R373" i="1"/>
  <c r="W533" i="1"/>
  <c r="W511" i="1"/>
  <c r="W144" i="1"/>
  <c r="W391" i="1"/>
  <c r="W531" i="1"/>
  <c r="W472" i="1"/>
  <c r="W453" i="1"/>
  <c r="W381" i="1"/>
  <c r="W651" i="1"/>
  <c r="W572" i="1"/>
  <c r="W291" i="1"/>
  <c r="W226" i="1"/>
  <c r="W162" i="1"/>
  <c r="W447" i="1"/>
  <c r="W510" i="1"/>
  <c r="W418" i="1"/>
  <c r="W396" i="1"/>
  <c r="W654" i="1"/>
  <c r="W13" i="1"/>
  <c r="W286" i="1"/>
  <c r="R145" i="1"/>
  <c r="W145" i="1"/>
  <c r="R103" i="1"/>
  <c r="W103" i="1"/>
  <c r="R612" i="1"/>
  <c r="W612" i="1"/>
  <c r="R239" i="1"/>
  <c r="W239" i="1"/>
  <c r="R683" i="1"/>
  <c r="W683" i="1"/>
  <c r="R405" i="1"/>
  <c r="W405" i="1"/>
  <c r="R463" i="1"/>
  <c r="W463" i="1"/>
  <c r="R241" i="1"/>
  <c r="W241" i="1"/>
  <c r="R347" i="1"/>
  <c r="W347" i="1"/>
  <c r="R385" i="1"/>
  <c r="W385" i="1"/>
  <c r="R341" i="1"/>
  <c r="W341" i="1"/>
  <c r="R12" i="1"/>
  <c r="W12" i="1"/>
  <c r="R596" i="1"/>
  <c r="W596" i="1"/>
  <c r="R623" i="1"/>
  <c r="W623" i="1"/>
  <c r="R486" i="1"/>
  <c r="W486" i="1"/>
  <c r="R298" i="1"/>
  <c r="W298" i="1"/>
  <c r="R484" i="1"/>
  <c r="W484" i="1"/>
  <c r="R139" i="1"/>
  <c r="W139" i="1"/>
  <c r="R68" i="1"/>
  <c r="W68" i="1"/>
  <c r="R459" i="1"/>
  <c r="W459" i="1"/>
  <c r="R388" i="1"/>
  <c r="W388" i="1"/>
  <c r="R138" i="1"/>
  <c r="W138" i="1"/>
  <c r="R66" i="1"/>
  <c r="W66" i="1"/>
  <c r="R507" i="1"/>
  <c r="W507" i="1"/>
  <c r="R695" i="1"/>
  <c r="W695" i="1"/>
  <c r="R57" i="1"/>
  <c r="W57" i="1"/>
  <c r="R308" i="1"/>
  <c r="W308" i="1"/>
  <c r="R361" i="1"/>
  <c r="W361" i="1"/>
  <c r="R86" i="1"/>
  <c r="W86" i="1"/>
  <c r="R349" i="1"/>
  <c r="W349" i="1"/>
  <c r="R276" i="1"/>
  <c r="W276" i="1"/>
  <c r="R419" i="1"/>
  <c r="W419" i="1"/>
  <c r="R178" i="1"/>
  <c r="W178" i="1"/>
  <c r="R415" i="1"/>
  <c r="W415" i="1"/>
  <c r="R501" i="1"/>
  <c r="W501" i="1"/>
  <c r="R41" i="1"/>
  <c r="W41" i="1"/>
  <c r="R601" i="1"/>
  <c r="W601" i="1"/>
  <c r="R332" i="1"/>
  <c r="W332" i="1"/>
  <c r="R430" i="1"/>
  <c r="W430" i="1"/>
  <c r="R172" i="1"/>
  <c r="W172" i="1"/>
  <c r="R339" i="1"/>
  <c r="W339" i="1"/>
  <c r="R58" i="1"/>
  <c r="W58" i="1"/>
  <c r="R653" i="1"/>
  <c r="W653" i="1"/>
  <c r="R556" i="1"/>
  <c r="W556" i="1"/>
  <c r="R261" i="1"/>
  <c r="W261" i="1"/>
  <c r="R232" i="1"/>
  <c r="W232" i="1"/>
  <c r="R495" i="1"/>
  <c r="W495" i="1"/>
  <c r="R469" i="1"/>
  <c r="W469" i="1"/>
  <c r="R448" i="1"/>
  <c r="W448" i="1"/>
  <c r="R645" i="1"/>
  <c r="W645" i="1"/>
  <c r="R503" i="1"/>
  <c r="W503" i="1"/>
  <c r="R43" i="1"/>
  <c r="W43" i="1"/>
  <c r="R157" i="1"/>
  <c r="W157" i="1"/>
  <c r="R582" i="1"/>
  <c r="W582" i="1"/>
  <c r="R642" i="1"/>
  <c r="R581" i="1"/>
  <c r="R466" i="1"/>
  <c r="R421" i="1"/>
  <c r="R62" i="1"/>
  <c r="R109" i="1"/>
  <c r="R523" i="1"/>
  <c r="R116" i="1"/>
  <c r="R664" i="1"/>
  <c r="R643" i="1"/>
  <c r="W631" i="1"/>
  <c r="W498" i="1"/>
  <c r="W229" i="1"/>
  <c r="W620" i="1"/>
  <c r="W436" i="1"/>
  <c r="W467" i="1"/>
  <c r="W153" i="1"/>
  <c r="W560" i="1"/>
  <c r="W113" i="1"/>
  <c r="W128" i="1"/>
  <c r="W78" i="1"/>
  <c r="W529" i="1"/>
  <c r="W610" i="1"/>
  <c r="W422" i="1"/>
  <c r="W635" i="1"/>
  <c r="W257" i="1"/>
  <c r="W449" i="1"/>
  <c r="W574" i="1"/>
  <c r="W46" i="1"/>
  <c r="W686" i="1"/>
  <c r="W211" i="1"/>
  <c r="W489" i="1"/>
  <c r="R222" i="1"/>
  <c r="W222" i="1"/>
  <c r="R155" i="1"/>
  <c r="W155" i="1"/>
  <c r="R652" i="1"/>
  <c r="W652" i="1"/>
  <c r="R482" i="1"/>
  <c r="W482" i="1"/>
  <c r="R280" i="1"/>
  <c r="W280" i="1"/>
  <c r="R40" i="1"/>
  <c r="W40" i="1"/>
  <c r="R692" i="1"/>
  <c r="W692" i="1"/>
  <c r="R219" i="1"/>
  <c r="W219" i="1"/>
  <c r="R112" i="1"/>
  <c r="W112" i="1"/>
  <c r="R119" i="1"/>
  <c r="W119" i="1"/>
  <c r="R516" i="1"/>
  <c r="W516" i="1"/>
  <c r="R198" i="1"/>
  <c r="W198" i="1"/>
  <c r="R187" i="1"/>
  <c r="W187" i="1"/>
  <c r="R633" i="1"/>
  <c r="W633" i="1"/>
  <c r="R234" i="1"/>
  <c r="W234" i="1"/>
  <c r="R204" i="1"/>
  <c r="W204" i="1"/>
  <c r="R554" i="1"/>
  <c r="W554" i="1"/>
  <c r="R456" i="1"/>
  <c r="W456" i="1"/>
  <c r="R288" i="1"/>
  <c r="W288" i="1"/>
  <c r="R478" i="1"/>
  <c r="W478" i="1"/>
  <c r="R424" i="1"/>
  <c r="W424" i="1"/>
  <c r="R508" i="1"/>
  <c r="W508" i="1"/>
  <c r="R557" i="1"/>
  <c r="W557" i="1"/>
  <c r="R174" i="1"/>
  <c r="W174" i="1"/>
  <c r="R215" i="1"/>
  <c r="W215" i="1"/>
  <c r="R520" i="1"/>
  <c r="W520" i="1"/>
  <c r="R262" i="1"/>
  <c r="W262" i="1"/>
  <c r="R499" i="1"/>
  <c r="W499" i="1"/>
  <c r="R457" i="1"/>
  <c r="W457" i="1"/>
  <c r="R588" i="1"/>
  <c r="W588" i="1"/>
  <c r="R690" i="1"/>
  <c r="W690" i="1"/>
  <c r="R206" i="1"/>
  <c r="W206" i="1"/>
  <c r="R306" i="1"/>
  <c r="W306" i="1"/>
  <c r="R539" i="1"/>
  <c r="W539" i="1"/>
  <c r="R694" i="1"/>
  <c r="W694" i="1"/>
  <c r="R331" i="1"/>
  <c r="W331" i="1"/>
  <c r="R380" i="1"/>
  <c r="W380" i="1"/>
  <c r="R132" i="1"/>
  <c r="W132" i="1"/>
  <c r="R506" i="1"/>
  <c r="W506" i="1"/>
  <c r="R277" i="1"/>
  <c r="W277" i="1"/>
  <c r="R662" i="1"/>
  <c r="W662" i="1"/>
  <c r="R49" i="1"/>
  <c r="W49" i="1"/>
  <c r="R184" i="1"/>
  <c r="W184" i="1"/>
  <c r="R278" i="1"/>
  <c r="W278" i="1"/>
  <c r="R670" i="1"/>
  <c r="W670" i="1"/>
  <c r="R579" i="1"/>
  <c r="W579" i="1"/>
  <c r="R39" i="1"/>
  <c r="W39" i="1"/>
  <c r="R632" i="1"/>
  <c r="W632" i="1"/>
  <c r="R671" i="1"/>
  <c r="W671" i="1"/>
  <c r="R699" i="1"/>
  <c r="W699" i="1"/>
  <c r="R558" i="1"/>
  <c r="W558" i="1"/>
  <c r="R526" i="1"/>
  <c r="W526" i="1"/>
  <c r="R338" i="1"/>
  <c r="W338" i="1"/>
  <c r="R91" i="1"/>
  <c r="W91" i="1"/>
  <c r="R534" i="1"/>
  <c r="W534" i="1"/>
  <c r="R562" i="1"/>
  <c r="W562" i="1"/>
  <c r="R180" i="1"/>
  <c r="W180" i="1"/>
  <c r="R644" i="1"/>
  <c r="W644" i="1"/>
  <c r="R266" i="1"/>
  <c r="W266" i="1"/>
  <c r="R426" i="1"/>
  <c r="W426" i="1"/>
  <c r="R663" i="1"/>
  <c r="W663" i="1"/>
  <c r="R682" i="1"/>
  <c r="W682" i="1"/>
  <c r="R397" i="1"/>
  <c r="W397" i="1"/>
  <c r="R324" i="1"/>
  <c r="W324" i="1"/>
  <c r="R517" i="1"/>
  <c r="W517" i="1"/>
  <c r="R425" i="1"/>
  <c r="R42" i="1"/>
  <c r="R83" i="1"/>
  <c r="R167" i="1"/>
  <c r="R359" i="1"/>
  <c r="R302" i="1"/>
  <c r="R312" i="1"/>
  <c r="R318" i="1"/>
  <c r="R697" i="1"/>
  <c r="R202" i="1"/>
  <c r="W680" i="1"/>
  <c r="W617" i="1"/>
  <c r="W240" i="1"/>
  <c r="W684" i="1"/>
  <c r="W290" i="1"/>
  <c r="W293" i="1"/>
  <c r="W53" i="1"/>
  <c r="W541" i="1"/>
  <c r="W351" i="1"/>
  <c r="W571" i="1"/>
  <c r="W630" i="1"/>
  <c r="W622" i="1"/>
  <c r="W159" i="1"/>
  <c r="W110" i="1"/>
  <c r="W227" i="1"/>
  <c r="W248" i="1"/>
  <c r="W700" i="1"/>
  <c r="W337" i="1"/>
  <c r="W693" i="1"/>
  <c r="W377" i="1"/>
  <c r="W648" i="1"/>
  <c r="W310" i="1"/>
  <c r="R185" i="1"/>
  <c r="W185" i="1"/>
  <c r="R344" i="1"/>
  <c r="R679" i="1"/>
  <c r="R20" i="1"/>
  <c r="R51" i="1"/>
  <c r="R479" i="1"/>
  <c r="R285" i="1"/>
  <c r="R471" i="1"/>
  <c r="R52" i="1"/>
  <c r="R256" i="1"/>
  <c r="R668" i="1"/>
  <c r="R475" i="1"/>
  <c r="W420" i="1"/>
  <c r="W191" i="1"/>
  <c r="W566" i="1"/>
  <c r="W544" i="1"/>
  <c r="W76" i="1"/>
  <c r="W411" i="1"/>
  <c r="W323" i="1"/>
  <c r="W442" i="1"/>
  <c r="W253" i="1"/>
  <c r="W321" i="1"/>
  <c r="W591" i="1"/>
  <c r="W500" i="1"/>
  <c r="W625" i="1"/>
  <c r="W135" i="1"/>
  <c r="W121" i="1"/>
  <c r="W282" i="1"/>
  <c r="W270" i="1"/>
  <c r="W640" i="1"/>
  <c r="W627" i="1"/>
  <c r="W297" i="1"/>
  <c r="W152" i="1"/>
  <c r="W412" i="1"/>
  <c r="R404" i="1"/>
  <c r="W404" i="1"/>
  <c r="R569" i="1"/>
  <c r="W569" i="1"/>
  <c r="R355" i="1"/>
  <c r="W355" i="1"/>
  <c r="R254" i="1"/>
  <c r="W254" i="1"/>
  <c r="R604" i="1"/>
  <c r="W604" i="1"/>
  <c r="R307" i="1"/>
  <c r="W307" i="1"/>
  <c r="R175" i="1"/>
  <c r="W175" i="1"/>
  <c r="R602" i="1"/>
  <c r="W602" i="1"/>
  <c r="R30" i="1"/>
  <c r="W30" i="1"/>
  <c r="R677" i="1"/>
  <c r="W677" i="1"/>
  <c r="R429" i="1"/>
  <c r="W429" i="1"/>
  <c r="R366" i="1"/>
  <c r="W366" i="1"/>
  <c r="R186" i="1"/>
  <c r="R606" i="1"/>
  <c r="R399" i="1"/>
  <c r="R672" i="1"/>
  <c r="R127" i="1"/>
  <c r="R300" i="1"/>
  <c r="R480" i="1"/>
  <c r="R621" i="1"/>
  <c r="R126" i="1"/>
  <c r="R133" i="1"/>
  <c r="R161" i="1"/>
  <c r="W609" i="1"/>
  <c r="W550" i="1"/>
  <c r="W431" i="1"/>
  <c r="W48" i="1"/>
  <c r="W474" i="1"/>
  <c r="W207" i="1"/>
  <c r="W580" i="1"/>
  <c r="W333" i="1"/>
  <c r="W106" i="1"/>
  <c r="W313" i="1"/>
  <c r="W252" i="1"/>
  <c r="W156" i="1"/>
  <c r="W379" i="1"/>
  <c r="W666" i="1"/>
  <c r="R305" i="1"/>
  <c r="W305" i="1"/>
  <c r="R18" i="1"/>
  <c r="W18" i="1"/>
  <c r="R59" i="1"/>
  <c r="W59" i="1"/>
  <c r="R357" i="1"/>
  <c r="W357" i="1"/>
  <c r="R473" i="1"/>
  <c r="W473" i="1"/>
  <c r="R136" i="1"/>
  <c r="W136" i="1"/>
  <c r="R565" i="1"/>
  <c r="W565" i="1"/>
  <c r="R29" i="1"/>
  <c r="W29" i="1"/>
  <c r="R536" i="1"/>
  <c r="W536" i="1"/>
  <c r="R181" i="1"/>
  <c r="W181" i="1"/>
  <c r="R384" i="1"/>
  <c r="W384" i="1"/>
  <c r="R342" i="1"/>
  <c r="W342" i="1"/>
  <c r="R6" i="1"/>
  <c r="W6" i="1"/>
  <c r="R678" i="1"/>
  <c r="W678" i="1"/>
  <c r="R578" i="1"/>
  <c r="W578" i="1"/>
  <c r="R673" i="1"/>
  <c r="W673" i="1"/>
  <c r="R576" i="1"/>
  <c r="W576" i="1"/>
  <c r="R235" i="1"/>
  <c r="W235" i="1"/>
  <c r="R249" i="1"/>
  <c r="W249" i="1"/>
  <c r="R73" i="1"/>
  <c r="W73" i="1"/>
  <c r="R688" i="1"/>
  <c r="W688" i="1"/>
  <c r="R634" i="1"/>
  <c r="W634" i="1"/>
  <c r="R460" i="1"/>
  <c r="W460" i="1"/>
  <c r="R468" i="1"/>
  <c r="W468" i="1"/>
  <c r="R11" i="1"/>
  <c r="W11" i="1"/>
  <c r="R401" i="1"/>
  <c r="W401" i="1"/>
  <c r="R296" i="1"/>
  <c r="W296" i="1"/>
  <c r="R584" i="1"/>
  <c r="W584" i="1"/>
  <c r="R223" i="1"/>
  <c r="W223" i="1"/>
  <c r="R279" i="1"/>
  <c r="W279" i="1"/>
  <c r="R173" i="1"/>
  <c r="W173" i="1"/>
  <c r="R55" i="1"/>
  <c r="W55" i="1"/>
  <c r="R487" i="1"/>
  <c r="W487" i="1"/>
  <c r="R451" i="1"/>
  <c r="W451" i="1"/>
  <c r="R502" i="1"/>
  <c r="W502" i="1"/>
  <c r="R595" i="1"/>
  <c r="W595" i="1"/>
  <c r="R432" i="1"/>
  <c r="W432" i="1"/>
  <c r="R243" i="1"/>
  <c r="W243" i="1"/>
  <c r="R283" i="1"/>
  <c r="W283" i="1"/>
  <c r="R354" i="1"/>
  <c r="W354" i="1"/>
  <c r="R328" i="1"/>
  <c r="W328" i="1"/>
  <c r="R629" i="1"/>
  <c r="W629" i="1"/>
  <c r="R685" i="1"/>
  <c r="W685" i="1"/>
  <c r="R166" i="1"/>
  <c r="W166" i="1"/>
  <c r="R659" i="1"/>
  <c r="W659" i="1"/>
  <c r="R605" i="1"/>
  <c r="W605" i="1"/>
  <c r="R28" i="1"/>
  <c r="W28" i="1"/>
  <c r="R535" i="1"/>
  <c r="W535" i="1"/>
  <c r="R698" i="1"/>
  <c r="W698" i="1"/>
  <c r="R504" i="1"/>
  <c r="W504" i="1"/>
  <c r="R255" i="1"/>
  <c r="W255" i="1"/>
  <c r="R23" i="1"/>
  <c r="W23" i="1"/>
  <c r="R273" i="1"/>
  <c r="W273" i="1"/>
  <c r="R561" i="1"/>
  <c r="W561" i="1"/>
  <c r="R194" i="1"/>
  <c r="W194" i="1"/>
  <c r="R265" i="1"/>
  <c r="W265" i="1"/>
  <c r="R555" i="1"/>
  <c r="W555" i="1"/>
  <c r="R131" i="1"/>
  <c r="W131" i="1"/>
  <c r="R356" i="1"/>
  <c r="W356" i="1"/>
  <c r="R165" i="1"/>
  <c r="W165" i="1"/>
  <c r="R505" i="1"/>
  <c r="W505" i="1"/>
  <c r="R80" i="1"/>
  <c r="W80" i="1"/>
  <c r="R537" i="1"/>
  <c r="W537" i="1"/>
  <c r="R540" i="1"/>
  <c r="W540" i="1"/>
  <c r="R134" i="1"/>
  <c r="W134" i="1"/>
  <c r="R210" i="1"/>
  <c r="W210" i="1"/>
  <c r="R428" i="1"/>
  <c r="W428" i="1"/>
  <c r="R220" i="1"/>
  <c r="W220" i="1"/>
  <c r="R230" i="1"/>
  <c r="R382" i="1"/>
  <c r="R649" i="1"/>
  <c r="R100" i="1"/>
  <c r="R551" i="1"/>
  <c r="R650" i="1"/>
  <c r="R639" i="1"/>
  <c r="R118" i="1"/>
  <c r="R583" i="1"/>
  <c r="R570" i="1"/>
  <c r="W88" i="1"/>
  <c r="W224" i="1"/>
  <c r="W260" i="1"/>
  <c r="W322" i="1"/>
  <c r="W542" i="1"/>
  <c r="W593" i="1"/>
  <c r="W587" i="1"/>
  <c r="W530" i="1"/>
  <c r="W638" i="1"/>
  <c r="W590" i="1"/>
  <c r="W687" i="1"/>
</calcChain>
</file>

<file path=xl/sharedStrings.xml><?xml version="1.0" encoding="utf-8"?>
<sst xmlns="http://schemas.openxmlformats.org/spreadsheetml/2006/main" count="4349" uniqueCount="979">
  <si>
    <t>Loan_ID</t>
  </si>
  <si>
    <t>Age</t>
  </si>
  <si>
    <t>Gender</t>
  </si>
  <si>
    <t>City</t>
  </si>
  <si>
    <t>Loan_Type</t>
  </si>
  <si>
    <t>Application_Date</t>
  </si>
  <si>
    <t>Annual_Income</t>
  </si>
  <si>
    <t>Loan_Amount</t>
  </si>
  <si>
    <t>Interest_Rate</t>
  </si>
  <si>
    <t>Loan_Term_Months</t>
  </si>
  <si>
    <t>Credit_Score</t>
  </si>
  <si>
    <t>Repayment_Status</t>
  </si>
  <si>
    <t>Default_Risk</t>
  </si>
  <si>
    <t>Profit</t>
  </si>
  <si>
    <t>L0001</t>
  </si>
  <si>
    <t>Male</t>
  </si>
  <si>
    <t>Mumbai</t>
  </si>
  <si>
    <t>Home</t>
  </si>
  <si>
    <t>L0002</t>
  </si>
  <si>
    <t>Car</t>
  </si>
  <si>
    <t>Completed</t>
  </si>
  <si>
    <t>L0003</t>
  </si>
  <si>
    <t>Education</t>
  </si>
  <si>
    <t>L0004</t>
  </si>
  <si>
    <t>Chennai</t>
  </si>
  <si>
    <t>L0005</t>
  </si>
  <si>
    <t>Female</t>
  </si>
  <si>
    <t>Pune</t>
  </si>
  <si>
    <t>L0006</t>
  </si>
  <si>
    <t>Bengaluru</t>
  </si>
  <si>
    <t>L0007</t>
  </si>
  <si>
    <t>Personal</t>
  </si>
  <si>
    <t>L0008</t>
  </si>
  <si>
    <t>Delhi</t>
  </si>
  <si>
    <t>L0009</t>
  </si>
  <si>
    <t>L0010</t>
  </si>
  <si>
    <t>Hyderabad</t>
  </si>
  <si>
    <t>Late</t>
  </si>
  <si>
    <t>L0011</t>
  </si>
  <si>
    <t>L0012</t>
  </si>
  <si>
    <t>L0013</t>
  </si>
  <si>
    <t>L0014</t>
  </si>
  <si>
    <t>L0015</t>
  </si>
  <si>
    <t>L0016</t>
  </si>
  <si>
    <t>L0017</t>
  </si>
  <si>
    <t>L0018</t>
  </si>
  <si>
    <t>L0019</t>
  </si>
  <si>
    <t>L0020</t>
  </si>
  <si>
    <t>L0021</t>
  </si>
  <si>
    <t>L0022</t>
  </si>
  <si>
    <t>L0023</t>
  </si>
  <si>
    <t>Business</t>
  </si>
  <si>
    <t>L0024</t>
  </si>
  <si>
    <t>L0025</t>
  </si>
  <si>
    <t>L0026</t>
  </si>
  <si>
    <t>L0027</t>
  </si>
  <si>
    <t>L0028</t>
  </si>
  <si>
    <t>L0029</t>
  </si>
  <si>
    <t>L0030</t>
  </si>
  <si>
    <t>L0031</t>
  </si>
  <si>
    <t>L0032</t>
  </si>
  <si>
    <t>L0033</t>
  </si>
  <si>
    <t>L0034</t>
  </si>
  <si>
    <t>L0035</t>
  </si>
  <si>
    <t>L0036</t>
  </si>
  <si>
    <t>L0037</t>
  </si>
  <si>
    <t>L0038</t>
  </si>
  <si>
    <t>L0039</t>
  </si>
  <si>
    <t>L0040</t>
  </si>
  <si>
    <t>L0041</t>
  </si>
  <si>
    <t>L0042</t>
  </si>
  <si>
    <t>L0043</t>
  </si>
  <si>
    <t>L0044</t>
  </si>
  <si>
    <t>L0045</t>
  </si>
  <si>
    <t>L0046</t>
  </si>
  <si>
    <t>L0047</t>
  </si>
  <si>
    <t>L0048</t>
  </si>
  <si>
    <t>L0049</t>
  </si>
  <si>
    <t>L0050</t>
  </si>
  <si>
    <t>L0051</t>
  </si>
  <si>
    <t>L0052</t>
  </si>
  <si>
    <t>L0053</t>
  </si>
  <si>
    <t>L0054</t>
  </si>
  <si>
    <t>L0055</t>
  </si>
  <si>
    <t>L0056</t>
  </si>
  <si>
    <t>L0057</t>
  </si>
  <si>
    <t>L0058</t>
  </si>
  <si>
    <t>L0059</t>
  </si>
  <si>
    <t>L0060</t>
  </si>
  <si>
    <t>L0061</t>
  </si>
  <si>
    <t>L0062</t>
  </si>
  <si>
    <t>L0063</t>
  </si>
  <si>
    <t>L0064</t>
  </si>
  <si>
    <t>L0065</t>
  </si>
  <si>
    <t>L0066</t>
  </si>
  <si>
    <t>L0067</t>
  </si>
  <si>
    <t>L0068</t>
  </si>
  <si>
    <t>L0069</t>
  </si>
  <si>
    <t>L0070</t>
  </si>
  <si>
    <t>L0071</t>
  </si>
  <si>
    <t>L0072</t>
  </si>
  <si>
    <t>L0073</t>
  </si>
  <si>
    <t>L0074</t>
  </si>
  <si>
    <t>L0076</t>
  </si>
  <si>
    <t>L0077</t>
  </si>
  <si>
    <t>L0078</t>
  </si>
  <si>
    <t>L0079</t>
  </si>
  <si>
    <t>L0080</t>
  </si>
  <si>
    <t>L0081</t>
  </si>
  <si>
    <t>L0082</t>
  </si>
  <si>
    <t>L0083</t>
  </si>
  <si>
    <t>L0084</t>
  </si>
  <si>
    <t>L0085</t>
  </si>
  <si>
    <t>L0086</t>
  </si>
  <si>
    <t>L0087</t>
  </si>
  <si>
    <t>L0088</t>
  </si>
  <si>
    <t>L0089</t>
  </si>
  <si>
    <t>L0090</t>
  </si>
  <si>
    <t>L0091</t>
  </si>
  <si>
    <t>L0092</t>
  </si>
  <si>
    <t>L0093</t>
  </si>
  <si>
    <t>L0094</t>
  </si>
  <si>
    <t>L0095</t>
  </si>
  <si>
    <t>L0096</t>
  </si>
  <si>
    <t>L0097</t>
  </si>
  <si>
    <t>L0098</t>
  </si>
  <si>
    <t>L0099</t>
  </si>
  <si>
    <t>L0100</t>
  </si>
  <si>
    <t>L0101</t>
  </si>
  <si>
    <t>L0102</t>
  </si>
  <si>
    <t>L0103</t>
  </si>
  <si>
    <t>L0104</t>
  </si>
  <si>
    <t>L0105</t>
  </si>
  <si>
    <t>L0106</t>
  </si>
  <si>
    <t>L0107</t>
  </si>
  <si>
    <t>L0108</t>
  </si>
  <si>
    <t>L0109</t>
  </si>
  <si>
    <t>L0110</t>
  </si>
  <si>
    <t>L0111</t>
  </si>
  <si>
    <t>L0112</t>
  </si>
  <si>
    <t>L0113</t>
  </si>
  <si>
    <t>L0114</t>
  </si>
  <si>
    <t>L0115</t>
  </si>
  <si>
    <t>L0116</t>
  </si>
  <si>
    <t>L0117</t>
  </si>
  <si>
    <t>L0118</t>
  </si>
  <si>
    <t>L0119</t>
  </si>
  <si>
    <t>L0120</t>
  </si>
  <si>
    <t>L0121</t>
  </si>
  <si>
    <t>L0122</t>
  </si>
  <si>
    <t>L0123</t>
  </si>
  <si>
    <t>L0124</t>
  </si>
  <si>
    <t>L0125</t>
  </si>
  <si>
    <t>L0126</t>
  </si>
  <si>
    <t>L0127</t>
  </si>
  <si>
    <t>L0128</t>
  </si>
  <si>
    <t>L0129</t>
  </si>
  <si>
    <t>L0130</t>
  </si>
  <si>
    <t>L0131</t>
  </si>
  <si>
    <t>L0132</t>
  </si>
  <si>
    <t>L0133</t>
  </si>
  <si>
    <t>L0134</t>
  </si>
  <si>
    <t>L0135</t>
  </si>
  <si>
    <t>L0136</t>
  </si>
  <si>
    <t>L0137</t>
  </si>
  <si>
    <t>L0138</t>
  </si>
  <si>
    <t>L0139</t>
  </si>
  <si>
    <t>L0140</t>
  </si>
  <si>
    <t>L0141</t>
  </si>
  <si>
    <t>L0142</t>
  </si>
  <si>
    <t>L0143</t>
  </si>
  <si>
    <t>L0144</t>
  </si>
  <si>
    <t>L0145</t>
  </si>
  <si>
    <t>L0146</t>
  </si>
  <si>
    <t>L0147</t>
  </si>
  <si>
    <t>L0148</t>
  </si>
  <si>
    <t>L0149</t>
  </si>
  <si>
    <t>L0150</t>
  </si>
  <si>
    <t>L0151</t>
  </si>
  <si>
    <t>L0152</t>
  </si>
  <si>
    <t>L0153</t>
  </si>
  <si>
    <t>L0154</t>
  </si>
  <si>
    <t>L0155</t>
  </si>
  <si>
    <t>L0156</t>
  </si>
  <si>
    <t>L0157</t>
  </si>
  <si>
    <t>L0158</t>
  </si>
  <si>
    <t>L0159</t>
  </si>
  <si>
    <t>L0160</t>
  </si>
  <si>
    <t>L0161</t>
  </si>
  <si>
    <t>L0162</t>
  </si>
  <si>
    <t>L0163</t>
  </si>
  <si>
    <t>L0164</t>
  </si>
  <si>
    <t>L0165</t>
  </si>
  <si>
    <t>L0166</t>
  </si>
  <si>
    <t>L0167</t>
  </si>
  <si>
    <t>L0168</t>
  </si>
  <si>
    <t>L0169</t>
  </si>
  <si>
    <t>L0170</t>
  </si>
  <si>
    <t>L0171</t>
  </si>
  <si>
    <t>L0172</t>
  </si>
  <si>
    <t>L0173</t>
  </si>
  <si>
    <t>L0174</t>
  </si>
  <si>
    <t>L0175</t>
  </si>
  <si>
    <t>L0176</t>
  </si>
  <si>
    <t>L0177</t>
  </si>
  <si>
    <t>L0178</t>
  </si>
  <si>
    <t>L0179</t>
  </si>
  <si>
    <t>L0180</t>
  </si>
  <si>
    <t>L0181</t>
  </si>
  <si>
    <t>L0182</t>
  </si>
  <si>
    <t>L0183</t>
  </si>
  <si>
    <t>L0184</t>
  </si>
  <si>
    <t>L0185</t>
  </si>
  <si>
    <t>L0186</t>
  </si>
  <si>
    <t>L0187</t>
  </si>
  <si>
    <t>L0188</t>
  </si>
  <si>
    <t>L0189</t>
  </si>
  <si>
    <t>L0190</t>
  </si>
  <si>
    <t>L0191</t>
  </si>
  <si>
    <t>L0192</t>
  </si>
  <si>
    <t>L0193</t>
  </si>
  <si>
    <t>L0194</t>
  </si>
  <si>
    <t>L0195</t>
  </si>
  <si>
    <t>L0196</t>
  </si>
  <si>
    <t>L0197</t>
  </si>
  <si>
    <t>L0198</t>
  </si>
  <si>
    <t>L0199</t>
  </si>
  <si>
    <t>L0200</t>
  </si>
  <si>
    <t>L0201</t>
  </si>
  <si>
    <t>L0202</t>
  </si>
  <si>
    <t>L0203</t>
  </si>
  <si>
    <t>L0204</t>
  </si>
  <si>
    <t>L0205</t>
  </si>
  <si>
    <t>L0206</t>
  </si>
  <si>
    <t>L0207</t>
  </si>
  <si>
    <t>L0208</t>
  </si>
  <si>
    <t>L0209</t>
  </si>
  <si>
    <t>L0210</t>
  </si>
  <si>
    <t>L0211</t>
  </si>
  <si>
    <t>L0212</t>
  </si>
  <si>
    <t>L0213</t>
  </si>
  <si>
    <t>L0214</t>
  </si>
  <si>
    <t>L0215</t>
  </si>
  <si>
    <t>L0216</t>
  </si>
  <si>
    <t>L0217</t>
  </si>
  <si>
    <t>L0218</t>
  </si>
  <si>
    <t>L0219</t>
  </si>
  <si>
    <t>L0220</t>
  </si>
  <si>
    <t>L0221</t>
  </si>
  <si>
    <t>L0222</t>
  </si>
  <si>
    <t>L0223</t>
  </si>
  <si>
    <t>L0224</t>
  </si>
  <si>
    <t>L0225</t>
  </si>
  <si>
    <t>L0226</t>
  </si>
  <si>
    <t>L0227</t>
  </si>
  <si>
    <t>L0228</t>
  </si>
  <si>
    <t>L0229</t>
  </si>
  <si>
    <t>L0230</t>
  </si>
  <si>
    <t>L0231</t>
  </si>
  <si>
    <t>L0232</t>
  </si>
  <si>
    <t>L0233</t>
  </si>
  <si>
    <t>L0234</t>
  </si>
  <si>
    <t>L0235</t>
  </si>
  <si>
    <t>L0236</t>
  </si>
  <si>
    <t>L0237</t>
  </si>
  <si>
    <t>L0238</t>
  </si>
  <si>
    <t>L0239</t>
  </si>
  <si>
    <t>L0240</t>
  </si>
  <si>
    <t>L0241</t>
  </si>
  <si>
    <t>L0242</t>
  </si>
  <si>
    <t>L0243</t>
  </si>
  <si>
    <t>L0244</t>
  </si>
  <si>
    <t>L0245</t>
  </si>
  <si>
    <t>L0246</t>
  </si>
  <si>
    <t>L0247</t>
  </si>
  <si>
    <t>L0248</t>
  </si>
  <si>
    <t>L0249</t>
  </si>
  <si>
    <t>L0250</t>
  </si>
  <si>
    <t>L0251</t>
  </si>
  <si>
    <t>L0252</t>
  </si>
  <si>
    <t>L0253</t>
  </si>
  <si>
    <t>L0254</t>
  </si>
  <si>
    <t>L0255</t>
  </si>
  <si>
    <t>L0256</t>
  </si>
  <si>
    <t>L0257</t>
  </si>
  <si>
    <t>L0258</t>
  </si>
  <si>
    <t>L0259</t>
  </si>
  <si>
    <t>L0260</t>
  </si>
  <si>
    <t>L0261</t>
  </si>
  <si>
    <t>L0262</t>
  </si>
  <si>
    <t>L0263</t>
  </si>
  <si>
    <t>L0264</t>
  </si>
  <si>
    <t>L0265</t>
  </si>
  <si>
    <t>L0266</t>
  </si>
  <si>
    <t>L0267</t>
  </si>
  <si>
    <t>L0268</t>
  </si>
  <si>
    <t>L0269</t>
  </si>
  <si>
    <t>L0270</t>
  </si>
  <si>
    <t>L0271</t>
  </si>
  <si>
    <t>L0272</t>
  </si>
  <si>
    <t>L0273</t>
  </si>
  <si>
    <t>L0274</t>
  </si>
  <si>
    <t>L0275</t>
  </si>
  <si>
    <t>L0276</t>
  </si>
  <si>
    <t>L0277</t>
  </si>
  <si>
    <t>L0278</t>
  </si>
  <si>
    <t>L0279</t>
  </si>
  <si>
    <t>L0280</t>
  </si>
  <si>
    <t>L0281</t>
  </si>
  <si>
    <t>L0282</t>
  </si>
  <si>
    <t>L0283</t>
  </si>
  <si>
    <t>L0284</t>
  </si>
  <si>
    <t>L0285</t>
  </si>
  <si>
    <t>L0286</t>
  </si>
  <si>
    <t>L0287</t>
  </si>
  <si>
    <t>L0288</t>
  </si>
  <si>
    <t>L0289</t>
  </si>
  <si>
    <t>L0290</t>
  </si>
  <si>
    <t>L0291</t>
  </si>
  <si>
    <t>L0292</t>
  </si>
  <si>
    <t>L0293</t>
  </si>
  <si>
    <t>L0294</t>
  </si>
  <si>
    <t>L0295</t>
  </si>
  <si>
    <t>L0296</t>
  </si>
  <si>
    <t>L0297</t>
  </si>
  <si>
    <t>L0298</t>
  </si>
  <si>
    <t>L0299</t>
  </si>
  <si>
    <t>L0300</t>
  </si>
  <si>
    <t>L0301</t>
  </si>
  <si>
    <t>L0302</t>
  </si>
  <si>
    <t>L0303</t>
  </si>
  <si>
    <t>L0304</t>
  </si>
  <si>
    <t>L0305</t>
  </si>
  <si>
    <t>L0306</t>
  </si>
  <si>
    <t>L0307</t>
  </si>
  <si>
    <t>L0308</t>
  </si>
  <si>
    <t>L0309</t>
  </si>
  <si>
    <t>L0310</t>
  </si>
  <si>
    <t>L0311</t>
  </si>
  <si>
    <t>L0312</t>
  </si>
  <si>
    <t>L0313</t>
  </si>
  <si>
    <t>L0314</t>
  </si>
  <si>
    <t>L0315</t>
  </si>
  <si>
    <t>L0316</t>
  </si>
  <si>
    <t>L0317</t>
  </si>
  <si>
    <t>L0318</t>
  </si>
  <si>
    <t>L0319</t>
  </si>
  <si>
    <t>L0320</t>
  </si>
  <si>
    <t>L0321</t>
  </si>
  <si>
    <t>L0322</t>
  </si>
  <si>
    <t>L0323</t>
  </si>
  <si>
    <t>L0324</t>
  </si>
  <si>
    <t>L0325</t>
  </si>
  <si>
    <t>L0326</t>
  </si>
  <si>
    <t>L0327</t>
  </si>
  <si>
    <t>L0328</t>
  </si>
  <si>
    <t>L0329</t>
  </si>
  <si>
    <t>L0330</t>
  </si>
  <si>
    <t>L0331</t>
  </si>
  <si>
    <t>L0332</t>
  </si>
  <si>
    <t>L0333</t>
  </si>
  <si>
    <t>L0334</t>
  </si>
  <si>
    <t>L0335</t>
  </si>
  <si>
    <t>L0336</t>
  </si>
  <si>
    <t>L0337</t>
  </si>
  <si>
    <t>L0338</t>
  </si>
  <si>
    <t>L0339</t>
  </si>
  <si>
    <t>L0340</t>
  </si>
  <si>
    <t>L0341</t>
  </si>
  <si>
    <t>L0342</t>
  </si>
  <si>
    <t>L0343</t>
  </si>
  <si>
    <t>L0344</t>
  </si>
  <si>
    <t>L0345</t>
  </si>
  <si>
    <t>L0346</t>
  </si>
  <si>
    <t>L0347</t>
  </si>
  <si>
    <t>L0348</t>
  </si>
  <si>
    <t>L0349</t>
  </si>
  <si>
    <t>L0350</t>
  </si>
  <si>
    <t>L0351</t>
  </si>
  <si>
    <t>L0352</t>
  </si>
  <si>
    <t>L0353</t>
  </si>
  <si>
    <t>L0354</t>
  </si>
  <si>
    <t>L0355</t>
  </si>
  <si>
    <t>L0356</t>
  </si>
  <si>
    <t>L0357</t>
  </si>
  <si>
    <t>L0358</t>
  </si>
  <si>
    <t>L0359</t>
  </si>
  <si>
    <t>L0360</t>
  </si>
  <si>
    <t>L0361</t>
  </si>
  <si>
    <t>L0362</t>
  </si>
  <si>
    <t>L0363</t>
  </si>
  <si>
    <t>L0364</t>
  </si>
  <si>
    <t>L0365</t>
  </si>
  <si>
    <t>L0366</t>
  </si>
  <si>
    <t>L0367</t>
  </si>
  <si>
    <t>L0368</t>
  </si>
  <si>
    <t>L0369</t>
  </si>
  <si>
    <t>L0370</t>
  </si>
  <si>
    <t>L0371</t>
  </si>
  <si>
    <t>L0372</t>
  </si>
  <si>
    <t>L0373</t>
  </si>
  <si>
    <t>L0374</t>
  </si>
  <si>
    <t>L0375</t>
  </si>
  <si>
    <t>L0376</t>
  </si>
  <si>
    <t>L0377</t>
  </si>
  <si>
    <t>L0378</t>
  </si>
  <si>
    <t>L0379</t>
  </si>
  <si>
    <t>L0380</t>
  </si>
  <si>
    <t>L0381</t>
  </si>
  <si>
    <t>L0382</t>
  </si>
  <si>
    <t>L0383</t>
  </si>
  <si>
    <t>L0384</t>
  </si>
  <si>
    <t>L0385</t>
  </si>
  <si>
    <t>L0386</t>
  </si>
  <si>
    <t>L0387</t>
  </si>
  <si>
    <t>L0388</t>
  </si>
  <si>
    <t>L0389</t>
  </si>
  <si>
    <t>L0390</t>
  </si>
  <si>
    <t>L0391</t>
  </si>
  <si>
    <t>L0392</t>
  </si>
  <si>
    <t>L0393</t>
  </si>
  <si>
    <t>L0394</t>
  </si>
  <si>
    <t>L0395</t>
  </si>
  <si>
    <t>L0396</t>
  </si>
  <si>
    <t>L0397</t>
  </si>
  <si>
    <t>L0398</t>
  </si>
  <si>
    <t>L0399</t>
  </si>
  <si>
    <t>L0400</t>
  </si>
  <si>
    <t>L0401</t>
  </si>
  <si>
    <t>L0402</t>
  </si>
  <si>
    <t>L0403</t>
  </si>
  <si>
    <t>L0404</t>
  </si>
  <si>
    <t>L0405</t>
  </si>
  <si>
    <t>L0406</t>
  </si>
  <si>
    <t>L0407</t>
  </si>
  <si>
    <t>L0408</t>
  </si>
  <si>
    <t>L0409</t>
  </si>
  <si>
    <t>L0410</t>
  </si>
  <si>
    <t>L0411</t>
  </si>
  <si>
    <t>L0412</t>
  </si>
  <si>
    <t>L0413</t>
  </si>
  <si>
    <t>L0414</t>
  </si>
  <si>
    <t>L0415</t>
  </si>
  <si>
    <t>L0416</t>
  </si>
  <si>
    <t>L0417</t>
  </si>
  <si>
    <t>L0418</t>
  </si>
  <si>
    <t>L0419</t>
  </si>
  <si>
    <t>L0420</t>
  </si>
  <si>
    <t>L0421</t>
  </si>
  <si>
    <t>L0422</t>
  </si>
  <si>
    <t>L0423</t>
  </si>
  <si>
    <t>L0424</t>
  </si>
  <si>
    <t>L0425</t>
  </si>
  <si>
    <t>L0426</t>
  </si>
  <si>
    <t>L0427</t>
  </si>
  <si>
    <t>L0428</t>
  </si>
  <si>
    <t>L0429</t>
  </si>
  <si>
    <t>L0430</t>
  </si>
  <si>
    <t>L0431</t>
  </si>
  <si>
    <t>L0432</t>
  </si>
  <si>
    <t>L0433</t>
  </si>
  <si>
    <t>L0434</t>
  </si>
  <si>
    <t>L0435</t>
  </si>
  <si>
    <t>L0436</t>
  </si>
  <si>
    <t>L0437</t>
  </si>
  <si>
    <t>L0438</t>
  </si>
  <si>
    <t>L0439</t>
  </si>
  <si>
    <t>L0440</t>
  </si>
  <si>
    <t>L0441</t>
  </si>
  <si>
    <t>L0442</t>
  </si>
  <si>
    <t>L0443</t>
  </si>
  <si>
    <t>L0444</t>
  </si>
  <si>
    <t>L0445</t>
  </si>
  <si>
    <t>L0446</t>
  </si>
  <si>
    <t>L0447</t>
  </si>
  <si>
    <t>L0448</t>
  </si>
  <si>
    <t>L0449</t>
  </si>
  <si>
    <t>L0450</t>
  </si>
  <si>
    <t>L0451</t>
  </si>
  <si>
    <t>L0452</t>
  </si>
  <si>
    <t>L0453</t>
  </si>
  <si>
    <t>L0454</t>
  </si>
  <si>
    <t>L0455</t>
  </si>
  <si>
    <t>L0456</t>
  </si>
  <si>
    <t>L0457</t>
  </si>
  <si>
    <t>L0458</t>
  </si>
  <si>
    <t>L0459</t>
  </si>
  <si>
    <t>L0460</t>
  </si>
  <si>
    <t>L0461</t>
  </si>
  <si>
    <t>L0462</t>
  </si>
  <si>
    <t>L0463</t>
  </si>
  <si>
    <t>L0464</t>
  </si>
  <si>
    <t>L0465</t>
  </si>
  <si>
    <t>L0466</t>
  </si>
  <si>
    <t>L0467</t>
  </si>
  <si>
    <t>L0468</t>
  </si>
  <si>
    <t>L0469</t>
  </si>
  <si>
    <t>L0470</t>
  </si>
  <si>
    <t>L0471</t>
  </si>
  <si>
    <t>L0472</t>
  </si>
  <si>
    <t>L0473</t>
  </si>
  <si>
    <t>L0474</t>
  </si>
  <si>
    <t>L0475</t>
  </si>
  <si>
    <t>L0476</t>
  </si>
  <si>
    <t>L0477</t>
  </si>
  <si>
    <t>L0478</t>
  </si>
  <si>
    <t>L0479</t>
  </si>
  <si>
    <t>L0480</t>
  </si>
  <si>
    <t>L0481</t>
  </si>
  <si>
    <t>L0482</t>
  </si>
  <si>
    <t>L0483</t>
  </si>
  <si>
    <t>L0484</t>
  </si>
  <si>
    <t>L0485</t>
  </si>
  <si>
    <t>L0486</t>
  </si>
  <si>
    <t>L0487</t>
  </si>
  <si>
    <t>L0488</t>
  </si>
  <si>
    <t>L0489</t>
  </si>
  <si>
    <t>L0490</t>
  </si>
  <si>
    <t>L0491</t>
  </si>
  <si>
    <t>L0492</t>
  </si>
  <si>
    <t>L0493</t>
  </si>
  <si>
    <t>L0494</t>
  </si>
  <si>
    <t>L0495</t>
  </si>
  <si>
    <t>L0496</t>
  </si>
  <si>
    <t>L0497</t>
  </si>
  <si>
    <t>L0498</t>
  </si>
  <si>
    <t>L0499</t>
  </si>
  <si>
    <t>L0500</t>
  </si>
  <si>
    <t>L0501</t>
  </si>
  <si>
    <t>L0502</t>
  </si>
  <si>
    <t>L0503</t>
  </si>
  <si>
    <t>L0504</t>
  </si>
  <si>
    <t>L0505</t>
  </si>
  <si>
    <t>L0506</t>
  </si>
  <si>
    <t>L0507</t>
  </si>
  <si>
    <t>L0508</t>
  </si>
  <si>
    <t>L0509</t>
  </si>
  <si>
    <t>L0510</t>
  </si>
  <si>
    <t>L0511</t>
  </si>
  <si>
    <t>L0512</t>
  </si>
  <si>
    <t>L0513</t>
  </si>
  <si>
    <t>L0514</t>
  </si>
  <si>
    <t>L0515</t>
  </si>
  <si>
    <t>L0516</t>
  </si>
  <si>
    <t>L0517</t>
  </si>
  <si>
    <t>L0518</t>
  </si>
  <si>
    <t>L0519</t>
  </si>
  <si>
    <t>L0520</t>
  </si>
  <si>
    <t>L0521</t>
  </si>
  <si>
    <t>L0522</t>
  </si>
  <si>
    <t>L0523</t>
  </si>
  <si>
    <t>L0524</t>
  </si>
  <si>
    <t>L0525</t>
  </si>
  <si>
    <t>L0526</t>
  </si>
  <si>
    <t>L0527</t>
  </si>
  <si>
    <t>L0528</t>
  </si>
  <si>
    <t>L0529</t>
  </si>
  <si>
    <t>L0530</t>
  </si>
  <si>
    <t>L0531</t>
  </si>
  <si>
    <t>L0532</t>
  </si>
  <si>
    <t>L0533</t>
  </si>
  <si>
    <t>L0534</t>
  </si>
  <si>
    <t>L0535</t>
  </si>
  <si>
    <t>L0536</t>
  </si>
  <si>
    <t>L0537</t>
  </si>
  <si>
    <t>L0538</t>
  </si>
  <si>
    <t>L0539</t>
  </si>
  <si>
    <t>L0540</t>
  </si>
  <si>
    <t>L0541</t>
  </si>
  <si>
    <t>L0542</t>
  </si>
  <si>
    <t>L0543</t>
  </si>
  <si>
    <t>L0544</t>
  </si>
  <si>
    <t>L0545</t>
  </si>
  <si>
    <t>L0546</t>
  </si>
  <si>
    <t>L0547</t>
  </si>
  <si>
    <t>L0548</t>
  </si>
  <si>
    <t>L0549</t>
  </si>
  <si>
    <t>L0550</t>
  </si>
  <si>
    <t>L0551</t>
  </si>
  <si>
    <t>L0552</t>
  </si>
  <si>
    <t>L0553</t>
  </si>
  <si>
    <t>L0554</t>
  </si>
  <si>
    <t>L0555</t>
  </si>
  <si>
    <t>L0556</t>
  </si>
  <si>
    <t>L0557</t>
  </si>
  <si>
    <t>L0558</t>
  </si>
  <si>
    <t>L0559</t>
  </si>
  <si>
    <t>L0560</t>
  </si>
  <si>
    <t>L0561</t>
  </si>
  <si>
    <t>L0562</t>
  </si>
  <si>
    <t>L0563</t>
  </si>
  <si>
    <t>L0564</t>
  </si>
  <si>
    <t>L0565</t>
  </si>
  <si>
    <t>L0566</t>
  </si>
  <si>
    <t>L0567</t>
  </si>
  <si>
    <t>L0568</t>
  </si>
  <si>
    <t>L0569</t>
  </si>
  <si>
    <t>L0570</t>
  </si>
  <si>
    <t>L0571</t>
  </si>
  <si>
    <t>L0572</t>
  </si>
  <si>
    <t>L0573</t>
  </si>
  <si>
    <t>L0574</t>
  </si>
  <si>
    <t>L0575</t>
  </si>
  <si>
    <t>L0576</t>
  </si>
  <si>
    <t>L0577</t>
  </si>
  <si>
    <t>L0578</t>
  </si>
  <si>
    <t>L0579</t>
  </si>
  <si>
    <t>L0580</t>
  </si>
  <si>
    <t>L0581</t>
  </si>
  <si>
    <t>L0582</t>
  </si>
  <si>
    <t>L0583</t>
  </si>
  <si>
    <t>L0584</t>
  </si>
  <si>
    <t>L0585</t>
  </si>
  <si>
    <t>L0586</t>
  </si>
  <si>
    <t>L0587</t>
  </si>
  <si>
    <t>L0588</t>
  </si>
  <si>
    <t>L0589</t>
  </si>
  <si>
    <t>L0590</t>
  </si>
  <si>
    <t>L0591</t>
  </si>
  <si>
    <t>L0592</t>
  </si>
  <si>
    <t>L0593</t>
  </si>
  <si>
    <t>L0594</t>
  </si>
  <si>
    <t>L0595</t>
  </si>
  <si>
    <t>L0596</t>
  </si>
  <si>
    <t>L0597</t>
  </si>
  <si>
    <t>L0598</t>
  </si>
  <si>
    <t>L0599</t>
  </si>
  <si>
    <t>L0600</t>
  </si>
  <si>
    <t>L0601</t>
  </si>
  <si>
    <t>L0602</t>
  </si>
  <si>
    <t>L0603</t>
  </si>
  <si>
    <t>L0604</t>
  </si>
  <si>
    <t>L0605</t>
  </si>
  <si>
    <t>L0606</t>
  </si>
  <si>
    <t>L0607</t>
  </si>
  <si>
    <t>L0608</t>
  </si>
  <si>
    <t>L0609</t>
  </si>
  <si>
    <t>L0610</t>
  </si>
  <si>
    <t>L0611</t>
  </si>
  <si>
    <t>L0612</t>
  </si>
  <si>
    <t>L0613</t>
  </si>
  <si>
    <t>L0614</t>
  </si>
  <si>
    <t>L0615</t>
  </si>
  <si>
    <t>L0616</t>
  </si>
  <si>
    <t>L0617</t>
  </si>
  <si>
    <t>L0618</t>
  </si>
  <si>
    <t>L0619</t>
  </si>
  <si>
    <t>L0620</t>
  </si>
  <si>
    <t>L0621</t>
  </si>
  <si>
    <t>L0622</t>
  </si>
  <si>
    <t>L0623</t>
  </si>
  <si>
    <t>L0624</t>
  </si>
  <si>
    <t>L0625</t>
  </si>
  <si>
    <t>L0626</t>
  </si>
  <si>
    <t>L0627</t>
  </si>
  <si>
    <t>L0628</t>
  </si>
  <si>
    <t>L0629</t>
  </si>
  <si>
    <t>L0630</t>
  </si>
  <si>
    <t>L0631</t>
  </si>
  <si>
    <t>L0632</t>
  </si>
  <si>
    <t>L0633</t>
  </si>
  <si>
    <t>L0634</t>
  </si>
  <si>
    <t>L0635</t>
  </si>
  <si>
    <t>L0636</t>
  </si>
  <si>
    <t>L0637</t>
  </si>
  <si>
    <t>L0638</t>
  </si>
  <si>
    <t>L0639</t>
  </si>
  <si>
    <t>L0640</t>
  </si>
  <si>
    <t>L0641</t>
  </si>
  <si>
    <t>L0642</t>
  </si>
  <si>
    <t>L0643</t>
  </si>
  <si>
    <t>L0644</t>
  </si>
  <si>
    <t>L0645</t>
  </si>
  <si>
    <t>L0646</t>
  </si>
  <si>
    <t>L0647</t>
  </si>
  <si>
    <t>L0648</t>
  </si>
  <si>
    <t>L0649</t>
  </si>
  <si>
    <t>L0650</t>
  </si>
  <si>
    <t>L0651</t>
  </si>
  <si>
    <t>L0652</t>
  </si>
  <si>
    <t>L0653</t>
  </si>
  <si>
    <t>L0654</t>
  </si>
  <si>
    <t>L0655</t>
  </si>
  <si>
    <t>L0656</t>
  </si>
  <si>
    <t>L0657</t>
  </si>
  <si>
    <t>L0658</t>
  </si>
  <si>
    <t>L0659</t>
  </si>
  <si>
    <t>L0660</t>
  </si>
  <si>
    <t>L0661</t>
  </si>
  <si>
    <t>L0662</t>
  </si>
  <si>
    <t>L0663</t>
  </si>
  <si>
    <t>L0664</t>
  </si>
  <si>
    <t>L0665</t>
  </si>
  <si>
    <t>L0666</t>
  </si>
  <si>
    <t>L0667</t>
  </si>
  <si>
    <t>L0668</t>
  </si>
  <si>
    <t>L0669</t>
  </si>
  <si>
    <t>L0670</t>
  </si>
  <si>
    <t>L0671</t>
  </si>
  <si>
    <t>L0672</t>
  </si>
  <si>
    <t>L0673</t>
  </si>
  <si>
    <t>L0674</t>
  </si>
  <si>
    <t>L0675</t>
  </si>
  <si>
    <t>L0676</t>
  </si>
  <si>
    <t>L0677</t>
  </si>
  <si>
    <t>L0678</t>
  </si>
  <si>
    <t>L0679</t>
  </si>
  <si>
    <t>L0680</t>
  </si>
  <si>
    <t>L0681</t>
  </si>
  <si>
    <t>L0682</t>
  </si>
  <si>
    <t>L0683</t>
  </si>
  <si>
    <t>L0684</t>
  </si>
  <si>
    <t>L0685</t>
  </si>
  <si>
    <t>L0686</t>
  </si>
  <si>
    <t>L0687</t>
  </si>
  <si>
    <t>L0688</t>
  </si>
  <si>
    <t>L0689</t>
  </si>
  <si>
    <t>L0690</t>
  </si>
  <si>
    <t>L0691</t>
  </si>
  <si>
    <t>L0692</t>
  </si>
  <si>
    <t>L0693</t>
  </si>
  <si>
    <t>L0694</t>
  </si>
  <si>
    <t>L0695</t>
  </si>
  <si>
    <t>L0696</t>
  </si>
  <si>
    <t>L0697</t>
  </si>
  <si>
    <t>L0698</t>
  </si>
  <si>
    <t>L0699</t>
  </si>
  <si>
    <t>L0700</t>
  </si>
  <si>
    <t>customer_name</t>
  </si>
  <si>
    <t>Pooja Sharma</t>
  </si>
  <si>
    <t>Pooja Singh</t>
  </si>
  <si>
    <t>Kavya Sharma</t>
  </si>
  <si>
    <t>Aisha Yadav</t>
  </si>
  <si>
    <t>Karan Mehta</t>
  </si>
  <si>
    <t>Neha Mehta</t>
  </si>
  <si>
    <t>Ishaan Sharma</t>
  </si>
  <si>
    <t>Rohan Sharma</t>
  </si>
  <si>
    <t>Diya Gupta</t>
  </si>
  <si>
    <t>Aisha Patel</t>
  </si>
  <si>
    <t>Pooja Patel</t>
  </si>
  <si>
    <t>Aryan Sharma</t>
  </si>
  <si>
    <t>Diya Verma</t>
  </si>
  <si>
    <t>Diya Nair</t>
  </si>
  <si>
    <t>Sanya Nair</t>
  </si>
  <si>
    <t>Sanya Verma</t>
  </si>
  <si>
    <t>Priya Patel</t>
  </si>
  <si>
    <t>Neha Verma</t>
  </si>
  <si>
    <t>Aisha Gupta</t>
  </si>
  <si>
    <t>Vivaan Singh</t>
  </si>
  <si>
    <t>Diya Mehta</t>
  </si>
  <si>
    <t>Vivaan Joshi</t>
  </si>
  <si>
    <t>Aarav Gupta</t>
  </si>
  <si>
    <t>Aisha Nair</t>
  </si>
  <si>
    <t>Vivaan Sharma</t>
  </si>
  <si>
    <t>Ritika Joshi</t>
  </si>
  <si>
    <t>Aarav Nair</t>
  </si>
  <si>
    <t>Karan Kumar</t>
  </si>
  <si>
    <t>Sanya Yadav</t>
  </si>
  <si>
    <t>Ananya Kumar</t>
  </si>
  <si>
    <t>Arjun Verma</t>
  </si>
  <si>
    <t>Aisha Kumar</t>
  </si>
  <si>
    <t>Ananya Patel</t>
  </si>
  <si>
    <t>Karan Verma</t>
  </si>
  <si>
    <t>Rohan Yadav</t>
  </si>
  <si>
    <t>Meera Singh</t>
  </si>
  <si>
    <t>Neha Patel</t>
  </si>
  <si>
    <t>Aditya Patel</t>
  </si>
  <si>
    <t>Sanya Kumar</t>
  </si>
  <si>
    <t>Kavya Yadav</t>
  </si>
  <si>
    <t>Ritika Singh</t>
  </si>
  <si>
    <t>Sneha Joshi</t>
  </si>
  <si>
    <t>Ritika Verma</t>
  </si>
  <si>
    <t>Ananya Yadav</t>
  </si>
  <si>
    <t>Kavya Gupta</t>
  </si>
  <si>
    <t>Diya Sharma</t>
  </si>
  <si>
    <t>Kavya Kumar</t>
  </si>
  <si>
    <t>Rohan Singh</t>
  </si>
  <si>
    <t>Meera Sharma</t>
  </si>
  <si>
    <t>Arjun Yadav</t>
  </si>
  <si>
    <t>Ananya Sharma</t>
  </si>
  <si>
    <t>Aisha Verma</t>
  </si>
  <si>
    <t>Arjun Kumar</t>
  </si>
  <si>
    <t>Ananya Verma</t>
  </si>
  <si>
    <t>Ananya Mehta</t>
  </si>
  <si>
    <t>Kavya Nair</t>
  </si>
  <si>
    <t>Neha Gupta</t>
  </si>
  <si>
    <t>Ishaan Nair</t>
  </si>
  <si>
    <t>Neha Singh</t>
  </si>
  <si>
    <t>Rahul Gupta</t>
  </si>
  <si>
    <t>Kavya Patel</t>
  </si>
  <si>
    <t>Karan Sharma</t>
  </si>
  <si>
    <t>Priya Sharma</t>
  </si>
  <si>
    <t>Ritika Yadav</t>
  </si>
  <si>
    <t>Aarav Mehta</t>
  </si>
  <si>
    <t>Aryan Kumar</t>
  </si>
  <si>
    <t>Rahul Mehta</t>
  </si>
  <si>
    <t>Ishaan Verma</t>
  </si>
  <si>
    <t>Pooja Gupta</t>
  </si>
  <si>
    <t>Aditya Nair</t>
  </si>
  <si>
    <t>Ishaan Joshi</t>
  </si>
  <si>
    <t>Neha Yadav</t>
  </si>
  <si>
    <t>Rahul Nair</t>
  </si>
  <si>
    <t>Ritika Mehta</t>
  </si>
  <si>
    <t>Kavya Singh</t>
  </si>
  <si>
    <t>Neha Kumar</t>
  </si>
  <si>
    <t>Aryan Joshi</t>
  </si>
  <si>
    <t>Meera Nair</t>
  </si>
  <si>
    <t>Sanya Mehta</t>
  </si>
  <si>
    <t>Meera Gupta</t>
  </si>
  <si>
    <t>Ishaan Singh</t>
  </si>
  <si>
    <t>Ishaan Yadav</t>
  </si>
  <si>
    <t>Rohan Nair</t>
  </si>
  <si>
    <t>Ritika Patel</t>
  </si>
  <si>
    <t>Aditya Yadav</t>
  </si>
  <si>
    <t>Aryan Mehta</t>
  </si>
  <si>
    <t>Aditya Kumar</t>
  </si>
  <si>
    <t>Ishaan Patel</t>
  </si>
  <si>
    <t>Priya Singh</t>
  </si>
  <si>
    <t>Ritika Nair</t>
  </si>
  <si>
    <t>Sneha Nair</t>
  </si>
  <si>
    <t>Vivaan Gupta</t>
  </si>
  <si>
    <t>Rahul Singh</t>
  </si>
  <si>
    <t>Ritika Gupta</t>
  </si>
  <si>
    <t>Meera Patel</t>
  </si>
  <si>
    <t>Arjun Joshi</t>
  </si>
  <si>
    <t>Aditya Singh</t>
  </si>
  <si>
    <t>Ananya Gupta</t>
  </si>
  <si>
    <t>Meera Mehta</t>
  </si>
  <si>
    <t>Aisha Sharma</t>
  </si>
  <si>
    <t>Sanya Sharma</t>
  </si>
  <si>
    <t>Arjun Nair</t>
  </si>
  <si>
    <t>Sneha Sharma</t>
  </si>
  <si>
    <t>Pooja Mehta</t>
  </si>
  <si>
    <t>Pooja Kumar</t>
  </si>
  <si>
    <t>Priya Mehta</t>
  </si>
  <si>
    <t>Ishaan Gupta</t>
  </si>
  <si>
    <t>Priya Verma</t>
  </si>
  <si>
    <t>Aarav Kumar</t>
  </si>
  <si>
    <t>Karan Joshi</t>
  </si>
  <si>
    <t>Aisha Joshi</t>
  </si>
  <si>
    <t>Meera Yadav</t>
  </si>
  <si>
    <t>Arjun Mehta</t>
  </si>
  <si>
    <t>Vivaan Nair</t>
  </si>
  <si>
    <t>Meera Verma</t>
  </si>
  <si>
    <t>Rohan Verma</t>
  </si>
  <si>
    <t>Aryan Singh</t>
  </si>
  <si>
    <t>Aditya Mehta</t>
  </si>
  <si>
    <t>Aarav Patel</t>
  </si>
  <si>
    <t>Rahul Sharma</t>
  </si>
  <si>
    <t>Diya Patel</t>
  </si>
  <si>
    <t>Rahul Patel</t>
  </si>
  <si>
    <t>Priya Yadav</t>
  </si>
  <si>
    <t>Aditya Joshi</t>
  </si>
  <si>
    <t>Meera Joshi</t>
  </si>
  <si>
    <t>Aryan Patel</t>
  </si>
  <si>
    <t>Sneha Kumar</t>
  </si>
  <si>
    <t>Sneha Gupta</t>
  </si>
  <si>
    <t>Aditya Gupta</t>
  </si>
  <si>
    <t>Ananya Singh</t>
  </si>
  <si>
    <t>Rahul Yadav</t>
  </si>
  <si>
    <t>Sanya Singh</t>
  </si>
  <si>
    <t>Sneha Mehta</t>
  </si>
  <si>
    <t>Priya Nair</t>
  </si>
  <si>
    <t>Aisha Mehta</t>
  </si>
  <si>
    <t>Neha Nair</t>
  </si>
  <si>
    <t>Vivaan Patel</t>
  </si>
  <si>
    <t>Diya Joshi</t>
  </si>
  <si>
    <t>Priya Kumar</t>
  </si>
  <si>
    <t>Aditya Sharma</t>
  </si>
  <si>
    <t>Rahul Verma</t>
  </si>
  <si>
    <t>Kavya Verma</t>
  </si>
  <si>
    <t>Vivaan Kumar</t>
  </si>
  <si>
    <t>Diya Singh</t>
  </si>
  <si>
    <t>Ritika Kumar</t>
  </si>
  <si>
    <t>Ishaan Mehta</t>
  </si>
  <si>
    <t>Karan Yadav</t>
  </si>
  <si>
    <t>Rahul Joshi</t>
  </si>
  <si>
    <t>Priya Gupta</t>
  </si>
  <si>
    <t>Sneha Yadav</t>
  </si>
  <si>
    <t>Arjun Patel</t>
  </si>
  <si>
    <t>Aarav Sharma</t>
  </si>
  <si>
    <t>Neha Sharma</t>
  </si>
  <si>
    <t>Vivaan Yadav</t>
  </si>
  <si>
    <t>Aisha Singh</t>
  </si>
  <si>
    <t>Kavya Joshi</t>
  </si>
  <si>
    <t>Pooja Verma</t>
  </si>
  <si>
    <t>Arjun Singh</t>
  </si>
  <si>
    <t>Aarav Singh</t>
  </si>
  <si>
    <t>Aryan Yadav</t>
  </si>
  <si>
    <t>Diya Yadav</t>
  </si>
  <si>
    <t>Ishaan Kumar</t>
  </si>
  <si>
    <t>Karan Nair</t>
  </si>
  <si>
    <t>Priya Joshi</t>
  </si>
  <si>
    <t>Rohan Patel</t>
  </si>
  <si>
    <t>Pooja Joshi</t>
  </si>
  <si>
    <t>Kavya Mehta</t>
  </si>
  <si>
    <t>Sanya Joshi</t>
  </si>
  <si>
    <t>Aryan Gupta</t>
  </si>
  <si>
    <t>Aryan Verma</t>
  </si>
  <si>
    <t>Vivaan Mehta</t>
  </si>
  <si>
    <t>Sanya Gupta</t>
  </si>
  <si>
    <t>Sneha Verma</t>
  </si>
  <si>
    <t>Sneha Singh</t>
  </si>
  <si>
    <t>Meera Kumar</t>
  </si>
  <si>
    <t>Arjun Gupta</t>
  </si>
  <si>
    <t>Ananya Nair</t>
  </si>
  <si>
    <t>Aarav Yadav</t>
  </si>
  <si>
    <t>Neha Joshi</t>
  </si>
  <si>
    <t>Pooja Yadav</t>
  </si>
  <si>
    <t>Ritika Sharma</t>
  </si>
  <si>
    <t>Arjun Sharma</t>
  </si>
  <si>
    <t>Karan Singh</t>
  </si>
  <si>
    <t>Aarav Verma</t>
  </si>
  <si>
    <t>Aryan Nair</t>
  </si>
  <si>
    <t>Karan Patel</t>
  </si>
  <si>
    <t>Vivaan Verma</t>
  </si>
  <si>
    <t>Karan Gupta</t>
  </si>
  <si>
    <t>Sneha Patel</t>
  </si>
  <si>
    <t>Aditya Verma</t>
  </si>
  <si>
    <t>Aarav Joshi</t>
  </si>
  <si>
    <t>Diya Kumar</t>
  </si>
  <si>
    <t>good vs bad loan</t>
  </si>
  <si>
    <t>monthly_EMI</t>
  </si>
  <si>
    <t>DTI</t>
  </si>
  <si>
    <t>EMI_payment_date</t>
  </si>
  <si>
    <t>total_amount_paid</t>
  </si>
  <si>
    <t>Row Labels</t>
  </si>
  <si>
    <t>Count of Loan_ID</t>
  </si>
  <si>
    <t>Sum of Loan_Amount</t>
  </si>
  <si>
    <t>Sum of total_amount_paid</t>
  </si>
  <si>
    <t>Sum of Profit</t>
  </si>
  <si>
    <t>Average of total_amount_paid</t>
  </si>
  <si>
    <t>Average of Interest_Rate</t>
  </si>
  <si>
    <t>Average of DTI</t>
  </si>
  <si>
    <t>total metrics</t>
  </si>
  <si>
    <t>metrics</t>
  </si>
  <si>
    <t>bad loan</t>
  </si>
  <si>
    <t>good loan</t>
  </si>
  <si>
    <t>Column Labels</t>
  </si>
  <si>
    <t>city wise analysis</t>
  </si>
  <si>
    <t>loan tpye wise analysis</t>
  </si>
  <si>
    <t>gender wise customer and loan amount</t>
  </si>
  <si>
    <t>Default Risk Distribution</t>
  </si>
  <si>
    <t>City Wise Profit</t>
  </si>
  <si>
    <t>Average Interest Rate by Loan Type</t>
  </si>
  <si>
    <t>Total Profit by Loan Type</t>
  </si>
  <si>
    <t>monthly_income</t>
  </si>
  <si>
    <t>Total EMI Collected</t>
  </si>
  <si>
    <t>Sum of monthly_EMI</t>
  </si>
  <si>
    <t>Total Amount Paid by Loan Type</t>
  </si>
  <si>
    <t>Average Income by City</t>
  </si>
  <si>
    <t>Average of Annual_Income</t>
  </si>
  <si>
    <t xml:space="preserve">                                         HDFC BANK LOAN DATA 2024 TO 2026</t>
  </si>
  <si>
    <t>total loan ID</t>
  </si>
  <si>
    <t>total loan amount</t>
  </si>
  <si>
    <t>total amount recevied</t>
  </si>
  <si>
    <t>profit</t>
  </si>
  <si>
    <t xml:space="preserve">    average loan interest rate</t>
  </si>
  <si>
    <t>loan taken by city</t>
  </si>
  <si>
    <t>City Wise Good vs Bad Loan analysis</t>
  </si>
  <si>
    <t>Repayment Status wise customers</t>
  </si>
  <si>
    <t>years</t>
  </si>
  <si>
    <t>high</t>
  </si>
  <si>
    <t>low</t>
  </si>
  <si>
    <t>months</t>
  </si>
  <si>
    <t>formula used</t>
  </si>
  <si>
    <t>month_paid</t>
  </si>
  <si>
    <t>explanation</t>
  </si>
  <si>
    <t>Calculates the first EMI payment date by adding one month to the application date.</t>
  </si>
  <si>
    <t>Extracts the full month name from the EMI payment date.</t>
  </si>
  <si>
    <t>Calculates the customer's monthly income from the annual income.</t>
  </si>
  <si>
    <t>Calculates 30% of the customer's monthly income to estimate the affordable EMI amount.</t>
  </si>
  <si>
    <t>Calculates the total amount paid by multiplying the number of EMIs paid by the monthly EMI amount.</t>
  </si>
  <si>
    <t>Calculates the total number of months elapsed since the EMI payment started.</t>
  </si>
  <si>
    <t>Calculates the total loan repayment period (in months) and rounds it up to the nearest whole month.</t>
  </si>
  <si>
    <r>
      <t xml:space="preserve">Classifies the loan as </t>
    </r>
    <r>
      <rPr>
        <b/>
        <sz val="11"/>
        <color theme="1"/>
        <rFont val="Calibri"/>
        <family val="2"/>
        <scheme val="minor"/>
      </rPr>
      <t>Good Loan</t>
    </r>
    <r>
      <rPr>
        <sz val="11"/>
        <color theme="1"/>
        <rFont val="Calibri"/>
        <family val="2"/>
        <scheme val="minor"/>
      </rPr>
      <t xml:space="preserve"> or </t>
    </r>
    <r>
      <rPr>
        <b/>
        <sz val="11"/>
        <color theme="1"/>
        <rFont val="Calibri"/>
        <family val="2"/>
        <scheme val="minor"/>
      </rPr>
      <t>Bad Loan</t>
    </r>
    <r>
      <rPr>
        <sz val="11"/>
        <color theme="1"/>
        <rFont val="Calibri"/>
        <family val="2"/>
        <scheme val="minor"/>
      </rPr>
      <t xml:space="preserve"> based on the repayment status.</t>
    </r>
  </si>
  <si>
    <r>
      <t xml:space="preserve">Determines the default risk level as </t>
    </r>
    <r>
      <rPr>
        <b/>
        <sz val="11"/>
        <color theme="1"/>
        <rFont val="Calibri"/>
        <family val="2"/>
        <scheme val="minor"/>
      </rPr>
      <t>High</t>
    </r>
    <r>
      <rPr>
        <sz val="11"/>
        <color theme="1"/>
        <rFont val="Calibri"/>
        <family val="2"/>
        <scheme val="minor"/>
      </rPr>
      <t xml:space="preserve"> or </t>
    </r>
    <r>
      <rPr>
        <b/>
        <sz val="11"/>
        <color theme="1"/>
        <rFont val="Calibri"/>
        <family val="2"/>
        <scheme val="minor"/>
      </rPr>
      <t>Low</t>
    </r>
    <r>
      <rPr>
        <sz val="11"/>
        <color theme="1"/>
        <rFont val="Calibri"/>
        <family val="2"/>
        <scheme val="minor"/>
      </rPr>
      <t xml:space="preserve"> based on the repayment status.</t>
    </r>
  </si>
  <si>
    <t>Calculates the Debt-to-Income (DTI) ratio by expressing the monthly EMI as a percentage of the monthly income.</t>
  </si>
  <si>
    <t>Calculates and extracts the year from the Application Date for year-wise analysis and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</si>
</sst>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009]\ #,##0.00"/>
    <numFmt numFmtId="165" formatCode="[$₹-4009]\ #,##0"/>
  </numFmts>
  <fonts count="12" x14ac:knownFonts="1">
    <font>
      <sz val="11"/>
      <color theme="1"/>
      <name val="Calibri"/>
      <family val="2"/>
      <scheme val="minor"/>
    </font>
    <font>
      <sz val="11"/>
      <color theme="1"/>
      <name val="Calibri"/>
      <family val="2"/>
    </font>
    <font>
      <b/>
      <sz val="14"/>
      <color theme="9" tint="0.39997558519241921"/>
      <name val="Calibri"/>
      <family val="2"/>
      <scheme val="minor"/>
    </font>
    <font>
      <sz val="11"/>
      <color theme="0"/>
      <name val="Calibri"/>
      <family val="2"/>
      <scheme val="minor"/>
    </font>
    <font>
      <sz val="28"/>
      <color theme="0"/>
      <name val="Algerian"/>
      <family val="5"/>
    </font>
    <font>
      <b/>
      <sz val="11"/>
      <color theme="1"/>
      <name val="Calibri"/>
      <family val="2"/>
      <scheme val="minor"/>
    </font>
    <font>
      <b/>
      <sz val="14"/>
      <color rgb="FFFF0000"/>
      <name val="Calibri"/>
      <family val="2"/>
      <scheme val="minor"/>
    </font>
    <font>
      <sz val="11"/>
      <color theme="1"/>
      <name val="Calibri"/>
      <family val="2"/>
      <scheme val="minor"/>
    </font>
    <font>
      <b/>
      <sz val="28"/>
      <color theme="1"/>
      <name val="Arial Narrow"/>
      <family val="2"/>
    </font>
    <font>
      <b/>
      <sz val="18"/>
      <color theme="7" tint="-0.249977111117893"/>
      <name val="Arial Rounded MT Bold"/>
      <family val="2"/>
    </font>
    <font>
      <b/>
      <sz val="12"/>
      <color rgb="FFFF0000"/>
      <name val="Cambria"/>
      <family val="1"/>
    </font>
    <font>
      <b/>
      <i/>
      <sz val="12"/>
      <color theme="1"/>
      <name val="Calibri"/>
      <family val="2"/>
      <scheme val="minor"/>
    </font>
  </fonts>
  <fills count="13">
    <fill>
      <patternFill patternType="none"/>
    </fill>
    <fill>
      <patternFill patternType="gray125"/>
    </fill>
    <fill>
      <patternFill patternType="solid">
        <fgColor theme="3" tint="0.59999389629810485"/>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7" fillId="0" borderId="0" applyFont="0" applyFill="0" applyBorder="0" applyAlignment="0" applyProtection="0"/>
  </cellStyleXfs>
  <cellXfs count="72">
    <xf numFmtId="0" fontId="0" fillId="0" borderId="0" xfId="0"/>
    <xf numFmtId="0" fontId="0" fillId="0" borderId="0" xfId="0" applyAlignment="1">
      <alignment horizontal="center" vertical="center"/>
    </xf>
    <xf numFmtId="0" fontId="1" fillId="0" borderId="0" xfId="0" applyFont="1" applyFill="1" applyBorder="1" applyAlignment="1">
      <alignment horizontal="center" vertical="center"/>
    </xf>
    <xf numFmtId="14" fontId="0" fillId="0" borderId="0" xfId="0" applyNumberFormat="1" applyAlignment="1">
      <alignment horizontal="center" vertical="center"/>
    </xf>
    <xf numFmtId="14" fontId="0" fillId="0" borderId="0" xfId="0" applyNumberFormat="1"/>
    <xf numFmtId="1" fontId="0" fillId="0" borderId="0" xfId="0" applyNumberFormat="1" applyAlignment="1">
      <alignment horizontal="center" vertical="center"/>
    </xf>
    <xf numFmtId="1" fontId="0" fillId="0" borderId="0" xfId="0" applyNumberFormat="1"/>
    <xf numFmtId="164" fontId="0" fillId="0" borderId="0" xfId="0" applyNumberFormat="1" applyAlignment="1">
      <alignment horizontal="center" vertical="center"/>
    </xf>
    <xf numFmtId="164" fontId="0" fillId="0" borderId="0" xfId="0" applyNumberFormat="1"/>
    <xf numFmtId="165" fontId="0" fillId="0" borderId="0" xfId="0" applyNumberFormat="1" applyAlignment="1">
      <alignment horizontal="center" vertical="center"/>
    </xf>
    <xf numFmtId="165" fontId="0" fillId="0" borderId="0" xfId="0" applyNumberFormat="1"/>
    <xf numFmtId="1" fontId="0" fillId="0" borderId="0" xfId="0" applyNumberFormat="1" applyFont="1" applyAlignment="1">
      <alignment horizontal="center" vertical="center"/>
    </xf>
    <xf numFmtId="0" fontId="0" fillId="3" borderId="0" xfId="0" applyFill="1" applyAlignment="1">
      <alignment horizontal="center" vertical="center"/>
    </xf>
    <xf numFmtId="1" fontId="0" fillId="3" borderId="0" xfId="0" applyNumberFormat="1" applyFill="1" applyAlignment="1">
      <alignment horizontal="center" vertical="center"/>
    </xf>
    <xf numFmtId="14" fontId="0" fillId="3" borderId="0" xfId="0" applyNumberFormat="1" applyFill="1" applyAlignment="1">
      <alignment horizontal="center" vertical="center"/>
    </xf>
    <xf numFmtId="165" fontId="0" fillId="3" borderId="0" xfId="0" applyNumberFormat="1" applyFill="1" applyAlignment="1">
      <alignment horizontal="center" vertical="center"/>
    </xf>
    <xf numFmtId="164" fontId="0" fillId="3" borderId="0" xfId="0" applyNumberFormat="1" applyFill="1" applyAlignment="1">
      <alignment horizontal="center" vertical="center"/>
    </xf>
    <xf numFmtId="0" fontId="0" fillId="4" borderId="0" xfId="0" applyFill="1"/>
    <xf numFmtId="0" fontId="0" fillId="6" borderId="0" xfId="0" applyFill="1"/>
    <xf numFmtId="0" fontId="2" fillId="6" borderId="0" xfId="0" applyFont="1" applyFill="1" applyAlignment="1">
      <alignment vertical="center"/>
    </xf>
    <xf numFmtId="0" fontId="0" fillId="6" borderId="1" xfId="0" applyFill="1" applyBorder="1"/>
    <xf numFmtId="0" fontId="0" fillId="6" borderId="0" xfId="0" applyFill="1" applyBorder="1"/>
    <xf numFmtId="0" fontId="0" fillId="6" borderId="1" xfId="0" applyFill="1" applyBorder="1" applyAlignment="1">
      <alignment horizontal="left"/>
    </xf>
    <xf numFmtId="0" fontId="0" fillId="6" borderId="1" xfId="0" applyNumberFormat="1" applyFill="1" applyBorder="1"/>
    <xf numFmtId="165" fontId="0" fillId="6" borderId="1" xfId="0" applyNumberFormat="1" applyFill="1" applyBorder="1"/>
    <xf numFmtId="0" fontId="0" fillId="6" borderId="0" xfId="0" applyFill="1" applyAlignment="1"/>
    <xf numFmtId="1" fontId="0" fillId="6" borderId="1" xfId="0" applyNumberFormat="1" applyFill="1" applyBorder="1"/>
    <xf numFmtId="0" fontId="6" fillId="6" borderId="0" xfId="0" applyFont="1" applyFill="1"/>
    <xf numFmtId="0" fontId="6" fillId="6" borderId="0" xfId="0" applyFont="1" applyFill="1" applyAlignment="1">
      <alignment vertical="center"/>
    </xf>
    <xf numFmtId="0" fontId="0" fillId="5" borderId="0" xfId="0" applyFill="1" applyBorder="1"/>
    <xf numFmtId="2" fontId="0" fillId="6" borderId="1" xfId="0" applyNumberFormat="1" applyFill="1" applyBorder="1"/>
    <xf numFmtId="0" fontId="6" fillId="5" borderId="0" xfId="0" applyFont="1" applyFill="1"/>
    <xf numFmtId="0" fontId="10" fillId="6" borderId="0" xfId="0" applyFont="1" applyFill="1"/>
    <xf numFmtId="0" fontId="0" fillId="9" borderId="0" xfId="0" applyFill="1"/>
    <xf numFmtId="0" fontId="5" fillId="6" borderId="0" xfId="0" applyFont="1" applyFill="1" applyBorder="1"/>
    <xf numFmtId="0" fontId="0" fillId="6" borderId="0" xfId="0" applyFill="1" applyBorder="1" applyAlignment="1">
      <alignment horizontal="left"/>
    </xf>
    <xf numFmtId="0" fontId="0" fillId="6" borderId="0" xfId="0" applyNumberFormat="1" applyFill="1" applyBorder="1"/>
    <xf numFmtId="0" fontId="0" fillId="0" borderId="0" xfId="0" applyBorder="1" applyAlignment="1">
      <alignment vertical="center"/>
    </xf>
    <xf numFmtId="0" fontId="0" fillId="0" borderId="0" xfId="0" applyBorder="1" applyAlignment="1"/>
    <xf numFmtId="0" fontId="4" fillId="2" borderId="0" xfId="0" applyFont="1" applyFill="1" applyAlignment="1">
      <alignment horizontal="left" vertical="center"/>
    </xf>
    <xf numFmtId="0" fontId="3" fillId="2" borderId="0" xfId="0" applyFont="1" applyFill="1" applyAlignment="1">
      <alignment horizontal="left" vertical="center"/>
    </xf>
    <xf numFmtId="0" fontId="0" fillId="6" borderId="0" xfId="0" applyFill="1" applyAlignment="1">
      <alignment horizontal="center"/>
    </xf>
    <xf numFmtId="0" fontId="9" fillId="7" borderId="2" xfId="0" applyFont="1" applyFill="1" applyBorder="1" applyAlignment="1">
      <alignment horizontal="center" vertical="center"/>
    </xf>
    <xf numFmtId="0" fontId="9" fillId="7" borderId="3"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5" xfId="0" applyFont="1" applyFill="1" applyBorder="1" applyAlignment="1">
      <alignment horizontal="center" vertical="center"/>
    </xf>
    <xf numFmtId="0" fontId="9" fillId="7" borderId="0" xfId="0" applyFont="1" applyFill="1" applyBorder="1" applyAlignment="1">
      <alignment horizontal="center" vertical="center"/>
    </xf>
    <xf numFmtId="0" fontId="9" fillId="7" borderId="6" xfId="0" applyFont="1" applyFill="1" applyBorder="1" applyAlignment="1">
      <alignment horizontal="center" vertical="center"/>
    </xf>
    <xf numFmtId="165" fontId="8" fillId="8" borderId="5" xfId="0" applyNumberFormat="1" applyFont="1" applyFill="1" applyBorder="1" applyAlignment="1">
      <alignment horizontal="center" vertical="center"/>
    </xf>
    <xf numFmtId="165" fontId="8" fillId="8" borderId="0" xfId="0" applyNumberFormat="1" applyFont="1" applyFill="1" applyBorder="1" applyAlignment="1">
      <alignment horizontal="center" vertical="center"/>
    </xf>
    <xf numFmtId="165" fontId="8" fillId="8" borderId="6" xfId="0" applyNumberFormat="1" applyFont="1" applyFill="1" applyBorder="1" applyAlignment="1">
      <alignment horizontal="center" vertical="center"/>
    </xf>
    <xf numFmtId="165" fontId="8" fillId="8" borderId="7" xfId="0" applyNumberFormat="1" applyFont="1" applyFill="1" applyBorder="1" applyAlignment="1">
      <alignment horizontal="center" vertical="center"/>
    </xf>
    <xf numFmtId="165" fontId="8" fillId="8" borderId="8" xfId="0" applyNumberFormat="1" applyFont="1" applyFill="1" applyBorder="1" applyAlignment="1">
      <alignment horizontal="center" vertical="center"/>
    </xf>
    <xf numFmtId="165" fontId="8" fillId="8" borderId="9" xfId="0" applyNumberFormat="1" applyFont="1" applyFill="1" applyBorder="1" applyAlignment="1">
      <alignment horizontal="center" vertical="center"/>
    </xf>
    <xf numFmtId="165" fontId="8" fillId="8" borderId="5" xfId="1" applyNumberFormat="1" applyFont="1" applyFill="1" applyBorder="1" applyAlignment="1">
      <alignment horizontal="center" vertical="center"/>
    </xf>
    <xf numFmtId="165" fontId="8" fillId="8" borderId="0" xfId="1" applyNumberFormat="1" applyFont="1" applyFill="1" applyBorder="1" applyAlignment="1">
      <alignment horizontal="center" vertical="center"/>
    </xf>
    <xf numFmtId="165" fontId="8" fillId="8" borderId="6" xfId="1" applyNumberFormat="1" applyFont="1" applyFill="1" applyBorder="1" applyAlignment="1">
      <alignment horizontal="center" vertical="center"/>
    </xf>
    <xf numFmtId="165" fontId="8" fillId="8" borderId="7" xfId="1" applyNumberFormat="1" applyFont="1" applyFill="1" applyBorder="1" applyAlignment="1">
      <alignment horizontal="center" vertical="center"/>
    </xf>
    <xf numFmtId="165" fontId="8" fillId="8" borderId="8" xfId="1" applyNumberFormat="1" applyFont="1" applyFill="1" applyBorder="1" applyAlignment="1">
      <alignment horizontal="center" vertical="center"/>
    </xf>
    <xf numFmtId="165" fontId="8" fillId="8" borderId="9" xfId="1" applyNumberFormat="1" applyFont="1" applyFill="1" applyBorder="1" applyAlignment="1">
      <alignment horizontal="center" vertical="center"/>
    </xf>
    <xf numFmtId="0" fontId="8" fillId="8" borderId="5" xfId="0" applyFont="1" applyFill="1" applyBorder="1" applyAlignment="1">
      <alignment horizontal="center" vertical="center"/>
    </xf>
    <xf numFmtId="0" fontId="8" fillId="8" borderId="0"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8" xfId="0" applyFont="1" applyFill="1" applyBorder="1" applyAlignment="1">
      <alignment horizontal="center" vertical="center"/>
    </xf>
    <xf numFmtId="0" fontId="8" fillId="8" borderId="9" xfId="0" applyFont="1" applyFill="1" applyBorder="1" applyAlignment="1">
      <alignment horizontal="center" vertical="center"/>
    </xf>
    <xf numFmtId="0" fontId="0" fillId="11" borderId="1" xfId="0" applyFill="1" applyBorder="1"/>
    <xf numFmtId="0" fontId="11" fillId="10" borderId="1" xfId="0" applyFont="1" applyFill="1" applyBorder="1" applyAlignment="1">
      <alignment horizontal="center"/>
    </xf>
    <xf numFmtId="0" fontId="0" fillId="11" borderId="1" xfId="0" applyFill="1" applyBorder="1" applyAlignment="1">
      <alignment vertical="center"/>
    </xf>
    <xf numFmtId="0" fontId="0" fillId="10" borderId="1" xfId="0" applyFill="1" applyBorder="1" applyAlignment="1"/>
    <xf numFmtId="0" fontId="0" fillId="12" borderId="1" xfId="0" applyFill="1" applyBorder="1"/>
    <xf numFmtId="0" fontId="0" fillId="12" borderId="1" xfId="0" applyFont="1" applyFill="1" applyBorder="1"/>
  </cellXfs>
  <cellStyles count="2">
    <cellStyle name="Currency" xfId="1" builtinId="4"/>
    <cellStyle name="Normal" xfId="0" builtinId="0"/>
  </cellStyles>
  <dxfs count="317">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numFmt numFmtId="2" formatCode="0.0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numFmt numFmtId="165" formatCode="[$₹-4009]\ #,##0"/>
    </dxf>
    <dxf>
      <numFmt numFmtId="165" formatCode="[$₹-4009]\ #,##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65" formatCode="[$₹-4009]\ #,##0"/>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numFmt numFmtId="1" formatCode="0"/>
    </dxf>
    <dxf>
      <numFmt numFmtId="164" formatCode="[$₹-4009]\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
      <alignment horizontal="center" vertical="center" textRotation="0" wrapText="0" indent="0" justifyLastLine="0" shrinkToFit="0" readingOrder="0"/>
    </dxf>
    <dxf>
      <numFmt numFmtId="165" formatCode="[$₹-4009]\ #,##0"/>
      <alignment horizontal="center" vertical="center" textRotation="0" wrapText="0" indent="0" justifyLastLine="0" shrinkToFit="0" readingOrder="0"/>
    </dxf>
    <dxf>
      <numFmt numFmtId="165" formatCode="[$₹-4009]\ #,##0"/>
      <alignment horizontal="center" vertical="center" textRotation="0" wrapText="0" indent="0" justifyLastLine="0" shrinkToFit="0" readingOrder="0"/>
    </dxf>
    <dxf>
      <numFmt numFmtId="165" formatCode="[$₹-4009]\ #,##0"/>
      <alignment horizontal="center" vertical="center" textRotation="0" wrapText="0" indent="0" justifyLastLine="0" shrinkToFit="0" readingOrder="0"/>
    </dxf>
    <dxf>
      <numFmt numFmtId="165" formatCode="[$₹-4009]\ #,##0"/>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499984740745262"/>
        </patternFill>
      </fill>
      <alignment horizontal="center" vertical="center" textRotation="0" wrapText="0" indent="0" justifyLastLine="0" shrinkToFit="0" readingOrder="0"/>
    </dxf>
  </dxfs>
  <tableStyles count="0" defaultTableStyle="TableStyleMedium9" defaultPivotStyle="PivotStyleLight16"/>
  <colors>
    <mruColors>
      <color rgb="FF560FB5"/>
      <color rgb="FFAB94EC"/>
      <color rgb="FF2F4C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[advance_excel_project.xlsx]pivot table!PivotTable31</c:name>
    <c:fmtId val="4"/>
  </c:pivotSource>
  <c:chart>
    <c:autoTitleDeleted val="1"/>
    <c:pivotFmts>
      <c:pivotFmt>
        <c:idx val="0"/>
      </c:pivotFmt>
      <c:pivotFmt>
        <c:idx val="1"/>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629410575350367"/>
          <c:y val="0.1393757510042104"/>
          <c:w val="0.56168505433909433"/>
          <c:h val="0.77180437967003235"/>
        </c:manualLayout>
      </c:layout>
      <c:bar3DChart>
        <c:barDir val="bar"/>
        <c:grouping val="stacked"/>
        <c:varyColors val="0"/>
        <c:ser>
          <c:idx val="0"/>
          <c:order val="0"/>
          <c:tx>
            <c:strRef>
              <c:f>'pivot table'!$O$3</c:f>
              <c:strCache>
                <c:ptCount val="1"/>
                <c:pt idx="0">
                  <c:v>Total</c:v>
                </c:pt>
              </c:strCache>
            </c:strRef>
          </c:tx>
          <c:spPr>
            <a:solidFill>
              <a:schemeClr val="dk1">
                <a:tint val="885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table'!$N$4:$N$9</c:f>
              <c:strCache>
                <c:ptCount val="6"/>
                <c:pt idx="0">
                  <c:v>Bengaluru</c:v>
                </c:pt>
                <c:pt idx="1">
                  <c:v>Chennai</c:v>
                </c:pt>
                <c:pt idx="2">
                  <c:v>Delhi</c:v>
                </c:pt>
                <c:pt idx="3">
                  <c:v>Hyderabad</c:v>
                </c:pt>
                <c:pt idx="4">
                  <c:v>Mumbai</c:v>
                </c:pt>
                <c:pt idx="5">
                  <c:v>Pune</c:v>
                </c:pt>
              </c:strCache>
            </c:strRef>
          </c:cat>
          <c:val>
            <c:numRef>
              <c:f>'pivot table'!$O$4:$O$9</c:f>
              <c:numCache>
                <c:formatCode>[$₹-4009]\ #,##0</c:formatCode>
                <c:ptCount val="6"/>
                <c:pt idx="0">
                  <c:v>4881075.6302521005</c:v>
                </c:pt>
                <c:pt idx="1">
                  <c:v>4964971.9626168227</c:v>
                </c:pt>
                <c:pt idx="2">
                  <c:v>4823735.2941176472</c:v>
                </c:pt>
                <c:pt idx="3">
                  <c:v>4779709.0909090908</c:v>
                </c:pt>
                <c:pt idx="4">
                  <c:v>4543344.8275862066</c:v>
                </c:pt>
                <c:pt idx="5">
                  <c:v>4805297.297297297</c:v>
                </c:pt>
              </c:numCache>
            </c:numRef>
          </c:val>
          <c:extLst>
            <c:ext xmlns:c16="http://schemas.microsoft.com/office/drawing/2014/chart" uri="{C3380CC4-5D6E-409C-BE32-E72D297353CC}">
              <c16:uniqueId val="{00000000-C804-4F3C-BA15-ED640621FF9A}"/>
            </c:ext>
          </c:extLst>
        </c:ser>
        <c:dLbls>
          <c:showLegendKey val="0"/>
          <c:showVal val="1"/>
          <c:showCatName val="0"/>
          <c:showSerName val="0"/>
          <c:showPercent val="0"/>
          <c:showBubbleSize val="0"/>
        </c:dLbls>
        <c:gapWidth val="79"/>
        <c:shape val="box"/>
        <c:axId val="1994750959"/>
        <c:axId val="171786799"/>
        <c:axId val="0"/>
      </c:bar3DChart>
      <c:catAx>
        <c:axId val="199475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chemeClr val="bg1"/>
                </a:solidFill>
                <a:latin typeface="+mn-lt"/>
                <a:ea typeface="+mn-ea"/>
                <a:cs typeface="+mn-cs"/>
              </a:defRPr>
            </a:pPr>
            <a:endParaRPr lang="en-US"/>
          </a:p>
        </c:txPr>
        <c:crossAx val="171786799"/>
        <c:crosses val="autoZero"/>
        <c:auto val="1"/>
        <c:lblAlgn val="ctr"/>
        <c:lblOffset val="100"/>
        <c:noMultiLvlLbl val="0"/>
      </c:catAx>
      <c:valAx>
        <c:axId val="171786799"/>
        <c:scaling>
          <c:orientation val="minMax"/>
        </c:scaling>
        <c:delete val="1"/>
        <c:axPos val="b"/>
        <c:numFmt formatCode="[$₹-4009]\ #,##0" sourceLinked="1"/>
        <c:majorTickMark val="none"/>
        <c:minorTickMark val="none"/>
        <c:tickLblPos val="nextTo"/>
        <c:crossAx val="199475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[advance_excel_project.xlsx]pivot table!PivotTable26</c:name>
    <c:fmtId val="4"/>
  </c:pivotSource>
  <c:chart>
    <c:autoTitleDeleted val="1"/>
    <c:pivotFmts>
      <c:pivotFmt>
        <c:idx val="0"/>
      </c:pivotFmt>
      <c:pivotFmt>
        <c:idx val="1"/>
      </c:pivotFmt>
      <c:pivotFmt>
        <c:idx val="2"/>
        <c:spPr>
          <a:solidFill>
            <a:schemeClr val="bg2">
              <a:lumMod val="5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245565225932062"/>
          <c:y val="0.13216820452331676"/>
          <c:w val="0.5572108840528589"/>
          <c:h val="0.78769851749066533"/>
        </c:manualLayout>
      </c:layout>
      <c:bar3DChart>
        <c:barDir val="bar"/>
        <c:grouping val="clustered"/>
        <c:varyColors val="0"/>
        <c:ser>
          <c:idx val="0"/>
          <c:order val="0"/>
          <c:tx>
            <c:strRef>
              <c:f>'pivot table'!$I$15</c:f>
              <c:strCache>
                <c:ptCount val="1"/>
                <c:pt idx="0">
                  <c:v>Total</c:v>
                </c:pt>
              </c:strCache>
            </c:strRef>
          </c:tx>
          <c:spPr>
            <a:solidFill>
              <a:schemeClr val="bg2">
                <a:lumMod val="5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table'!$H$16:$H$20</c:f>
              <c:strCache>
                <c:ptCount val="5"/>
                <c:pt idx="0">
                  <c:v>Business</c:v>
                </c:pt>
                <c:pt idx="1">
                  <c:v>Car</c:v>
                </c:pt>
                <c:pt idx="2">
                  <c:v>Education</c:v>
                </c:pt>
                <c:pt idx="3">
                  <c:v>Home</c:v>
                </c:pt>
                <c:pt idx="4">
                  <c:v>Personal</c:v>
                </c:pt>
              </c:strCache>
            </c:strRef>
          </c:cat>
          <c:val>
            <c:numRef>
              <c:f>'pivot table'!$I$16:$I$20</c:f>
              <c:numCache>
                <c:formatCode>[$₹-4009]\ #,##0</c:formatCode>
                <c:ptCount val="5"/>
                <c:pt idx="0">
                  <c:v>2862769.2700000023</c:v>
                </c:pt>
                <c:pt idx="1">
                  <c:v>2799302.69</c:v>
                </c:pt>
                <c:pt idx="2">
                  <c:v>3151641.1000000006</c:v>
                </c:pt>
                <c:pt idx="3">
                  <c:v>3135051.67</c:v>
                </c:pt>
                <c:pt idx="4">
                  <c:v>2880279.9700000007</c:v>
                </c:pt>
              </c:numCache>
            </c:numRef>
          </c:val>
          <c:extLst>
            <c:ext xmlns:c16="http://schemas.microsoft.com/office/drawing/2014/chart" uri="{C3380CC4-5D6E-409C-BE32-E72D297353CC}">
              <c16:uniqueId val="{00000000-842F-4A56-9E28-C6EC8574D36E}"/>
            </c:ext>
          </c:extLst>
        </c:ser>
        <c:dLbls>
          <c:showLegendKey val="0"/>
          <c:showVal val="1"/>
          <c:showCatName val="0"/>
          <c:showSerName val="0"/>
          <c:showPercent val="0"/>
          <c:showBubbleSize val="0"/>
        </c:dLbls>
        <c:gapWidth val="84"/>
        <c:gapDepth val="53"/>
        <c:shape val="box"/>
        <c:axId val="761765935"/>
        <c:axId val="1481852991"/>
        <c:axId val="0"/>
      </c:bar3DChart>
      <c:catAx>
        <c:axId val="76176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481852991"/>
        <c:crosses val="autoZero"/>
        <c:auto val="1"/>
        <c:lblAlgn val="ctr"/>
        <c:lblOffset val="100"/>
        <c:noMultiLvlLbl val="0"/>
      </c:catAx>
      <c:valAx>
        <c:axId val="1481852991"/>
        <c:scaling>
          <c:orientation val="minMax"/>
        </c:scaling>
        <c:delete val="1"/>
        <c:axPos val="b"/>
        <c:numFmt formatCode="[$₹-4009]\ #,##0" sourceLinked="1"/>
        <c:majorTickMark val="out"/>
        <c:minorTickMark val="none"/>
        <c:tickLblPos val="nextTo"/>
        <c:crossAx val="76176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[advance_excel_project.xlsx]pivot table!PivotTable23</c:name>
    <c:fmtId val="5"/>
  </c:pivotSource>
  <c:chart>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'pivot table'!$E$8:$E$9</c:f>
              <c:strCache>
                <c:ptCount val="1"/>
                <c:pt idx="0">
                  <c:v>bad loan</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table'!$D$10:$D$15</c:f>
              <c:strCache>
                <c:ptCount val="6"/>
                <c:pt idx="0">
                  <c:v>Bengaluru</c:v>
                </c:pt>
                <c:pt idx="1">
                  <c:v>Chennai</c:v>
                </c:pt>
                <c:pt idx="2">
                  <c:v>Delhi</c:v>
                </c:pt>
                <c:pt idx="3">
                  <c:v>Hyderabad</c:v>
                </c:pt>
                <c:pt idx="4">
                  <c:v>Mumbai</c:v>
                </c:pt>
                <c:pt idx="5">
                  <c:v>Pune</c:v>
                </c:pt>
              </c:strCache>
            </c:strRef>
          </c:cat>
          <c:val>
            <c:numRef>
              <c:f>'pivot table'!$E$10:$E$15</c:f>
              <c:numCache>
                <c:formatCode>General</c:formatCode>
                <c:ptCount val="6"/>
                <c:pt idx="0">
                  <c:v>38</c:v>
                </c:pt>
                <c:pt idx="1">
                  <c:v>37</c:v>
                </c:pt>
                <c:pt idx="2">
                  <c:v>58</c:v>
                </c:pt>
                <c:pt idx="3">
                  <c:v>38</c:v>
                </c:pt>
                <c:pt idx="4">
                  <c:v>34</c:v>
                </c:pt>
                <c:pt idx="5">
                  <c:v>37</c:v>
                </c:pt>
              </c:numCache>
            </c:numRef>
          </c:val>
          <c:smooth val="0"/>
          <c:extLst>
            <c:ext xmlns:c16="http://schemas.microsoft.com/office/drawing/2014/chart" uri="{C3380CC4-5D6E-409C-BE32-E72D297353CC}">
              <c16:uniqueId val="{00000000-C32F-46A6-89CE-0AC83F3A448A}"/>
            </c:ext>
          </c:extLst>
        </c:ser>
        <c:ser>
          <c:idx val="1"/>
          <c:order val="1"/>
          <c:tx>
            <c:strRef>
              <c:f>'pivot table'!$F$8:$F$9</c:f>
              <c:strCache>
                <c:ptCount val="1"/>
                <c:pt idx="0">
                  <c:v>good loan</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table'!$D$10:$D$15</c:f>
              <c:strCache>
                <c:ptCount val="6"/>
                <c:pt idx="0">
                  <c:v>Bengaluru</c:v>
                </c:pt>
                <c:pt idx="1">
                  <c:v>Chennai</c:v>
                </c:pt>
                <c:pt idx="2">
                  <c:v>Delhi</c:v>
                </c:pt>
                <c:pt idx="3">
                  <c:v>Hyderabad</c:v>
                </c:pt>
                <c:pt idx="4">
                  <c:v>Mumbai</c:v>
                </c:pt>
                <c:pt idx="5">
                  <c:v>Pune</c:v>
                </c:pt>
              </c:strCache>
            </c:strRef>
          </c:cat>
          <c:val>
            <c:numRef>
              <c:f>'pivot table'!$F$10:$F$15</c:f>
              <c:numCache>
                <c:formatCode>General</c:formatCode>
                <c:ptCount val="6"/>
                <c:pt idx="0">
                  <c:v>81</c:v>
                </c:pt>
                <c:pt idx="1">
                  <c:v>70</c:v>
                </c:pt>
                <c:pt idx="2">
                  <c:v>78</c:v>
                </c:pt>
                <c:pt idx="3">
                  <c:v>72</c:v>
                </c:pt>
                <c:pt idx="4">
                  <c:v>82</c:v>
                </c:pt>
                <c:pt idx="5">
                  <c:v>74</c:v>
                </c:pt>
              </c:numCache>
            </c:numRef>
          </c:val>
          <c:smooth val="0"/>
          <c:extLst>
            <c:ext xmlns:c16="http://schemas.microsoft.com/office/drawing/2014/chart" uri="{C3380CC4-5D6E-409C-BE32-E72D297353CC}">
              <c16:uniqueId val="{00000000-AA7E-4437-BA09-B7D1BB9FE5BB}"/>
            </c:ext>
          </c:extLst>
        </c:ser>
        <c:dLbls>
          <c:showLegendKey val="0"/>
          <c:showVal val="0"/>
          <c:showCatName val="0"/>
          <c:showSerName val="0"/>
          <c:showPercent val="0"/>
          <c:showBubbleSize val="0"/>
        </c:dLbls>
        <c:marker val="1"/>
        <c:smooth val="0"/>
        <c:axId val="244745536"/>
        <c:axId val="269466496"/>
      </c:lineChart>
      <c:catAx>
        <c:axId val="244745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69466496"/>
        <c:crosses val="autoZero"/>
        <c:auto val="1"/>
        <c:lblAlgn val="ctr"/>
        <c:lblOffset val="100"/>
        <c:noMultiLvlLbl val="0"/>
      </c:catAx>
      <c:valAx>
        <c:axId val="26946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4474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[advance_excel_project.xlsx]pivot table!PivotTable14</c:name>
    <c:fmtId val="4"/>
  </c:pivotSource>
  <c:chart>
    <c:autoTitleDeleted val="1"/>
    <c:pivotFmts>
      <c:pivotFmt>
        <c:idx val="0"/>
      </c:pivotFmt>
      <c:pivotFmt>
        <c:idx val="1"/>
      </c:pivotFmt>
      <c:pivotFmt>
        <c:idx val="2"/>
      </c:pivotFmt>
      <c:pivotFmt>
        <c:idx val="3"/>
      </c:pivotFmt>
      <c:pivotFmt>
        <c:idx val="4"/>
      </c:pivotFmt>
      <c:pivotFmt>
        <c:idx val="5"/>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a:noFill/>
          </a:ln>
          <a:effectLst>
            <a:outerShdw blurRad="254000" sx="102000" sy="102000" algn="ctr" rotWithShape="0">
              <a:prstClr val="black">
                <a:alpha val="20000"/>
              </a:prstClr>
            </a:outerShdw>
          </a:effectLst>
          <a:sp3d/>
        </c:spPr>
      </c:pivotFmt>
      <c:pivotFmt>
        <c:idx val="7"/>
        <c:spPr>
          <a:solidFill>
            <a:schemeClr val="accent3"/>
          </a:solidFill>
          <a:ln>
            <a:noFill/>
          </a:ln>
          <a:effectLst>
            <a:outerShdw blurRad="254000" sx="102000" sy="102000" algn="ctr" rotWithShape="0">
              <a:prstClr val="black">
                <a:alpha val="20000"/>
              </a:prstClr>
            </a:outerShdw>
          </a:effectLst>
          <a:sp3d/>
        </c:spPr>
      </c:pivotFmt>
      <c:pivotFmt>
        <c:idx val="8"/>
        <c:spPr>
          <a:solidFill>
            <a:schemeClr val="accent3">
              <a:tint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818876274231701E-2"/>
          <c:y val="0.15902070013766245"/>
          <c:w val="0.92371183168328996"/>
          <c:h val="0.79717288202197156"/>
        </c:manualLayout>
      </c:layout>
      <c:pie3DChart>
        <c:varyColors val="1"/>
        <c:ser>
          <c:idx val="0"/>
          <c:order val="0"/>
          <c:tx>
            <c:strRef>
              <c:f>'pivot table'!$I$9</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3EF-4E3A-ACBD-D6AB4B638445}"/>
              </c:ext>
            </c:extLst>
          </c:dPt>
          <c:dPt>
            <c:idx val="1"/>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3EF-4E3A-ACBD-D6AB4B638445}"/>
              </c:ext>
            </c:extLst>
          </c:dPt>
          <c:dPt>
            <c:idx val="2"/>
            <c:bubble3D val="0"/>
            <c:spPr>
              <a:solidFill>
                <a:schemeClr val="accent3">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3EF-4E3A-ACBD-D6AB4B6384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table'!$H$10:$H$11</c:f>
              <c:strCache>
                <c:ptCount val="2"/>
                <c:pt idx="0">
                  <c:v>high</c:v>
                </c:pt>
                <c:pt idx="1">
                  <c:v>low</c:v>
                </c:pt>
              </c:strCache>
            </c:strRef>
          </c:cat>
          <c:val>
            <c:numRef>
              <c:f>'pivot table'!$I$10:$I$11</c:f>
              <c:numCache>
                <c:formatCode>General</c:formatCode>
                <c:ptCount val="2"/>
                <c:pt idx="0">
                  <c:v>242</c:v>
                </c:pt>
                <c:pt idx="1">
                  <c:v>457</c:v>
                </c:pt>
              </c:numCache>
            </c:numRef>
          </c:val>
          <c:extLst>
            <c:ext xmlns:c16="http://schemas.microsoft.com/office/drawing/2014/chart" uri="{C3380CC4-5D6E-409C-BE32-E72D297353CC}">
              <c16:uniqueId val="{00000006-33EF-4E3A-ACBD-D6AB4B638445}"/>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4054842999797132"/>
          <c:y val="0.66008020428780279"/>
          <c:w val="0.23890104306570051"/>
          <c:h val="0.312267959614500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[advance_excel_project.xlsx]pivot table!PivotTable30</c:name>
    <c:fmtId val="2"/>
  </c:pivotSource>
  <c:chart>
    <c:autoTitleDeleted val="1"/>
    <c:pivotFmts>
      <c:pivotFmt>
        <c:idx val="0"/>
      </c:pivotFmt>
      <c:pivotFmt>
        <c:idx val="1"/>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69031101374689"/>
          <c:y val="0.14132564001187897"/>
          <c:w val="0.54238947289619044"/>
          <c:h val="0.7952368052001979"/>
        </c:manualLayout>
      </c:layout>
      <c:barChart>
        <c:barDir val="bar"/>
        <c:grouping val="clustered"/>
        <c:varyColors val="0"/>
        <c:ser>
          <c:idx val="0"/>
          <c:order val="0"/>
          <c:tx>
            <c:strRef>
              <c:f>'pivot table'!$E$18</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table'!$D$19:$D$23</c:f>
              <c:strCache>
                <c:ptCount val="5"/>
                <c:pt idx="0">
                  <c:v>Business</c:v>
                </c:pt>
                <c:pt idx="1">
                  <c:v>Car</c:v>
                </c:pt>
                <c:pt idx="2">
                  <c:v>Education</c:v>
                </c:pt>
                <c:pt idx="3">
                  <c:v>Home</c:v>
                </c:pt>
                <c:pt idx="4">
                  <c:v>Personal</c:v>
                </c:pt>
              </c:strCache>
            </c:strRef>
          </c:cat>
          <c:val>
            <c:numRef>
              <c:f>'pivot table'!$E$19:$E$23</c:f>
              <c:numCache>
                <c:formatCode>[$₹-4009]\ #,##0</c:formatCode>
                <c:ptCount val="5"/>
                <c:pt idx="0">
                  <c:v>268450500</c:v>
                </c:pt>
                <c:pt idx="1">
                  <c:v>255999300</c:v>
                </c:pt>
                <c:pt idx="2">
                  <c:v>258431100</c:v>
                </c:pt>
                <c:pt idx="3">
                  <c:v>280035600</c:v>
                </c:pt>
                <c:pt idx="4">
                  <c:v>278587500</c:v>
                </c:pt>
              </c:numCache>
            </c:numRef>
          </c:val>
          <c:extLst>
            <c:ext xmlns:c16="http://schemas.microsoft.com/office/drawing/2014/chart" uri="{C3380CC4-5D6E-409C-BE32-E72D297353CC}">
              <c16:uniqueId val="{00000000-56B5-4439-8CCC-3C1733EFD515}"/>
            </c:ext>
          </c:extLst>
        </c:ser>
        <c:dLbls>
          <c:dLblPos val="outEnd"/>
          <c:showLegendKey val="0"/>
          <c:showVal val="1"/>
          <c:showCatName val="0"/>
          <c:showSerName val="0"/>
          <c:showPercent val="0"/>
          <c:showBubbleSize val="0"/>
        </c:dLbls>
        <c:gapWidth val="115"/>
        <c:overlap val="-20"/>
        <c:axId val="195409088"/>
        <c:axId val="269469824"/>
      </c:barChart>
      <c:catAx>
        <c:axId val="19540908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269469824"/>
        <c:crosses val="autoZero"/>
        <c:auto val="1"/>
        <c:lblAlgn val="ctr"/>
        <c:lblOffset val="100"/>
        <c:noMultiLvlLbl val="0"/>
      </c:catAx>
      <c:valAx>
        <c:axId val="269469824"/>
        <c:scaling>
          <c:orientation val="minMax"/>
        </c:scaling>
        <c:delete val="1"/>
        <c:axPos val="b"/>
        <c:numFmt formatCode="[$₹-4009]\ #,##0" sourceLinked="1"/>
        <c:majorTickMark val="out"/>
        <c:minorTickMark val="none"/>
        <c:tickLblPos val="nextTo"/>
        <c:crossAx val="19540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[advance_excel_project.xlsx]pivot table!PivotTable17</c:name>
    <c:fmtId val="4"/>
  </c:pivotSource>
  <c:chart>
    <c:autoTitleDeleted val="1"/>
    <c:pivotFmts>
      <c:pivotFmt>
        <c:idx val="0"/>
      </c:pivotFmt>
      <c:pivotFmt>
        <c:idx val="1"/>
      </c:pivotFmt>
      <c:pivotFmt>
        <c:idx val="2"/>
        <c:spPr>
          <a:solidFill>
            <a:schemeClr val="tx1">
              <a:lumMod val="65000"/>
              <a:lumOff val="3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411345584295873"/>
          <c:y val="0.19053621642587026"/>
          <c:w val="0.69881926290312724"/>
          <c:h val="0.59152680133236424"/>
        </c:manualLayout>
      </c:layout>
      <c:bar3DChart>
        <c:barDir val="col"/>
        <c:grouping val="clustered"/>
        <c:varyColors val="0"/>
        <c:ser>
          <c:idx val="0"/>
          <c:order val="0"/>
          <c:tx>
            <c:strRef>
              <c:f>'pivot table'!$B$12</c:f>
              <c:strCache>
                <c:ptCount val="1"/>
                <c:pt idx="0">
                  <c:v>Total</c:v>
                </c:pt>
              </c:strCache>
            </c:strRef>
          </c:tx>
          <c:spPr>
            <a:solidFill>
              <a:schemeClr val="tx1">
                <a:lumMod val="65000"/>
                <a:lumOff val="3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table'!$A$13:$A$17</c:f>
              <c:strCache>
                <c:ptCount val="5"/>
                <c:pt idx="0">
                  <c:v>Business</c:v>
                </c:pt>
                <c:pt idx="1">
                  <c:v>Car</c:v>
                </c:pt>
                <c:pt idx="2">
                  <c:v>Education</c:v>
                </c:pt>
                <c:pt idx="3">
                  <c:v>Home</c:v>
                </c:pt>
                <c:pt idx="4">
                  <c:v>Personal</c:v>
                </c:pt>
              </c:strCache>
            </c:strRef>
          </c:cat>
          <c:val>
            <c:numRef>
              <c:f>'pivot table'!$B$13:$B$17</c:f>
              <c:numCache>
                <c:formatCode>[$₹-4009]\ #,##0</c:formatCode>
                <c:ptCount val="5"/>
                <c:pt idx="0">
                  <c:v>675944000</c:v>
                </c:pt>
                <c:pt idx="1">
                  <c:v>661352000</c:v>
                </c:pt>
                <c:pt idx="2">
                  <c:v>739476000</c:v>
                </c:pt>
                <c:pt idx="3">
                  <c:v>706604000</c:v>
                </c:pt>
                <c:pt idx="4">
                  <c:v>710736000</c:v>
                </c:pt>
              </c:numCache>
            </c:numRef>
          </c:val>
          <c:extLst>
            <c:ext xmlns:c16="http://schemas.microsoft.com/office/drawing/2014/chart" uri="{C3380CC4-5D6E-409C-BE32-E72D297353CC}">
              <c16:uniqueId val="{00000000-F47C-417A-BFDB-C79296F4F708}"/>
            </c:ext>
          </c:extLst>
        </c:ser>
        <c:dLbls>
          <c:showLegendKey val="0"/>
          <c:showVal val="0"/>
          <c:showCatName val="0"/>
          <c:showSerName val="0"/>
          <c:showPercent val="0"/>
          <c:showBubbleSize val="0"/>
        </c:dLbls>
        <c:gapWidth val="150"/>
        <c:shape val="box"/>
        <c:axId val="174059807"/>
        <c:axId val="171795119"/>
        <c:axId val="0"/>
      </c:bar3DChart>
      <c:catAx>
        <c:axId val="17405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71795119"/>
        <c:crosses val="autoZero"/>
        <c:auto val="1"/>
        <c:lblAlgn val="ctr"/>
        <c:lblOffset val="100"/>
        <c:noMultiLvlLbl val="0"/>
      </c:catAx>
      <c:valAx>
        <c:axId val="171795119"/>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7405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[advance_excel_project.xlsx]pivot table!PivotTable7</c:name>
    <c:fmtId val="2"/>
  </c:pivotSource>
  <c:chart>
    <c:autoTitleDeleted val="1"/>
    <c:pivotFmts>
      <c:pivotFmt>
        <c:idx val="0"/>
      </c:pivotFmt>
      <c:pivotFmt>
        <c:idx val="1"/>
      </c:pivotFmt>
      <c:pivotFmt>
        <c:idx val="2"/>
      </c:pivotFmt>
      <c:pivotFmt>
        <c:idx val="3"/>
      </c:pivotFmt>
      <c:pivotFmt>
        <c:idx val="4"/>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table'!$I$3</c:f>
              <c:strCache>
                <c:ptCount val="1"/>
                <c:pt idx="0">
                  <c:v>Total</c:v>
                </c:pt>
              </c:strCache>
            </c:strRef>
          </c:tx>
          <c:dPt>
            <c:idx val="0"/>
            <c:bubble3D val="0"/>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39E-479F-8291-5B6FB4603C5C}"/>
              </c:ext>
            </c:extLst>
          </c:dPt>
          <c:dPt>
            <c:idx val="1"/>
            <c:bubble3D val="0"/>
            <c:spPr>
              <a:solidFill>
                <a:schemeClr val="accent3">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39E-479F-8291-5B6FB4603C5C}"/>
              </c:ext>
            </c:extLst>
          </c:dPt>
          <c:dPt>
            <c:idx val="2"/>
            <c:bubble3D val="0"/>
            <c:spPr>
              <a:solidFill>
                <a:schemeClr val="accent3">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39E-479F-8291-5B6FB4603C5C}"/>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table'!$H$4:$H$5</c:f>
              <c:strCache>
                <c:ptCount val="2"/>
                <c:pt idx="0">
                  <c:v>Completed</c:v>
                </c:pt>
                <c:pt idx="1">
                  <c:v>Late</c:v>
                </c:pt>
              </c:strCache>
            </c:strRef>
          </c:cat>
          <c:val>
            <c:numRef>
              <c:f>'pivot table'!$I$4:$I$5</c:f>
              <c:numCache>
                <c:formatCode>General</c:formatCode>
                <c:ptCount val="2"/>
                <c:pt idx="0">
                  <c:v>457</c:v>
                </c:pt>
                <c:pt idx="1">
                  <c:v>242</c:v>
                </c:pt>
              </c:numCache>
            </c:numRef>
          </c:val>
          <c:extLst>
            <c:ext xmlns:c16="http://schemas.microsoft.com/office/drawing/2014/chart" uri="{C3380CC4-5D6E-409C-BE32-E72D297353CC}">
              <c16:uniqueId val="{00000006-B39E-479F-8291-5B6FB4603C5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[advance_excel_project.xlsx]pivot table!PivotTable16</c:name>
    <c:fmtId val="4"/>
  </c:pivotSource>
  <c:chart>
    <c:autoTitleDeleted val="1"/>
    <c:pivotFmts>
      <c:pivotFmt>
        <c:idx val="0"/>
      </c:pivotFmt>
      <c:pivotFmt>
        <c:idx val="1"/>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1778852428492127"/>
          <c:y val="0.15932479122024479"/>
          <c:w val="0.86573659532268465"/>
          <c:h val="0.65116054760075537"/>
        </c:manualLayout>
      </c:layout>
      <c:lineChart>
        <c:grouping val="stacked"/>
        <c:varyColors val="0"/>
        <c:ser>
          <c:idx val="0"/>
          <c:order val="0"/>
          <c:tx>
            <c:strRef>
              <c:f>'pivot table'!$L$3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table'!$K$4:$K$9</c:f>
              <c:strCache>
                <c:ptCount val="6"/>
                <c:pt idx="0">
                  <c:v>Bengaluru</c:v>
                </c:pt>
                <c:pt idx="1">
                  <c:v>Chennai</c:v>
                </c:pt>
                <c:pt idx="2">
                  <c:v>Delhi</c:v>
                </c:pt>
                <c:pt idx="3">
                  <c:v>Hyderabad</c:v>
                </c:pt>
                <c:pt idx="4">
                  <c:v>Mumbai</c:v>
                </c:pt>
                <c:pt idx="5">
                  <c:v>Pune</c:v>
                </c:pt>
              </c:strCache>
            </c:strRef>
          </c:cat>
          <c:val>
            <c:numRef>
              <c:f>'pivot table'!$L$4:$L$9</c:f>
              <c:numCache>
                <c:formatCode>0</c:formatCode>
                <c:ptCount val="6"/>
                <c:pt idx="0">
                  <c:v>119</c:v>
                </c:pt>
                <c:pt idx="1">
                  <c:v>107</c:v>
                </c:pt>
                <c:pt idx="2">
                  <c:v>136</c:v>
                </c:pt>
                <c:pt idx="3">
                  <c:v>110</c:v>
                </c:pt>
                <c:pt idx="4">
                  <c:v>116</c:v>
                </c:pt>
                <c:pt idx="5">
                  <c:v>111</c:v>
                </c:pt>
              </c:numCache>
            </c:numRef>
          </c:val>
          <c:smooth val="0"/>
          <c:extLst>
            <c:ext xmlns:c16="http://schemas.microsoft.com/office/drawing/2014/chart" uri="{C3380CC4-5D6E-409C-BE32-E72D297353CC}">
              <c16:uniqueId val="{00000000-7791-4528-BA83-382EA5BDC8F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56185039"/>
        <c:axId val="171814255"/>
      </c:lineChart>
      <c:catAx>
        <c:axId val="7561850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200" b="0" i="0" u="none" strike="noStrike" kern="1200" spc="100" baseline="0">
                <a:solidFill>
                  <a:schemeClr val="lt1"/>
                </a:solidFill>
                <a:latin typeface="+mn-lt"/>
                <a:ea typeface="+mn-ea"/>
                <a:cs typeface="+mn-cs"/>
              </a:defRPr>
            </a:pPr>
            <a:endParaRPr lang="en-US"/>
          </a:p>
        </c:txPr>
        <c:crossAx val="171814255"/>
        <c:crosses val="autoZero"/>
        <c:auto val="1"/>
        <c:lblAlgn val="ctr"/>
        <c:lblOffset val="100"/>
        <c:noMultiLvlLbl val="0"/>
      </c:catAx>
      <c:valAx>
        <c:axId val="1718142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7561850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introduction!A1"/><Relationship Id="rId13" Type="http://schemas.openxmlformats.org/officeDocument/2006/relationships/image" Target="../media/image9.svg"/><Relationship Id="rId3" Type="http://schemas.openxmlformats.org/officeDocument/2006/relationships/hyperlink" Target="#data!A1"/><Relationship Id="rId7" Type="http://schemas.openxmlformats.org/officeDocument/2006/relationships/image" Target="../media/image4.svg"/><Relationship Id="rId12" Type="http://schemas.openxmlformats.org/officeDocument/2006/relationships/image" Target="../media/image8.png"/><Relationship Id="rId2" Type="http://schemas.openxmlformats.org/officeDocument/2006/relationships/hyperlink" Target="https://www.publicdomainpictures.net/en/view-image.php?image=152175&amp;picture=background-light-blue" TargetMode="External"/><Relationship Id="rId16" Type="http://schemas.openxmlformats.org/officeDocument/2006/relationships/hyperlink" Target="#'pivot table'!A1"/><Relationship Id="rId1" Type="http://schemas.openxmlformats.org/officeDocument/2006/relationships/image" Target="../media/image1.jpg"/><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hyperlink" Target="https://scanx.trade/company/hdfc-bank-ltd" TargetMode="External"/><Relationship Id="rId15" Type="http://schemas.openxmlformats.org/officeDocument/2006/relationships/hyperlink" Target="#deshboard!A1"/><Relationship Id="rId10" Type="http://schemas.openxmlformats.org/officeDocument/2006/relationships/image" Target="../media/image6.svg"/><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hyperlink" Target="#'pivot table'!A1"/><Relationship Id="rId3" Type="http://schemas.openxmlformats.org/officeDocument/2006/relationships/hyperlink" Target="https://scanx.trade/company/hdfc-bank-ltd" TargetMode="External"/><Relationship Id="rId7" Type="http://schemas.openxmlformats.org/officeDocument/2006/relationships/image" Target="../media/image13.svg"/><Relationship Id="rId2" Type="http://schemas.openxmlformats.org/officeDocument/2006/relationships/image" Target="../media/image2.png"/><Relationship Id="rId1" Type="http://schemas.openxmlformats.org/officeDocument/2006/relationships/hyperlink" Target="#deshboard!A1"/><Relationship Id="rId6" Type="http://schemas.openxmlformats.org/officeDocument/2006/relationships/image" Target="../media/image12.png"/><Relationship Id="rId5" Type="http://schemas.openxmlformats.org/officeDocument/2006/relationships/image" Target="../media/image11.sv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hyperlink" Target="#deshboard!A1"/></Relationships>
</file>

<file path=xl/drawings/_rels/drawing4.xml.rels><?xml version="1.0" encoding="UTF-8" standalone="yes"?>
<Relationships xmlns="http://schemas.openxmlformats.org/package/2006/relationships"><Relationship Id="rId8" Type="http://schemas.openxmlformats.org/officeDocument/2006/relationships/hyperlink" Target="#'pivot table'!A1"/><Relationship Id="rId13" Type="http://schemas.openxmlformats.org/officeDocument/2006/relationships/image" Target="../media/image3.png"/><Relationship Id="rId18" Type="http://schemas.openxmlformats.org/officeDocument/2006/relationships/chart" Target="../charts/chart5.xml"/><Relationship Id="rId26" Type="http://schemas.openxmlformats.org/officeDocument/2006/relationships/image" Target="../media/image23.svg"/><Relationship Id="rId3" Type="http://schemas.openxmlformats.org/officeDocument/2006/relationships/hyperlink" Target="https://scanx.trade/company/hdfc-bank-ltd" TargetMode="External"/><Relationship Id="rId21" Type="http://schemas.openxmlformats.org/officeDocument/2006/relationships/image" Target="../media/image18.png"/><Relationship Id="rId7" Type="http://schemas.openxmlformats.org/officeDocument/2006/relationships/image" Target="../media/image6.svg"/><Relationship Id="rId12" Type="http://schemas.openxmlformats.org/officeDocument/2006/relationships/image" Target="../media/image9.svg"/><Relationship Id="rId17" Type="http://schemas.openxmlformats.org/officeDocument/2006/relationships/chart" Target="../charts/chart4.xml"/><Relationship Id="rId25" Type="http://schemas.openxmlformats.org/officeDocument/2006/relationships/image" Target="../media/image22.png"/><Relationship Id="rId2" Type="http://schemas.openxmlformats.org/officeDocument/2006/relationships/image" Target="../media/image2.png"/><Relationship Id="rId16" Type="http://schemas.openxmlformats.org/officeDocument/2006/relationships/chart" Target="../charts/chart3.xml"/><Relationship Id="rId20" Type="http://schemas.openxmlformats.org/officeDocument/2006/relationships/image" Target="../media/image17.svg"/><Relationship Id="rId29" Type="http://schemas.openxmlformats.org/officeDocument/2006/relationships/chart" Target="../charts/chart6.xml"/><Relationship Id="rId1" Type="http://schemas.openxmlformats.org/officeDocument/2006/relationships/hyperlink" Target="#data!A1"/><Relationship Id="rId6" Type="http://schemas.openxmlformats.org/officeDocument/2006/relationships/image" Target="../media/image5.png"/><Relationship Id="rId11" Type="http://schemas.openxmlformats.org/officeDocument/2006/relationships/image" Target="../media/image8.png"/><Relationship Id="rId24" Type="http://schemas.openxmlformats.org/officeDocument/2006/relationships/image" Target="../media/image21.svg"/><Relationship Id="rId5" Type="http://schemas.openxmlformats.org/officeDocument/2006/relationships/hyperlink" Target="#introduction!A1"/><Relationship Id="rId15" Type="http://schemas.openxmlformats.org/officeDocument/2006/relationships/chart" Target="../charts/chart2.xml"/><Relationship Id="rId23" Type="http://schemas.openxmlformats.org/officeDocument/2006/relationships/image" Target="../media/image20.png"/><Relationship Id="rId28" Type="http://schemas.openxmlformats.org/officeDocument/2006/relationships/image" Target="../media/image25.svg"/><Relationship Id="rId10" Type="http://schemas.openxmlformats.org/officeDocument/2006/relationships/image" Target="../media/image15.svg"/><Relationship Id="rId19" Type="http://schemas.openxmlformats.org/officeDocument/2006/relationships/image" Target="../media/image16.png"/><Relationship Id="rId31" Type="http://schemas.openxmlformats.org/officeDocument/2006/relationships/chart" Target="../charts/chart8.xml"/><Relationship Id="rId4" Type="http://schemas.openxmlformats.org/officeDocument/2006/relationships/chart" Target="../charts/chart1.xml"/><Relationship Id="rId9" Type="http://schemas.openxmlformats.org/officeDocument/2006/relationships/image" Target="../media/image14.png"/><Relationship Id="rId14" Type="http://schemas.openxmlformats.org/officeDocument/2006/relationships/image" Target="../media/image4.svg"/><Relationship Id="rId22" Type="http://schemas.openxmlformats.org/officeDocument/2006/relationships/image" Target="../media/image19.svg"/><Relationship Id="rId27" Type="http://schemas.openxmlformats.org/officeDocument/2006/relationships/image" Target="../media/image24.png"/><Relationship Id="rId30"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2" Type="http://schemas.openxmlformats.org/officeDocument/2006/relationships/hyperlink" Target="https://www.rawpixel.com/search/light%20blue%20background" TargetMode="External"/><Relationship Id="rId1" Type="http://schemas.openxmlformats.org/officeDocument/2006/relationships/image" Target="../media/image26.1"/></Relationships>
</file>

<file path=xl/drawings/drawing1.xml><?xml version="1.0" encoding="utf-8"?>
<xdr:wsDr xmlns:xdr="http://schemas.openxmlformats.org/drawingml/2006/spreadsheetDrawing" xmlns:a="http://schemas.openxmlformats.org/drawingml/2006/main">
  <xdr:oneCellAnchor>
    <xdr:from>
      <xdr:col>0</xdr:col>
      <xdr:colOff>0</xdr:colOff>
      <xdr:row>11</xdr:row>
      <xdr:rowOff>95250</xdr:rowOff>
    </xdr:from>
    <xdr:ext cx="2190750" cy="233205"/>
    <xdr:sp macro="" textlink="">
      <xdr:nvSpPr>
        <xdr:cNvPr id="4" name="TextBox 3">
          <a:extLst>
            <a:ext uri="{FF2B5EF4-FFF2-40B4-BE49-F238E27FC236}">
              <a16:creationId xmlns:a16="http://schemas.microsoft.com/office/drawing/2014/main" id="{3DE097E0-6AC7-41BD-BD47-17480E5D5A52}"/>
            </a:ext>
          </a:extLst>
        </xdr:cNvPr>
        <xdr:cNvSpPr txBox="1"/>
      </xdr:nvSpPr>
      <xdr:spPr>
        <a:xfrm>
          <a:off x="0" y="2190750"/>
          <a:ext cx="21907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0</xdr:col>
      <xdr:colOff>0</xdr:colOff>
      <xdr:row>0</xdr:row>
      <xdr:rowOff>11616</xdr:rowOff>
    </xdr:from>
    <xdr:to>
      <xdr:col>26</xdr:col>
      <xdr:colOff>411573</xdr:colOff>
      <xdr:row>48</xdr:row>
      <xdr:rowOff>173467</xdr:rowOff>
    </xdr:to>
    <xdr:pic>
      <xdr:nvPicPr>
        <xdr:cNvPr id="6" name="Picture 5">
          <a:extLst>
            <a:ext uri="{FF2B5EF4-FFF2-40B4-BE49-F238E27FC236}">
              <a16:creationId xmlns:a16="http://schemas.microsoft.com/office/drawing/2014/main" id="{4583D416-DD2F-4DA0-8D69-5B1F25D151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11616"/>
          <a:ext cx="16116207" cy="9082827"/>
        </a:xfrm>
        <a:prstGeom prst="rect">
          <a:avLst/>
        </a:prstGeom>
      </xdr:spPr>
    </xdr:pic>
    <xdr:clientData/>
  </xdr:twoCellAnchor>
  <xdr:twoCellAnchor>
    <xdr:from>
      <xdr:col>0</xdr:col>
      <xdr:colOff>46463</xdr:colOff>
      <xdr:row>0</xdr:row>
      <xdr:rowOff>116158</xdr:rowOff>
    </xdr:from>
    <xdr:to>
      <xdr:col>26</xdr:col>
      <xdr:colOff>151007</xdr:colOff>
      <xdr:row>7</xdr:row>
      <xdr:rowOff>46462</xdr:rowOff>
    </xdr:to>
    <xdr:sp macro="" textlink="">
      <xdr:nvSpPr>
        <xdr:cNvPr id="2" name="Rectangle: Rounded Corners 1">
          <a:extLst>
            <a:ext uri="{FF2B5EF4-FFF2-40B4-BE49-F238E27FC236}">
              <a16:creationId xmlns:a16="http://schemas.microsoft.com/office/drawing/2014/main" id="{8045D0C8-CCC9-4650-9508-9AA34FE78ED2}"/>
            </a:ext>
          </a:extLst>
        </xdr:cNvPr>
        <xdr:cNvSpPr/>
      </xdr:nvSpPr>
      <xdr:spPr>
        <a:xfrm>
          <a:off x="46463" y="116158"/>
          <a:ext cx="15809178" cy="123128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46464</xdr:colOff>
      <xdr:row>0</xdr:row>
      <xdr:rowOff>151006</xdr:rowOff>
    </xdr:from>
    <xdr:to>
      <xdr:col>2</xdr:col>
      <xdr:colOff>542781</xdr:colOff>
      <xdr:row>7</xdr:row>
      <xdr:rowOff>12033</xdr:rowOff>
    </xdr:to>
    <xdr:pic>
      <xdr:nvPicPr>
        <xdr:cNvPr id="7" name="Picture 6">
          <a:hlinkClick xmlns:r="http://schemas.openxmlformats.org/officeDocument/2006/relationships" r:id="rId3"/>
          <a:extLst>
            <a:ext uri="{FF2B5EF4-FFF2-40B4-BE49-F238E27FC236}">
              <a16:creationId xmlns:a16="http://schemas.microsoft.com/office/drawing/2014/main" id="{35578B4D-E09F-4A1B-85E0-1D3A80B9081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650488" y="151006"/>
          <a:ext cx="1100342" cy="1162003"/>
        </a:xfrm>
        <a:prstGeom prst="rect">
          <a:avLst/>
        </a:prstGeom>
      </xdr:spPr>
    </xdr:pic>
    <xdr:clientData/>
  </xdr:twoCellAnchor>
  <xdr:twoCellAnchor>
    <xdr:from>
      <xdr:col>3</xdr:col>
      <xdr:colOff>267166</xdr:colOff>
      <xdr:row>1</xdr:row>
      <xdr:rowOff>162622</xdr:rowOff>
    </xdr:from>
    <xdr:to>
      <xdr:col>3</xdr:col>
      <xdr:colOff>276692</xdr:colOff>
      <xdr:row>5</xdr:row>
      <xdr:rowOff>173510</xdr:rowOff>
    </xdr:to>
    <xdr:cxnSp macro="">
      <xdr:nvCxnSpPr>
        <xdr:cNvPr id="8" name="Straight Connector 7">
          <a:extLst>
            <a:ext uri="{FF2B5EF4-FFF2-40B4-BE49-F238E27FC236}">
              <a16:creationId xmlns:a16="http://schemas.microsoft.com/office/drawing/2014/main" id="{C965CDF8-1248-4042-A2F7-57FFAFD32EA8}"/>
            </a:ext>
          </a:extLst>
        </xdr:cNvPr>
        <xdr:cNvCxnSpPr/>
      </xdr:nvCxnSpPr>
      <xdr:spPr>
        <a:xfrm flipH="1">
          <a:off x="2079239" y="348476"/>
          <a:ext cx="9526" cy="75430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522713</xdr:colOff>
      <xdr:row>1</xdr:row>
      <xdr:rowOff>92928</xdr:rowOff>
    </xdr:from>
    <xdr:to>
      <xdr:col>5</xdr:col>
      <xdr:colOff>238621</xdr:colOff>
      <xdr:row>6</xdr:row>
      <xdr:rowOff>117572</xdr:rowOff>
    </xdr:to>
    <xdr:pic>
      <xdr:nvPicPr>
        <xdr:cNvPr id="9" name="Graphic 8" descr="Handshake">
          <a:extLst>
            <a:ext uri="{FF2B5EF4-FFF2-40B4-BE49-F238E27FC236}">
              <a16:creationId xmlns:a16="http://schemas.microsoft.com/office/drawing/2014/main" id="{C54955DB-43E1-454C-B824-8B80B819474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34786" y="278782"/>
          <a:ext cx="923957" cy="953912"/>
        </a:xfrm>
        <a:prstGeom prst="rect">
          <a:avLst/>
        </a:prstGeom>
      </xdr:spPr>
    </xdr:pic>
    <xdr:clientData/>
  </xdr:twoCellAnchor>
  <xdr:twoCellAnchor editAs="oneCell">
    <xdr:from>
      <xdr:col>5</xdr:col>
      <xdr:colOff>313628</xdr:colOff>
      <xdr:row>0</xdr:row>
      <xdr:rowOff>174239</xdr:rowOff>
    </xdr:from>
    <xdr:to>
      <xdr:col>7</xdr:col>
      <xdr:colOff>29536</xdr:colOff>
      <xdr:row>6</xdr:row>
      <xdr:rowOff>715</xdr:rowOff>
    </xdr:to>
    <xdr:pic>
      <xdr:nvPicPr>
        <xdr:cNvPr id="10" name="Graphic 9" descr="Bank">
          <a:hlinkClick xmlns:r="http://schemas.openxmlformats.org/officeDocument/2006/relationships" r:id="rId8"/>
          <a:extLst>
            <a:ext uri="{FF2B5EF4-FFF2-40B4-BE49-F238E27FC236}">
              <a16:creationId xmlns:a16="http://schemas.microsoft.com/office/drawing/2014/main" id="{ECB2FDD4-5C4A-4E78-9456-FA734B5CAB0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333750" y="174239"/>
          <a:ext cx="923957" cy="941598"/>
        </a:xfrm>
        <a:prstGeom prst="rect">
          <a:avLst/>
        </a:prstGeom>
      </xdr:spPr>
    </xdr:pic>
    <xdr:clientData/>
  </xdr:twoCellAnchor>
  <xdr:twoCellAnchor editAs="oneCell">
    <xdr:from>
      <xdr:col>6</xdr:col>
      <xdr:colOff>348476</xdr:colOff>
      <xdr:row>0</xdr:row>
      <xdr:rowOff>127775</xdr:rowOff>
    </xdr:from>
    <xdr:to>
      <xdr:col>23</xdr:col>
      <xdr:colOff>139333</xdr:colOff>
      <xdr:row>7</xdr:row>
      <xdr:rowOff>3429</xdr:rowOff>
    </xdr:to>
    <xdr:pic>
      <xdr:nvPicPr>
        <xdr:cNvPr id="3" name="Picture 2">
          <a:extLst>
            <a:ext uri="{FF2B5EF4-FFF2-40B4-BE49-F238E27FC236}">
              <a16:creationId xmlns:a16="http://schemas.microsoft.com/office/drawing/2014/main" id="{4598ACCA-C592-4C07-B975-90976CA00DEB}"/>
            </a:ext>
          </a:extLst>
        </xdr:cNvPr>
        <xdr:cNvPicPr>
          <a:picLocks noChangeAspect="1"/>
        </xdr:cNvPicPr>
      </xdr:nvPicPr>
      <xdr:blipFill>
        <a:blip xmlns:r="http://schemas.openxmlformats.org/officeDocument/2006/relationships" r:embed="rId11"/>
        <a:stretch>
          <a:fillRect/>
        </a:stretch>
      </xdr:blipFill>
      <xdr:spPr>
        <a:xfrm>
          <a:off x="3972622" y="127775"/>
          <a:ext cx="10059272" cy="1176630"/>
        </a:xfrm>
        <a:prstGeom prst="rect">
          <a:avLst/>
        </a:prstGeom>
      </xdr:spPr>
    </xdr:pic>
    <xdr:clientData/>
  </xdr:twoCellAnchor>
  <xdr:twoCellAnchor editAs="oneCell">
    <xdr:from>
      <xdr:col>22</xdr:col>
      <xdr:colOff>580792</xdr:colOff>
      <xdr:row>0</xdr:row>
      <xdr:rowOff>127775</xdr:rowOff>
    </xdr:from>
    <xdr:to>
      <xdr:col>24</xdr:col>
      <xdr:colOff>505342</xdr:colOff>
      <xdr:row>6</xdr:row>
      <xdr:rowOff>161240</xdr:rowOff>
    </xdr:to>
    <xdr:pic>
      <xdr:nvPicPr>
        <xdr:cNvPr id="12" name="Graphic 11" descr="Safe">
          <a:extLst>
            <a:ext uri="{FF2B5EF4-FFF2-40B4-BE49-F238E27FC236}">
              <a16:creationId xmlns:a16="http://schemas.microsoft.com/office/drawing/2014/main" id="{ABE0946F-CF4B-4C83-9D03-95CCA6EAC52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3869329" y="127775"/>
          <a:ext cx="1132598" cy="1148587"/>
        </a:xfrm>
        <a:prstGeom prst="rect">
          <a:avLst/>
        </a:prstGeom>
      </xdr:spPr>
    </xdr:pic>
    <xdr:clientData/>
  </xdr:twoCellAnchor>
  <xdr:twoCellAnchor>
    <xdr:from>
      <xdr:col>12</xdr:col>
      <xdr:colOff>151006</xdr:colOff>
      <xdr:row>7</xdr:row>
      <xdr:rowOff>104542</xdr:rowOff>
    </xdr:from>
    <xdr:to>
      <xdr:col>12</xdr:col>
      <xdr:colOff>557561</xdr:colOff>
      <xdr:row>11</xdr:row>
      <xdr:rowOff>34848</xdr:rowOff>
    </xdr:to>
    <xdr:sp macro="" textlink="">
      <xdr:nvSpPr>
        <xdr:cNvPr id="13" name="Arrow: Down 12">
          <a:extLst>
            <a:ext uri="{FF2B5EF4-FFF2-40B4-BE49-F238E27FC236}">
              <a16:creationId xmlns:a16="http://schemas.microsoft.com/office/drawing/2014/main" id="{834F809F-3D99-46A7-891A-19C81F1AC423}"/>
            </a:ext>
          </a:extLst>
        </xdr:cNvPr>
        <xdr:cNvSpPr/>
      </xdr:nvSpPr>
      <xdr:spPr>
        <a:xfrm>
          <a:off x="7399299" y="1405518"/>
          <a:ext cx="406555" cy="67372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139390</xdr:colOff>
      <xdr:row>11</xdr:row>
      <xdr:rowOff>116160</xdr:rowOff>
    </xdr:from>
    <xdr:to>
      <xdr:col>22</xdr:col>
      <xdr:colOff>174238</xdr:colOff>
      <xdr:row>24</xdr:row>
      <xdr:rowOff>127774</xdr:rowOff>
    </xdr:to>
    <xdr:sp macro="" textlink="">
      <xdr:nvSpPr>
        <xdr:cNvPr id="14" name="Rectangle: Rounded Corners 13">
          <a:extLst>
            <a:ext uri="{FF2B5EF4-FFF2-40B4-BE49-F238E27FC236}">
              <a16:creationId xmlns:a16="http://schemas.microsoft.com/office/drawing/2014/main" id="{046B9DFA-718D-4828-AF2A-2EC7A4CA960D}"/>
            </a:ext>
          </a:extLst>
        </xdr:cNvPr>
        <xdr:cNvSpPr/>
      </xdr:nvSpPr>
      <xdr:spPr>
        <a:xfrm>
          <a:off x="1951463" y="2160550"/>
          <a:ext cx="11511312" cy="2427712"/>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3</xdr:col>
      <xdr:colOff>471003</xdr:colOff>
      <xdr:row>12</xdr:row>
      <xdr:rowOff>48091</xdr:rowOff>
    </xdr:from>
    <xdr:ext cx="11154144" cy="2910284"/>
    <xdr:sp macro="" textlink="">
      <xdr:nvSpPr>
        <xdr:cNvPr id="15" name="Rectangle 14">
          <a:extLst>
            <a:ext uri="{FF2B5EF4-FFF2-40B4-BE49-F238E27FC236}">
              <a16:creationId xmlns:a16="http://schemas.microsoft.com/office/drawing/2014/main" id="{B93D149A-1AF8-4599-9DFE-8C5058DC1874}"/>
            </a:ext>
          </a:extLst>
        </xdr:cNvPr>
        <xdr:cNvSpPr/>
      </xdr:nvSpPr>
      <xdr:spPr>
        <a:xfrm>
          <a:off x="2283076" y="2278335"/>
          <a:ext cx="11154144" cy="2910284"/>
        </a:xfrm>
        <a:prstGeom prst="rect">
          <a:avLst/>
        </a:prstGeom>
        <a:noFill/>
      </xdr:spPr>
      <xdr:txBody>
        <a:bodyPr wrap="none" lIns="91440" tIns="45720" rIns="91440" bIns="45720">
          <a:spAutoFit/>
        </a:bodyPr>
        <a:lstStyle/>
        <a:p>
          <a:pPr algn="ctr"/>
          <a:r>
            <a:rPr lang="en-US" sz="2000" b="1" i="1">
              <a:latin typeface="Arial Rounded MT Bold" panose="020F0704030504030204" pitchFamily="34" charset="0"/>
            </a:rPr>
            <a:t>Why did I choose this project? </a:t>
          </a:r>
        </a:p>
        <a:p>
          <a:r>
            <a:rPr lang="en-US" sz="1800"/>
            <a:t>I selected this project because banks receive thousands of loan applications every month.</a:t>
          </a:r>
        </a:p>
        <a:p>
          <a:r>
            <a:rPr lang="en-US" sz="1800"/>
            <a:t>If the bank checks all records manually:</a:t>
          </a:r>
        </a:p>
        <a:p>
          <a:r>
            <a:rPr lang="en-US" sz="1800"/>
            <a:t>It takes too much time. </a:t>
          </a:r>
        </a:p>
        <a:p>
          <a:r>
            <a:rPr lang="en-US" sz="1800"/>
            <a:t>Mistakes can happen. </a:t>
          </a:r>
        </a:p>
        <a:p>
          <a:r>
            <a:rPr lang="en-US" sz="1800"/>
            <a:t>Business decisions become slow. </a:t>
          </a:r>
        </a:p>
        <a:p>
          <a:r>
            <a:rPr lang="en-US" sz="1800"/>
            <a:t>By creating this dashboard, all important information becomes available on one screen, making analysis much easier.</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12</xdr:col>
      <xdr:colOff>273534</xdr:colOff>
      <xdr:row>25</xdr:row>
      <xdr:rowOff>13244</xdr:rowOff>
    </xdr:from>
    <xdr:to>
      <xdr:col>13</xdr:col>
      <xdr:colOff>92928</xdr:colOff>
      <xdr:row>28</xdr:row>
      <xdr:rowOff>69696</xdr:rowOff>
    </xdr:to>
    <xdr:sp macro="" textlink="">
      <xdr:nvSpPr>
        <xdr:cNvPr id="16" name="Arrow: Down 15">
          <a:extLst>
            <a:ext uri="{FF2B5EF4-FFF2-40B4-BE49-F238E27FC236}">
              <a16:creationId xmlns:a16="http://schemas.microsoft.com/office/drawing/2014/main" id="{AE706131-E190-4B74-8643-3207D69CEBBE}"/>
            </a:ext>
          </a:extLst>
        </xdr:cNvPr>
        <xdr:cNvSpPr/>
      </xdr:nvSpPr>
      <xdr:spPr>
        <a:xfrm>
          <a:off x="7521827" y="4659585"/>
          <a:ext cx="423418" cy="614013"/>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11616</xdr:colOff>
      <xdr:row>30</xdr:row>
      <xdr:rowOff>174238</xdr:rowOff>
    </xdr:from>
    <xdr:to>
      <xdr:col>7</xdr:col>
      <xdr:colOff>406554</xdr:colOff>
      <xdr:row>36</xdr:row>
      <xdr:rowOff>104543</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83D390E2-6994-4445-8498-77584B0B55C3}"/>
            </a:ext>
          </a:extLst>
        </xdr:cNvPr>
        <xdr:cNvSpPr/>
      </xdr:nvSpPr>
      <xdr:spPr>
        <a:xfrm>
          <a:off x="3031738" y="5749848"/>
          <a:ext cx="1602987" cy="1045427"/>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522713</xdr:colOff>
      <xdr:row>30</xdr:row>
      <xdr:rowOff>34849</xdr:rowOff>
    </xdr:from>
    <xdr:to>
      <xdr:col>21</xdr:col>
      <xdr:colOff>429786</xdr:colOff>
      <xdr:row>35</xdr:row>
      <xdr:rowOff>162623</xdr:rowOff>
    </xdr:to>
    <xdr:sp macro="" textlink="">
      <xdr:nvSpPr>
        <xdr:cNvPr id="18" name="Rectangle: Rounded Corners 17">
          <a:hlinkClick xmlns:r="http://schemas.openxmlformats.org/officeDocument/2006/relationships" r:id="rId14"/>
          <a:extLst>
            <a:ext uri="{FF2B5EF4-FFF2-40B4-BE49-F238E27FC236}">
              <a16:creationId xmlns:a16="http://schemas.microsoft.com/office/drawing/2014/main" id="{6A110EBD-B488-4EE6-9EE2-C2E6D32C2C1E}"/>
            </a:ext>
          </a:extLst>
        </xdr:cNvPr>
        <xdr:cNvSpPr/>
      </xdr:nvSpPr>
      <xdr:spPr>
        <a:xfrm>
          <a:off x="11395152" y="5610459"/>
          <a:ext cx="1719146" cy="1057042"/>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499483</xdr:colOff>
      <xdr:row>30</xdr:row>
      <xdr:rowOff>59473</xdr:rowOff>
    </xdr:from>
    <xdr:to>
      <xdr:col>17</xdr:col>
      <xdr:colOff>383323</xdr:colOff>
      <xdr:row>36</xdr:row>
      <xdr:rowOff>81310</xdr:rowOff>
    </xdr:to>
    <xdr:sp macro="" textlink="">
      <xdr:nvSpPr>
        <xdr:cNvPr id="19" name="Rectangle: Rounded Corners 18">
          <a:hlinkClick xmlns:r="http://schemas.openxmlformats.org/officeDocument/2006/relationships" r:id="rId15"/>
          <a:extLst>
            <a:ext uri="{FF2B5EF4-FFF2-40B4-BE49-F238E27FC236}">
              <a16:creationId xmlns:a16="http://schemas.microsoft.com/office/drawing/2014/main" id="{A796A575-97C7-4434-A8F9-D287297CAA9B}"/>
            </a:ext>
          </a:extLst>
        </xdr:cNvPr>
        <xdr:cNvSpPr/>
      </xdr:nvSpPr>
      <xdr:spPr>
        <a:xfrm>
          <a:off x="8351800" y="5635083"/>
          <a:ext cx="2299938" cy="1136959"/>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432575</xdr:colOff>
      <xdr:row>30</xdr:row>
      <xdr:rowOff>153794</xdr:rowOff>
    </xdr:from>
    <xdr:to>
      <xdr:col>12</xdr:col>
      <xdr:colOff>223489</xdr:colOff>
      <xdr:row>36</xdr:row>
      <xdr:rowOff>84099</xdr:rowOff>
    </xdr:to>
    <xdr:sp macro="" textlink="">
      <xdr:nvSpPr>
        <xdr:cNvPr id="20" name="Rectangle: Rounded Corners 19">
          <a:hlinkClick xmlns:r="http://schemas.openxmlformats.org/officeDocument/2006/relationships" r:id="rId16"/>
          <a:extLst>
            <a:ext uri="{FF2B5EF4-FFF2-40B4-BE49-F238E27FC236}">
              <a16:creationId xmlns:a16="http://schemas.microsoft.com/office/drawing/2014/main" id="{2C5ACB3F-9C3C-4A02-945F-26F2E03EF857}"/>
            </a:ext>
          </a:extLst>
        </xdr:cNvPr>
        <xdr:cNvSpPr/>
      </xdr:nvSpPr>
      <xdr:spPr>
        <a:xfrm>
          <a:off x="5868795" y="5729404"/>
          <a:ext cx="1602987" cy="1045427"/>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259982</xdr:colOff>
      <xdr:row>32</xdr:row>
      <xdr:rowOff>82938</xdr:rowOff>
    </xdr:from>
    <xdr:ext cx="1048172" cy="448521"/>
    <xdr:sp macro="" textlink="">
      <xdr:nvSpPr>
        <xdr:cNvPr id="21" name="Rectangle 20">
          <a:extLst>
            <a:ext uri="{FF2B5EF4-FFF2-40B4-BE49-F238E27FC236}">
              <a16:creationId xmlns:a16="http://schemas.microsoft.com/office/drawing/2014/main" id="{81C1CBE3-372B-40A7-9F7D-7FA7D938F52D}"/>
            </a:ext>
          </a:extLst>
        </xdr:cNvPr>
        <xdr:cNvSpPr/>
      </xdr:nvSpPr>
      <xdr:spPr>
        <a:xfrm>
          <a:off x="3280104" y="6030255"/>
          <a:ext cx="1048172" cy="448521"/>
        </a:xfrm>
        <a:prstGeom prst="rect">
          <a:avLst/>
        </a:prstGeom>
        <a:noFill/>
      </xdr:spPr>
      <xdr:txBody>
        <a:bodyPr wrap="none" lIns="91440" tIns="45720" rIns="91440" bIns="45720">
          <a:spAutoFit/>
        </a:bodyPr>
        <a:lstStyle/>
        <a:p>
          <a:pPr algn="ctr"/>
          <a:r>
            <a:rPr lang="en-US" sz="2400" b="1" i="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DATA</a:t>
          </a:r>
        </a:p>
      </xdr:txBody>
    </xdr:sp>
    <xdr:clientData/>
  </xdr:oneCellAnchor>
  <xdr:oneCellAnchor>
    <xdr:from>
      <xdr:col>10</xdr:col>
      <xdr:colOff>15449</xdr:colOff>
      <xdr:row>31</xdr:row>
      <xdr:rowOff>82939</xdr:rowOff>
    </xdr:from>
    <xdr:ext cx="1211998" cy="804707"/>
    <xdr:sp macro="" textlink="">
      <xdr:nvSpPr>
        <xdr:cNvPr id="25" name="Rectangle 24">
          <a:extLst>
            <a:ext uri="{FF2B5EF4-FFF2-40B4-BE49-F238E27FC236}">
              <a16:creationId xmlns:a16="http://schemas.microsoft.com/office/drawing/2014/main" id="{D0E29C80-7872-4749-A12F-DCAFC5C8D00D}"/>
            </a:ext>
          </a:extLst>
        </xdr:cNvPr>
        <xdr:cNvSpPr/>
      </xdr:nvSpPr>
      <xdr:spPr>
        <a:xfrm>
          <a:off x="6055693" y="5844402"/>
          <a:ext cx="1211998" cy="804707"/>
        </a:xfrm>
        <a:prstGeom prst="rect">
          <a:avLst/>
        </a:prstGeom>
        <a:noFill/>
      </xdr:spPr>
      <xdr:txBody>
        <a:bodyPr wrap="none" lIns="91440" tIns="45720" rIns="91440" bIns="45720">
          <a:spAutoFit/>
        </a:bodyPr>
        <a:lstStyle/>
        <a:p>
          <a:pPr algn="ctr"/>
          <a:r>
            <a:rPr lang="en-US" sz="2400" b="1" i="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PIVOT</a:t>
          </a:r>
          <a:r>
            <a:rPr lang="en-US" sz="2400" b="1" i="1" cap="none" spc="0" baseline="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 </a:t>
          </a:r>
        </a:p>
        <a:p>
          <a:pPr algn="ctr"/>
          <a:r>
            <a:rPr lang="en-US" sz="2400" b="1" i="1" cap="none" spc="0" baseline="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TABLE</a:t>
          </a:r>
          <a:endParaRPr lang="en-US" sz="2400" b="1" i="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oneCellAnchor>
    <xdr:from>
      <xdr:col>13</xdr:col>
      <xdr:colOff>488596</xdr:colOff>
      <xdr:row>31</xdr:row>
      <xdr:rowOff>175864</xdr:rowOff>
    </xdr:from>
    <xdr:ext cx="2193935" cy="448521"/>
    <xdr:sp macro="" textlink="">
      <xdr:nvSpPr>
        <xdr:cNvPr id="26" name="Rectangle 25">
          <a:extLst>
            <a:ext uri="{FF2B5EF4-FFF2-40B4-BE49-F238E27FC236}">
              <a16:creationId xmlns:a16="http://schemas.microsoft.com/office/drawing/2014/main" id="{10205C78-6BC4-4EF6-9DAB-CFB32EC4639B}"/>
            </a:ext>
          </a:extLst>
        </xdr:cNvPr>
        <xdr:cNvSpPr/>
      </xdr:nvSpPr>
      <xdr:spPr>
        <a:xfrm>
          <a:off x="8340913" y="5937327"/>
          <a:ext cx="2193935" cy="448521"/>
        </a:xfrm>
        <a:prstGeom prst="rect">
          <a:avLst/>
        </a:prstGeom>
        <a:noFill/>
      </xdr:spPr>
      <xdr:txBody>
        <a:bodyPr wrap="none" lIns="91440" tIns="45720" rIns="91440" bIns="45720">
          <a:spAutoFit/>
        </a:bodyPr>
        <a:lstStyle/>
        <a:p>
          <a:pPr algn="ctr"/>
          <a:r>
            <a:rPr lang="en-US" sz="2400" b="1" i="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DESHBOARD</a:t>
          </a:r>
        </a:p>
      </xdr:txBody>
    </xdr:sp>
    <xdr:clientData/>
  </xdr:oneCellAnchor>
  <xdr:oneCellAnchor>
    <xdr:from>
      <xdr:col>18</xdr:col>
      <xdr:colOff>467317</xdr:colOff>
      <xdr:row>31</xdr:row>
      <xdr:rowOff>129401</xdr:rowOff>
    </xdr:from>
    <xdr:ext cx="1692900" cy="448521"/>
    <xdr:sp macro="" textlink="">
      <xdr:nvSpPr>
        <xdr:cNvPr id="27" name="Rectangle 26">
          <a:extLst>
            <a:ext uri="{FF2B5EF4-FFF2-40B4-BE49-F238E27FC236}">
              <a16:creationId xmlns:a16="http://schemas.microsoft.com/office/drawing/2014/main" id="{634C60DF-A05E-4A20-A007-457D567EE8AD}"/>
            </a:ext>
          </a:extLst>
        </xdr:cNvPr>
        <xdr:cNvSpPr/>
      </xdr:nvSpPr>
      <xdr:spPr>
        <a:xfrm>
          <a:off x="11339756" y="5890864"/>
          <a:ext cx="1692900" cy="448521"/>
        </a:xfrm>
        <a:prstGeom prst="rect">
          <a:avLst/>
        </a:prstGeom>
        <a:noFill/>
      </xdr:spPr>
      <xdr:txBody>
        <a:bodyPr wrap="none" lIns="91440" tIns="45720" rIns="91440" bIns="45720">
          <a:spAutoFit/>
        </a:bodyPr>
        <a:lstStyle/>
        <a:p>
          <a:pPr algn="ctr"/>
          <a:r>
            <a:rPr lang="en-US" sz="2400" b="1" i="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INSIGHTS</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31785</xdr:colOff>
      <xdr:row>0</xdr:row>
      <xdr:rowOff>68161</xdr:rowOff>
    </xdr:from>
    <xdr:to>
      <xdr:col>3</xdr:col>
      <xdr:colOff>635219</xdr:colOff>
      <xdr:row>0</xdr:row>
      <xdr:rowOff>667844</xdr:rowOff>
    </xdr:to>
    <xdr:pic>
      <xdr:nvPicPr>
        <xdr:cNvPr id="2" name="Picture 1">
          <a:hlinkClick xmlns:r="http://schemas.openxmlformats.org/officeDocument/2006/relationships" r:id="rId1"/>
          <a:extLst>
            <a:ext uri="{FF2B5EF4-FFF2-40B4-BE49-F238E27FC236}">
              <a16:creationId xmlns:a16="http://schemas.microsoft.com/office/drawing/2014/main" id="{CB22D4E4-7BD2-4790-BA3A-52D29D5AC5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812647" y="68161"/>
          <a:ext cx="603434" cy="599683"/>
        </a:xfrm>
        <a:prstGeom prst="rect">
          <a:avLst/>
        </a:prstGeom>
      </xdr:spPr>
    </xdr:pic>
    <xdr:clientData/>
  </xdr:twoCellAnchor>
  <xdr:oneCellAnchor>
    <xdr:from>
      <xdr:col>0</xdr:col>
      <xdr:colOff>0</xdr:colOff>
      <xdr:row>20</xdr:row>
      <xdr:rowOff>10949</xdr:rowOff>
    </xdr:from>
    <xdr:ext cx="4795345" cy="2068984"/>
    <xdr:sp macro="" textlink="">
      <xdr:nvSpPr>
        <xdr:cNvPr id="5" name="TextBox 4">
          <a:extLst>
            <a:ext uri="{FF2B5EF4-FFF2-40B4-BE49-F238E27FC236}">
              <a16:creationId xmlns:a16="http://schemas.microsoft.com/office/drawing/2014/main" id="{0B51567E-E0C4-4965-B02F-0D5B274F0F20}"/>
            </a:ext>
          </a:extLst>
        </xdr:cNvPr>
        <xdr:cNvSpPr txBox="1"/>
      </xdr:nvSpPr>
      <xdr:spPr>
        <a:xfrm flipV="1">
          <a:off x="0" y="4280777"/>
          <a:ext cx="4795345" cy="20689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10</xdr:col>
      <xdr:colOff>437932</xdr:colOff>
      <xdr:row>0</xdr:row>
      <xdr:rowOff>0</xdr:rowOff>
    </xdr:from>
    <xdr:to>
      <xdr:col>10</xdr:col>
      <xdr:colOff>1204311</xdr:colOff>
      <xdr:row>1</xdr:row>
      <xdr:rowOff>32845</xdr:rowOff>
    </xdr:to>
    <xdr:pic>
      <xdr:nvPicPr>
        <xdr:cNvPr id="7" name="Graphic 6" descr="Database">
          <a:extLst>
            <a:ext uri="{FF2B5EF4-FFF2-40B4-BE49-F238E27FC236}">
              <a16:creationId xmlns:a16="http://schemas.microsoft.com/office/drawing/2014/main" id="{345841DA-3493-47A6-8B19-8170C4081C1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941035" y="0"/>
          <a:ext cx="766379" cy="766379"/>
        </a:xfrm>
        <a:prstGeom prst="rect">
          <a:avLst/>
        </a:prstGeom>
      </xdr:spPr>
    </xdr:pic>
    <xdr:clientData/>
  </xdr:twoCellAnchor>
  <xdr:twoCellAnchor editAs="oneCell">
    <xdr:from>
      <xdr:col>10</xdr:col>
      <xdr:colOff>1226208</xdr:colOff>
      <xdr:row>0</xdr:row>
      <xdr:rowOff>0</xdr:rowOff>
    </xdr:from>
    <xdr:to>
      <xdr:col>11</xdr:col>
      <xdr:colOff>739228</xdr:colOff>
      <xdr:row>1</xdr:row>
      <xdr:rowOff>180866</xdr:rowOff>
    </xdr:to>
    <xdr:pic>
      <xdr:nvPicPr>
        <xdr:cNvPr id="9" name="Graphic 8" descr="Handshake">
          <a:extLst>
            <a:ext uri="{FF2B5EF4-FFF2-40B4-BE49-F238E27FC236}">
              <a16:creationId xmlns:a16="http://schemas.microsoft.com/office/drawing/2014/main" id="{CE89347E-A9A9-4D1B-9CD9-4143E216480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729311" y="0"/>
          <a:ext cx="914400" cy="914400"/>
        </a:xfrm>
        <a:prstGeom prst="rect">
          <a:avLst/>
        </a:prstGeom>
      </xdr:spPr>
    </xdr:pic>
    <xdr:clientData/>
  </xdr:twoCellAnchor>
  <xdr:twoCellAnchor>
    <xdr:from>
      <xdr:col>0</xdr:col>
      <xdr:colOff>153276</xdr:colOff>
      <xdr:row>0</xdr:row>
      <xdr:rowOff>262759</xdr:rowOff>
    </xdr:from>
    <xdr:to>
      <xdr:col>0</xdr:col>
      <xdr:colOff>722586</xdr:colOff>
      <xdr:row>0</xdr:row>
      <xdr:rowOff>580259</xdr:rowOff>
    </xdr:to>
    <xdr:sp macro="" textlink="">
      <xdr:nvSpPr>
        <xdr:cNvPr id="3" name="Arrow: Right 2">
          <a:hlinkClick xmlns:r="http://schemas.openxmlformats.org/officeDocument/2006/relationships" r:id="rId8"/>
          <a:extLst>
            <a:ext uri="{FF2B5EF4-FFF2-40B4-BE49-F238E27FC236}">
              <a16:creationId xmlns:a16="http://schemas.microsoft.com/office/drawing/2014/main" id="{C72EAE3F-AF06-4D7A-B2CA-2A38517D5656}"/>
            </a:ext>
          </a:extLst>
        </xdr:cNvPr>
        <xdr:cNvSpPr/>
      </xdr:nvSpPr>
      <xdr:spPr>
        <a:xfrm>
          <a:off x="153276" y="262759"/>
          <a:ext cx="569310" cy="317500"/>
        </a:xfrm>
        <a:prstGeom prst="rightArrow">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254739</xdr:colOff>
      <xdr:row>0</xdr:row>
      <xdr:rowOff>0</xdr:rowOff>
    </xdr:from>
    <xdr:to>
      <xdr:col>0</xdr:col>
      <xdr:colOff>764215</xdr:colOff>
      <xdr:row>1</xdr:row>
      <xdr:rowOff>44303</xdr:rowOff>
    </xdr:to>
    <xdr:sp macro="" textlink="">
      <xdr:nvSpPr>
        <xdr:cNvPr id="33" name="Arrow: Right 32">
          <a:hlinkClick xmlns:r="http://schemas.openxmlformats.org/officeDocument/2006/relationships" r:id="rId1"/>
          <a:extLst>
            <a:ext uri="{FF2B5EF4-FFF2-40B4-BE49-F238E27FC236}">
              <a16:creationId xmlns:a16="http://schemas.microsoft.com/office/drawing/2014/main" id="{D03D90C6-CCC4-47BD-94A9-02ED53898F35}"/>
            </a:ext>
          </a:extLst>
        </xdr:cNvPr>
        <xdr:cNvSpPr/>
      </xdr:nvSpPr>
      <xdr:spPr>
        <a:xfrm>
          <a:off x="254739" y="0"/>
          <a:ext cx="509476" cy="28796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26096</xdr:rowOff>
    </xdr:from>
    <xdr:to>
      <xdr:col>29</xdr:col>
      <xdr:colOff>178594</xdr:colOff>
      <xdr:row>6</xdr:row>
      <xdr:rowOff>173667</xdr:rowOff>
    </xdr:to>
    <xdr:sp macro="" textlink="">
      <xdr:nvSpPr>
        <xdr:cNvPr id="2" name="Rectangle: Rounded Corners 1">
          <a:extLst>
            <a:ext uri="{FF2B5EF4-FFF2-40B4-BE49-F238E27FC236}">
              <a16:creationId xmlns:a16="http://schemas.microsoft.com/office/drawing/2014/main" id="{C3279051-324F-4689-85A6-AE325BC245A7}"/>
            </a:ext>
          </a:extLst>
        </xdr:cNvPr>
        <xdr:cNvSpPr/>
      </xdr:nvSpPr>
      <xdr:spPr>
        <a:xfrm>
          <a:off x="0" y="26096"/>
          <a:ext cx="17962943" cy="12827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313386</xdr:colOff>
      <xdr:row>0</xdr:row>
      <xdr:rowOff>81833</xdr:rowOff>
    </xdr:from>
    <xdr:to>
      <xdr:col>2</xdr:col>
      <xdr:colOff>187221</xdr:colOff>
      <xdr:row>6</xdr:row>
      <xdr:rowOff>108665</xdr:rowOff>
    </xdr:to>
    <xdr:pic>
      <xdr:nvPicPr>
        <xdr:cNvPr id="5" name="Picture 4">
          <a:hlinkClick xmlns:r="http://schemas.openxmlformats.org/officeDocument/2006/relationships" r:id="rId1"/>
          <a:extLst>
            <a:ext uri="{FF2B5EF4-FFF2-40B4-BE49-F238E27FC236}">
              <a16:creationId xmlns:a16="http://schemas.microsoft.com/office/drawing/2014/main" id="{06B2B47F-C8F9-4A5C-A499-532D47A043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313386" y="81833"/>
          <a:ext cx="1081229" cy="1126902"/>
        </a:xfrm>
        <a:prstGeom prst="rect">
          <a:avLst/>
        </a:prstGeom>
      </xdr:spPr>
    </xdr:pic>
    <xdr:clientData/>
  </xdr:twoCellAnchor>
  <xdr:twoCellAnchor>
    <xdr:from>
      <xdr:col>2</xdr:col>
      <xdr:colOff>508582</xdr:colOff>
      <xdr:row>1</xdr:row>
      <xdr:rowOff>74456</xdr:rowOff>
    </xdr:from>
    <xdr:to>
      <xdr:col>2</xdr:col>
      <xdr:colOff>518108</xdr:colOff>
      <xdr:row>5</xdr:row>
      <xdr:rowOff>45881</xdr:rowOff>
    </xdr:to>
    <xdr:cxnSp macro="">
      <xdr:nvCxnSpPr>
        <xdr:cNvPr id="7" name="Straight Connector 6">
          <a:extLst>
            <a:ext uri="{FF2B5EF4-FFF2-40B4-BE49-F238E27FC236}">
              <a16:creationId xmlns:a16="http://schemas.microsoft.com/office/drawing/2014/main" id="{62C1B00D-A106-466F-B4EC-4D5A56F3FBAA}"/>
            </a:ext>
          </a:extLst>
        </xdr:cNvPr>
        <xdr:cNvCxnSpPr/>
      </xdr:nvCxnSpPr>
      <xdr:spPr>
        <a:xfrm flipH="1">
          <a:off x="1715976" y="262273"/>
          <a:ext cx="9526" cy="72269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465977</xdr:colOff>
      <xdr:row>29</xdr:row>
      <xdr:rowOff>103390</xdr:rowOff>
    </xdr:from>
    <xdr:to>
      <xdr:col>12</xdr:col>
      <xdr:colOff>13048</xdr:colOff>
      <xdr:row>43</xdr:row>
      <xdr:rowOff>117431</xdr:rowOff>
    </xdr:to>
    <xdr:graphicFrame macro="">
      <xdr:nvGraphicFramePr>
        <xdr:cNvPr id="26" name="Chart 25">
          <a:extLst>
            <a:ext uri="{FF2B5EF4-FFF2-40B4-BE49-F238E27FC236}">
              <a16:creationId xmlns:a16="http://schemas.microsoft.com/office/drawing/2014/main" id="{BBC19BC8-540B-443A-AB08-09EE386C7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201233</xdr:colOff>
      <xdr:row>0</xdr:row>
      <xdr:rowOff>132009</xdr:rowOff>
    </xdr:from>
    <xdr:to>
      <xdr:col>6</xdr:col>
      <xdr:colOff>511936</xdr:colOff>
      <xdr:row>5</xdr:row>
      <xdr:rowOff>134155</xdr:rowOff>
    </xdr:to>
    <xdr:pic>
      <xdr:nvPicPr>
        <xdr:cNvPr id="55" name="Graphic 54" descr="Bank">
          <a:hlinkClick xmlns:r="http://schemas.openxmlformats.org/officeDocument/2006/relationships" r:id="rId5"/>
          <a:extLst>
            <a:ext uri="{FF2B5EF4-FFF2-40B4-BE49-F238E27FC236}">
              <a16:creationId xmlns:a16="http://schemas.microsoft.com/office/drawing/2014/main" id="{0215DF06-FF3B-4E61-8459-BBE22FDD356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219719" y="132009"/>
          <a:ext cx="914400" cy="914400"/>
        </a:xfrm>
        <a:prstGeom prst="rect">
          <a:avLst/>
        </a:prstGeom>
      </xdr:spPr>
    </xdr:pic>
    <xdr:clientData/>
  </xdr:twoCellAnchor>
  <xdr:twoCellAnchor>
    <xdr:from>
      <xdr:col>7</xdr:col>
      <xdr:colOff>134157</xdr:colOff>
      <xdr:row>0</xdr:row>
      <xdr:rowOff>40245</xdr:rowOff>
    </xdr:from>
    <xdr:to>
      <xdr:col>23</xdr:col>
      <xdr:colOff>107326</xdr:colOff>
      <xdr:row>6</xdr:row>
      <xdr:rowOff>26831</xdr:rowOff>
    </xdr:to>
    <xdr:sp macro="" textlink="">
      <xdr:nvSpPr>
        <xdr:cNvPr id="57" name="TextBox 56">
          <a:extLst>
            <a:ext uri="{FF2B5EF4-FFF2-40B4-BE49-F238E27FC236}">
              <a16:creationId xmlns:a16="http://schemas.microsoft.com/office/drawing/2014/main" id="{F9FB9C69-7C4B-4574-8528-B970645E5BA3}"/>
            </a:ext>
          </a:extLst>
        </xdr:cNvPr>
        <xdr:cNvSpPr txBox="1"/>
      </xdr:nvSpPr>
      <xdr:spPr>
        <a:xfrm>
          <a:off x="4360037" y="40245"/>
          <a:ext cx="9632324" cy="1113487"/>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a:solidFill>
                <a:schemeClr val="bg1"/>
              </a:solidFill>
              <a:latin typeface="Algerian" panose="04020705040A02060702" pitchFamily="82" charset="0"/>
            </a:rPr>
            <a:t>bank loan applications dashboard</a:t>
          </a:r>
        </a:p>
      </xdr:txBody>
    </xdr:sp>
    <xdr:clientData/>
  </xdr:twoCellAnchor>
  <xdr:twoCellAnchor editAs="oneCell">
    <xdr:from>
      <xdr:col>23</xdr:col>
      <xdr:colOff>496374</xdr:colOff>
      <xdr:row>1</xdr:row>
      <xdr:rowOff>13416</xdr:rowOff>
    </xdr:from>
    <xdr:to>
      <xdr:col>25</xdr:col>
      <xdr:colOff>203379</xdr:colOff>
      <xdr:row>5</xdr:row>
      <xdr:rowOff>176548</xdr:rowOff>
    </xdr:to>
    <xdr:pic>
      <xdr:nvPicPr>
        <xdr:cNvPr id="58" name="Graphic 57" descr="Repeat">
          <a:hlinkClick xmlns:r="http://schemas.openxmlformats.org/officeDocument/2006/relationships" r:id="rId8"/>
          <a:extLst>
            <a:ext uri="{FF2B5EF4-FFF2-40B4-BE49-F238E27FC236}">
              <a16:creationId xmlns:a16="http://schemas.microsoft.com/office/drawing/2014/main" id="{48650A38-F1BC-4AC1-80EF-EE6F12BD41C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4381409" y="201233"/>
          <a:ext cx="914400" cy="914400"/>
        </a:xfrm>
        <a:prstGeom prst="rect">
          <a:avLst/>
        </a:prstGeom>
      </xdr:spPr>
    </xdr:pic>
    <xdr:clientData/>
  </xdr:twoCellAnchor>
  <xdr:twoCellAnchor editAs="oneCell">
    <xdr:from>
      <xdr:col>25</xdr:col>
      <xdr:colOff>442711</xdr:colOff>
      <xdr:row>0</xdr:row>
      <xdr:rowOff>107324</xdr:rowOff>
    </xdr:from>
    <xdr:to>
      <xdr:col>27</xdr:col>
      <xdr:colOff>348803</xdr:colOff>
      <xdr:row>6</xdr:row>
      <xdr:rowOff>120740</xdr:rowOff>
    </xdr:to>
    <xdr:pic>
      <xdr:nvPicPr>
        <xdr:cNvPr id="59" name="Graphic 58" descr="Safe">
          <a:extLst>
            <a:ext uri="{FF2B5EF4-FFF2-40B4-BE49-F238E27FC236}">
              <a16:creationId xmlns:a16="http://schemas.microsoft.com/office/drawing/2014/main" id="{95776D9A-E1D7-4AD1-88F0-F5BC1E5F929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535141" y="107324"/>
          <a:ext cx="1113486" cy="1113486"/>
        </a:xfrm>
        <a:prstGeom prst="rect">
          <a:avLst/>
        </a:prstGeom>
      </xdr:spPr>
    </xdr:pic>
    <xdr:clientData/>
  </xdr:twoCellAnchor>
  <xdr:twoCellAnchor editAs="oneCell">
    <xdr:from>
      <xdr:col>3</xdr:col>
      <xdr:colOff>281725</xdr:colOff>
      <xdr:row>1</xdr:row>
      <xdr:rowOff>67077</xdr:rowOff>
    </xdr:from>
    <xdr:to>
      <xdr:col>4</xdr:col>
      <xdr:colOff>592428</xdr:colOff>
      <xdr:row>6</xdr:row>
      <xdr:rowOff>42393</xdr:rowOff>
    </xdr:to>
    <xdr:pic>
      <xdr:nvPicPr>
        <xdr:cNvPr id="60" name="Graphic 59" descr="Handshake">
          <a:extLst>
            <a:ext uri="{FF2B5EF4-FFF2-40B4-BE49-F238E27FC236}">
              <a16:creationId xmlns:a16="http://schemas.microsoft.com/office/drawing/2014/main" id="{9305898A-A45B-4DB1-BAA8-5EF7B98DB0B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092817" y="254894"/>
          <a:ext cx="914400" cy="914400"/>
        </a:xfrm>
        <a:prstGeom prst="rect">
          <a:avLst/>
        </a:prstGeom>
      </xdr:spPr>
    </xdr:pic>
    <xdr:clientData/>
  </xdr:twoCellAnchor>
  <xdr:twoCellAnchor>
    <xdr:from>
      <xdr:col>0</xdr:col>
      <xdr:colOff>13415</xdr:colOff>
      <xdr:row>12</xdr:row>
      <xdr:rowOff>0</xdr:rowOff>
    </xdr:from>
    <xdr:to>
      <xdr:col>2</xdr:col>
      <xdr:colOff>415881</xdr:colOff>
      <xdr:row>41</xdr:row>
      <xdr:rowOff>74412</xdr:rowOff>
    </xdr:to>
    <xdr:sp macro="" textlink="">
      <xdr:nvSpPr>
        <xdr:cNvPr id="62" name="Rectangle 61">
          <a:extLst>
            <a:ext uri="{FF2B5EF4-FFF2-40B4-BE49-F238E27FC236}">
              <a16:creationId xmlns:a16="http://schemas.microsoft.com/office/drawing/2014/main" id="{6A1544FC-A010-4728-8831-51AF993B3F34}"/>
            </a:ext>
          </a:extLst>
        </xdr:cNvPr>
        <xdr:cNvSpPr/>
      </xdr:nvSpPr>
      <xdr:spPr>
        <a:xfrm>
          <a:off x="13415" y="2812851"/>
          <a:ext cx="1622857" cy="5759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28298</xdr:colOff>
      <xdr:row>12</xdr:row>
      <xdr:rowOff>0</xdr:rowOff>
    </xdr:from>
    <xdr:to>
      <xdr:col>2</xdr:col>
      <xdr:colOff>417348</xdr:colOff>
      <xdr:row>23</xdr:row>
      <xdr:rowOff>4259</xdr:rowOff>
    </xdr:to>
    <mc:AlternateContent xmlns:mc="http://schemas.openxmlformats.org/markup-compatibility/2006" xmlns:a14="http://schemas.microsoft.com/office/drawing/2010/main">
      <mc:Choice Requires="a14">
        <xdr:graphicFrame macro="">
          <xdr:nvGraphicFramePr>
            <xdr:cNvPr id="42" name="Loan_Type 3">
              <a:extLst>
                <a:ext uri="{FF2B5EF4-FFF2-40B4-BE49-F238E27FC236}">
                  <a16:creationId xmlns:a16="http://schemas.microsoft.com/office/drawing/2014/main" id="{03A4FDDA-305F-48A4-8C45-6224A1E49592}"/>
                </a:ext>
              </a:extLst>
            </xdr:cNvPr>
            <xdr:cNvGraphicFramePr/>
          </xdr:nvGraphicFramePr>
          <xdr:xfrm>
            <a:off x="0" y="0"/>
            <a:ext cx="0" cy="0"/>
          </xdr:xfrm>
          <a:graphic>
            <a:graphicData uri="http://schemas.microsoft.com/office/drawing/2010/slicer">
              <sle:slicer xmlns:sle="http://schemas.microsoft.com/office/drawing/2010/slicer" name="Loan_Type 3"/>
            </a:graphicData>
          </a:graphic>
        </xdr:graphicFrame>
      </mc:Choice>
      <mc:Fallback xmlns="">
        <xdr:sp macro="" textlink="">
          <xdr:nvSpPr>
            <xdr:cNvPr id="0" name=""/>
            <xdr:cNvSpPr>
              <a:spLocks noTextEdit="1"/>
            </xdr:cNvSpPr>
          </xdr:nvSpPr>
          <xdr:spPr>
            <a:xfrm>
              <a:off x="28298" y="2103438"/>
              <a:ext cx="1606133" cy="190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14883</xdr:colOff>
      <xdr:row>23</xdr:row>
      <xdr:rowOff>34907</xdr:rowOff>
    </xdr:from>
    <xdr:to>
      <xdr:col>2</xdr:col>
      <xdr:colOff>403933</xdr:colOff>
      <xdr:row>33</xdr:row>
      <xdr:rowOff>97582</xdr:rowOff>
    </xdr:to>
    <mc:AlternateContent xmlns:mc="http://schemas.openxmlformats.org/markup-compatibility/2006" xmlns:a14="http://schemas.microsoft.com/office/drawing/2010/main">
      <mc:Choice Requires="a14">
        <xdr:graphicFrame macro="">
          <xdr:nvGraphicFramePr>
            <xdr:cNvPr id="49" name="City 2">
              <a:extLst>
                <a:ext uri="{FF2B5EF4-FFF2-40B4-BE49-F238E27FC236}">
                  <a16:creationId xmlns:a16="http://schemas.microsoft.com/office/drawing/2014/main" id="{20B3FF9F-22FE-4DF1-95E9-B50FB684E78A}"/>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4883" y="4210249"/>
              <a:ext cx="1615557" cy="2059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443630</xdr:colOff>
      <xdr:row>44</xdr:row>
      <xdr:rowOff>26096</xdr:rowOff>
    </xdr:from>
    <xdr:to>
      <xdr:col>24</xdr:col>
      <xdr:colOff>300102</xdr:colOff>
      <xdr:row>58</xdr:row>
      <xdr:rowOff>26096</xdr:rowOff>
    </xdr:to>
    <xdr:graphicFrame macro="">
      <xdr:nvGraphicFramePr>
        <xdr:cNvPr id="46" name="Chart 45">
          <a:extLst>
            <a:ext uri="{FF2B5EF4-FFF2-40B4-BE49-F238E27FC236}">
              <a16:creationId xmlns:a16="http://schemas.microsoft.com/office/drawing/2014/main" id="{4257A801-9D52-4E09-84D1-99441910A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247911</xdr:colOff>
      <xdr:row>29</xdr:row>
      <xdr:rowOff>138556</xdr:rowOff>
    </xdr:from>
    <xdr:to>
      <xdr:col>28</xdr:col>
      <xdr:colOff>117431</xdr:colOff>
      <xdr:row>43</xdr:row>
      <xdr:rowOff>143527</xdr:rowOff>
    </xdr:to>
    <xdr:graphicFrame macro="">
      <xdr:nvGraphicFramePr>
        <xdr:cNvPr id="45" name="Chart 44">
          <a:extLst>
            <a:ext uri="{FF2B5EF4-FFF2-40B4-BE49-F238E27FC236}">
              <a16:creationId xmlns:a16="http://schemas.microsoft.com/office/drawing/2014/main" id="{9B1996E4-3D25-4D22-8303-C07D3CBC0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65241</xdr:colOff>
      <xdr:row>29</xdr:row>
      <xdr:rowOff>129958</xdr:rowOff>
    </xdr:from>
    <xdr:to>
      <xdr:col>19</xdr:col>
      <xdr:colOff>208767</xdr:colOff>
      <xdr:row>43</xdr:row>
      <xdr:rowOff>156574</xdr:rowOff>
    </xdr:to>
    <xdr:graphicFrame macro="">
      <xdr:nvGraphicFramePr>
        <xdr:cNvPr id="43" name="Chart 42">
          <a:extLst>
            <a:ext uri="{FF2B5EF4-FFF2-40B4-BE49-F238E27FC236}">
              <a16:creationId xmlns:a16="http://schemas.microsoft.com/office/drawing/2014/main" id="{229C16E3-F900-4B5F-B111-A041183F4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495823</xdr:colOff>
      <xdr:row>44</xdr:row>
      <xdr:rowOff>20555</xdr:rowOff>
    </xdr:from>
    <xdr:to>
      <xdr:col>15</xdr:col>
      <xdr:colOff>339249</xdr:colOff>
      <xdr:row>58</xdr:row>
      <xdr:rowOff>91335</xdr:rowOff>
    </xdr:to>
    <xdr:graphicFrame macro="">
      <xdr:nvGraphicFramePr>
        <xdr:cNvPr id="47" name="Chart 46">
          <a:extLst>
            <a:ext uri="{FF2B5EF4-FFF2-40B4-BE49-F238E27FC236}">
              <a16:creationId xmlns:a16="http://schemas.microsoft.com/office/drawing/2014/main" id="{A28BD3D9-2B9B-4619-95C3-53199686D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208360</xdr:colOff>
      <xdr:row>7</xdr:row>
      <xdr:rowOff>14883</xdr:rowOff>
    </xdr:from>
    <xdr:to>
      <xdr:col>1</xdr:col>
      <xdr:colOff>372072</xdr:colOff>
      <xdr:row>11</xdr:row>
      <xdr:rowOff>14883</xdr:rowOff>
    </xdr:to>
    <xdr:pic>
      <xdr:nvPicPr>
        <xdr:cNvPr id="56" name="Graphic 55" descr="Employee badge">
          <a:extLst>
            <a:ext uri="{FF2B5EF4-FFF2-40B4-BE49-F238E27FC236}">
              <a16:creationId xmlns:a16="http://schemas.microsoft.com/office/drawing/2014/main" id="{39A1EFBF-EDF6-4D97-A057-312CBD6C277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08360" y="1339453"/>
          <a:ext cx="773907" cy="773907"/>
        </a:xfrm>
        <a:prstGeom prst="rect">
          <a:avLst/>
        </a:prstGeom>
      </xdr:spPr>
    </xdr:pic>
    <xdr:clientData/>
  </xdr:twoCellAnchor>
  <xdr:twoCellAnchor editAs="oneCell">
    <xdr:from>
      <xdr:col>5</xdr:col>
      <xdr:colOff>595312</xdr:colOff>
      <xdr:row>7</xdr:row>
      <xdr:rowOff>59532</xdr:rowOff>
    </xdr:from>
    <xdr:to>
      <xdr:col>7</xdr:col>
      <xdr:colOff>163711</xdr:colOff>
      <xdr:row>12</xdr:row>
      <xdr:rowOff>29766</xdr:rowOff>
    </xdr:to>
    <xdr:pic>
      <xdr:nvPicPr>
        <xdr:cNvPr id="61" name="Graphic 60" descr="Gold bars">
          <a:extLst>
            <a:ext uri="{FF2B5EF4-FFF2-40B4-BE49-F238E27FC236}">
              <a16:creationId xmlns:a16="http://schemas.microsoft.com/office/drawing/2014/main" id="{5E48A91D-0BD8-44C3-9C58-03C1A7A23329}"/>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3646289" y="1384102"/>
          <a:ext cx="788789" cy="788789"/>
        </a:xfrm>
        <a:prstGeom prst="rect">
          <a:avLst/>
        </a:prstGeom>
      </xdr:spPr>
    </xdr:pic>
    <xdr:clientData/>
  </xdr:twoCellAnchor>
  <xdr:twoCellAnchor editAs="oneCell">
    <xdr:from>
      <xdr:col>11</xdr:col>
      <xdr:colOff>595313</xdr:colOff>
      <xdr:row>7</xdr:row>
      <xdr:rowOff>59530</xdr:rowOff>
    </xdr:from>
    <xdr:to>
      <xdr:col>13</xdr:col>
      <xdr:colOff>133946</xdr:colOff>
      <xdr:row>11</xdr:row>
      <xdr:rowOff>29765</xdr:rowOff>
    </xdr:to>
    <xdr:pic>
      <xdr:nvPicPr>
        <xdr:cNvPr id="63" name="Graphic 62" descr="Upward trend">
          <a:extLst>
            <a:ext uri="{FF2B5EF4-FFF2-40B4-BE49-F238E27FC236}">
              <a16:creationId xmlns:a16="http://schemas.microsoft.com/office/drawing/2014/main" id="{C9A34DD7-FEDC-40E0-9B08-6CAD670D5FB4}"/>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7307461" y="1384100"/>
          <a:ext cx="759024" cy="759024"/>
        </a:xfrm>
        <a:prstGeom prst="rect">
          <a:avLst/>
        </a:prstGeom>
      </xdr:spPr>
    </xdr:pic>
    <xdr:clientData/>
  </xdr:twoCellAnchor>
  <xdr:twoCellAnchor editAs="oneCell">
    <xdr:from>
      <xdr:col>23</xdr:col>
      <xdr:colOff>44648</xdr:colOff>
      <xdr:row>6</xdr:row>
      <xdr:rowOff>148828</xdr:rowOff>
    </xdr:from>
    <xdr:to>
      <xdr:col>24</xdr:col>
      <xdr:colOff>348852</xdr:colOff>
      <xdr:row>13</xdr:row>
      <xdr:rowOff>6549</xdr:rowOff>
    </xdr:to>
    <xdr:pic>
      <xdr:nvPicPr>
        <xdr:cNvPr id="65" name="Graphic 64" descr="Money">
          <a:extLst>
            <a:ext uri="{FF2B5EF4-FFF2-40B4-BE49-F238E27FC236}">
              <a16:creationId xmlns:a16="http://schemas.microsoft.com/office/drawing/2014/main" id="{09AAAC4D-62CC-471E-ACBC-5A3F9CEEC2D2}"/>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4079140" y="1279922"/>
          <a:ext cx="914400" cy="914400"/>
        </a:xfrm>
        <a:prstGeom prst="rect">
          <a:avLst/>
        </a:prstGeom>
      </xdr:spPr>
    </xdr:pic>
    <xdr:clientData/>
  </xdr:twoCellAnchor>
  <xdr:twoCellAnchor editAs="oneCell">
    <xdr:from>
      <xdr:col>18</xdr:col>
      <xdr:colOff>29764</xdr:colOff>
      <xdr:row>8</xdr:row>
      <xdr:rowOff>44648</xdr:rowOff>
    </xdr:from>
    <xdr:to>
      <xdr:col>19</xdr:col>
      <xdr:colOff>14882</xdr:colOff>
      <xdr:row>12</xdr:row>
      <xdr:rowOff>14883</xdr:rowOff>
    </xdr:to>
    <xdr:pic>
      <xdr:nvPicPr>
        <xdr:cNvPr id="4" name="Graphic 3" descr="Coins">
          <a:extLst>
            <a:ext uri="{FF2B5EF4-FFF2-40B4-BE49-F238E27FC236}">
              <a16:creationId xmlns:a16="http://schemas.microsoft.com/office/drawing/2014/main" id="{091BB11C-B8F6-4F44-BA2B-20904ABD4055}"/>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1013280" y="1562695"/>
          <a:ext cx="595313" cy="595313"/>
        </a:xfrm>
        <a:prstGeom prst="rect">
          <a:avLst/>
        </a:prstGeom>
      </xdr:spPr>
    </xdr:pic>
    <xdr:clientData/>
  </xdr:twoCellAnchor>
  <xdr:twoCellAnchor editAs="oneCell">
    <xdr:from>
      <xdr:col>0</xdr:col>
      <xdr:colOff>0</xdr:colOff>
      <xdr:row>33</xdr:row>
      <xdr:rowOff>117614</xdr:rowOff>
    </xdr:from>
    <xdr:to>
      <xdr:col>2</xdr:col>
      <xdr:colOff>396876</xdr:colOff>
      <xdr:row>41</xdr:row>
      <xdr:rowOff>117612</xdr:rowOff>
    </xdr:to>
    <mc:AlternateContent xmlns:mc="http://schemas.openxmlformats.org/markup-compatibility/2006" xmlns:a14="http://schemas.microsoft.com/office/drawing/2010/main">
      <mc:Choice Requires="a14">
        <xdr:graphicFrame macro="">
          <xdr:nvGraphicFramePr>
            <xdr:cNvPr id="78" name="years 1">
              <a:extLst>
                <a:ext uri="{FF2B5EF4-FFF2-40B4-BE49-F238E27FC236}">
                  <a16:creationId xmlns:a16="http://schemas.microsoft.com/office/drawing/2014/main" id="{C8140FBE-A68A-4AAB-9114-0D2FCBEB613F}"/>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0" y="6289292"/>
              <a:ext cx="1623383" cy="1565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473949</xdr:colOff>
      <xdr:row>11</xdr:row>
      <xdr:rowOff>46211</xdr:rowOff>
    </xdr:from>
    <xdr:to>
      <xdr:col>11</xdr:col>
      <xdr:colOff>548014</xdr:colOff>
      <xdr:row>29</xdr:row>
      <xdr:rowOff>78288</xdr:rowOff>
    </xdr:to>
    <xdr:graphicFrame macro="">
      <xdr:nvGraphicFramePr>
        <xdr:cNvPr id="28" name="Chart 27">
          <a:extLst>
            <a:ext uri="{FF2B5EF4-FFF2-40B4-BE49-F238E27FC236}">
              <a16:creationId xmlns:a16="http://schemas.microsoft.com/office/drawing/2014/main" id="{422E569D-FA55-41A8-A755-5091EEA40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12</xdr:col>
      <xdr:colOff>13048</xdr:colOff>
      <xdr:row>11</xdr:row>
      <xdr:rowOff>37531</xdr:rowOff>
    </xdr:from>
    <xdr:to>
      <xdr:col>19</xdr:col>
      <xdr:colOff>195719</xdr:colOff>
      <xdr:row>29</xdr:row>
      <xdr:rowOff>91335</xdr:rowOff>
    </xdr:to>
    <xdr:graphicFrame macro="">
      <xdr:nvGraphicFramePr>
        <xdr:cNvPr id="41" name="Chart 40">
          <a:extLst>
            <a:ext uri="{FF2B5EF4-FFF2-40B4-BE49-F238E27FC236}">
              <a16:creationId xmlns:a16="http://schemas.microsoft.com/office/drawing/2014/main" id="{6897F690-AF4B-4B01-B2C2-6F2212499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19</xdr:col>
      <xdr:colOff>269627</xdr:colOff>
      <xdr:row>12</xdr:row>
      <xdr:rowOff>2195</xdr:rowOff>
    </xdr:from>
    <xdr:to>
      <xdr:col>28</xdr:col>
      <xdr:colOff>91336</xdr:colOff>
      <xdr:row>29</xdr:row>
      <xdr:rowOff>65240</xdr:rowOff>
    </xdr:to>
    <xdr:graphicFrame macro="">
      <xdr:nvGraphicFramePr>
        <xdr:cNvPr id="24" name="Chart 23">
          <a:extLst>
            <a:ext uri="{FF2B5EF4-FFF2-40B4-BE49-F238E27FC236}">
              <a16:creationId xmlns:a16="http://schemas.microsoft.com/office/drawing/2014/main" id="{E421D4F3-BBA4-4904-9FA3-B650C1D6F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oneCellAnchor>
    <xdr:from>
      <xdr:col>22</xdr:col>
      <xdr:colOff>160622</xdr:colOff>
      <xdr:row>12</xdr:row>
      <xdr:rowOff>13960</xdr:rowOff>
    </xdr:from>
    <xdr:ext cx="2014334" cy="405432"/>
    <xdr:sp macro="" textlink="">
      <xdr:nvSpPr>
        <xdr:cNvPr id="3" name="Rectangle 2">
          <a:extLst>
            <a:ext uri="{FF2B5EF4-FFF2-40B4-BE49-F238E27FC236}">
              <a16:creationId xmlns:a16="http://schemas.microsoft.com/office/drawing/2014/main" id="{23FB24D3-9322-4A7B-BB8C-A67FE0383D7C}"/>
            </a:ext>
          </a:extLst>
        </xdr:cNvPr>
        <xdr:cNvSpPr/>
      </xdr:nvSpPr>
      <xdr:spPr>
        <a:xfrm>
          <a:off x="13652197" y="2179919"/>
          <a:ext cx="2014334" cy="405432"/>
        </a:xfrm>
        <a:prstGeom prst="rect">
          <a:avLst/>
        </a:prstGeom>
        <a:noFill/>
      </xdr:spPr>
      <xdr:txBody>
        <a:bodyPr wrap="none" lIns="91440" tIns="45720" rIns="91440" bIns="45720">
          <a:spAutoFit/>
        </a:bodyPr>
        <a:lstStyle/>
        <a:p>
          <a:pPr algn="ctr"/>
          <a:r>
            <a:rPr lang="en-US" sz="2000" b="1" i="1" cap="none" spc="0">
              <a:ln w="0"/>
              <a:solidFill>
                <a:schemeClr val="tx1"/>
              </a:solidFill>
              <a:effectLst>
                <a:outerShdw blurRad="38100" dist="19050" dir="2700000" algn="tl" rotWithShape="0">
                  <a:schemeClr val="dk1">
                    <a:alpha val="40000"/>
                  </a:schemeClr>
                </a:outerShdw>
              </a:effectLst>
            </a:rPr>
            <a:t>city wise analysis</a:t>
          </a:r>
        </a:p>
      </xdr:txBody>
    </xdr:sp>
    <xdr:clientData/>
  </xdr:oneCellAnchor>
</xdr:wsDr>
</file>

<file path=xl/drawings/drawing5.xml><?xml version="1.0" encoding="utf-8"?>
<c:userShapes xmlns:c="http://schemas.openxmlformats.org/drawingml/2006/chart">
  <cdr:relSizeAnchor xmlns:cdr="http://schemas.openxmlformats.org/drawingml/2006/chartDrawing">
    <cdr:from>
      <cdr:x>0.41651</cdr:x>
      <cdr:y>0</cdr:y>
    </cdr:from>
    <cdr:to>
      <cdr:x>0.89346</cdr:x>
      <cdr:y>0.14933</cdr:y>
    </cdr:to>
    <cdr:sp macro="" textlink="">
      <cdr:nvSpPr>
        <cdr:cNvPr id="2" name="Rectangle 1">
          <a:extLst xmlns:a="http://schemas.openxmlformats.org/drawingml/2006/main">
            <a:ext uri="{FF2B5EF4-FFF2-40B4-BE49-F238E27FC236}">
              <a16:creationId xmlns:a16="http://schemas.microsoft.com/office/drawing/2014/main" id="{3C122549-E862-41D8-8AB2-2420477FC670}"/>
            </a:ext>
          </a:extLst>
        </cdr:cNvPr>
        <cdr:cNvSpPr/>
      </cdr:nvSpPr>
      <cdr:spPr>
        <a:xfrm xmlns:a="http://schemas.openxmlformats.org/drawingml/2006/main">
          <a:off x="2349326" y="0"/>
          <a:ext cx="2690225" cy="40543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2000" b="1" i="1" cap="none" spc="0">
              <a:ln w="0"/>
              <a:solidFill>
                <a:schemeClr val="tx1"/>
              </a:solidFill>
              <a:effectLst>
                <a:outerShdw blurRad="38100" dist="19050" dir="2700000" algn="tl" rotWithShape="0">
                  <a:schemeClr val="dk1">
                    <a:alpha val="40000"/>
                  </a:schemeClr>
                </a:outerShdw>
              </a:effectLst>
            </a:rPr>
            <a:t>Average Income by City</a:t>
          </a:r>
        </a:p>
      </cdr:txBody>
    </cdr:sp>
  </cdr:relSizeAnchor>
</c:userShapes>
</file>

<file path=xl/drawings/drawing6.xml><?xml version="1.0" encoding="utf-8"?>
<c:userShapes xmlns:c="http://schemas.openxmlformats.org/drawingml/2006/chart">
  <cdr:relSizeAnchor xmlns:cdr="http://schemas.openxmlformats.org/drawingml/2006/chartDrawing">
    <cdr:from>
      <cdr:x>0.30835</cdr:x>
      <cdr:y>0</cdr:y>
    </cdr:from>
    <cdr:to>
      <cdr:x>0.83727</cdr:x>
      <cdr:y>0.14796</cdr:y>
    </cdr:to>
    <cdr:sp macro="" textlink="">
      <cdr:nvSpPr>
        <cdr:cNvPr id="2" name="Rectangle 1">
          <a:extLst xmlns:a="http://schemas.openxmlformats.org/drawingml/2006/main">
            <a:ext uri="{FF2B5EF4-FFF2-40B4-BE49-F238E27FC236}">
              <a16:creationId xmlns:a16="http://schemas.microsoft.com/office/drawing/2014/main" id="{DC2CDD90-5AA2-41B6-9758-5457FEBEDA34}"/>
            </a:ext>
          </a:extLst>
        </cdr:cNvPr>
        <cdr:cNvSpPr/>
      </cdr:nvSpPr>
      <cdr:spPr>
        <a:xfrm xmlns:a="http://schemas.openxmlformats.org/drawingml/2006/main">
          <a:off x="1657640" y="0"/>
          <a:ext cx="2843343" cy="40543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2000" b="1" i="1" cap="none" spc="0">
              <a:ln w="0"/>
              <a:solidFill>
                <a:schemeClr val="tx1"/>
              </a:solidFill>
              <a:effectLst>
                <a:outerShdw blurRad="38100" dist="19050" dir="2700000" algn="tl" rotWithShape="0">
                  <a:schemeClr val="dk1">
                    <a:alpha val="40000"/>
                  </a:schemeClr>
                </a:outerShdw>
              </a:effectLst>
            </a:rPr>
            <a:t>Total Profit by Loan Type</a:t>
          </a:r>
        </a:p>
      </cdr:txBody>
    </cdr:sp>
  </cdr:relSizeAnchor>
</c:userShapes>
</file>

<file path=xl/drawings/drawing7.xml><?xml version="1.0" encoding="utf-8"?>
<c:userShapes xmlns:c="http://schemas.openxmlformats.org/drawingml/2006/chart">
  <cdr:relSizeAnchor xmlns:cdr="http://schemas.openxmlformats.org/drawingml/2006/chartDrawing">
    <cdr:from>
      <cdr:x>0.19625</cdr:x>
      <cdr:y>0</cdr:y>
    </cdr:from>
    <cdr:to>
      <cdr:x>0.94418</cdr:x>
      <cdr:y>0.1477</cdr:y>
    </cdr:to>
    <cdr:sp macro="" textlink="">
      <cdr:nvSpPr>
        <cdr:cNvPr id="2" name="Rectangle 1">
          <a:extLst xmlns:a="http://schemas.openxmlformats.org/drawingml/2006/main">
            <a:ext uri="{FF2B5EF4-FFF2-40B4-BE49-F238E27FC236}">
              <a16:creationId xmlns:a16="http://schemas.microsoft.com/office/drawing/2014/main" id="{FB608F39-764B-4B0A-A20C-ACE743B6C657}"/>
            </a:ext>
          </a:extLst>
        </cdr:cNvPr>
        <cdr:cNvSpPr/>
      </cdr:nvSpPr>
      <cdr:spPr>
        <a:xfrm xmlns:a="http://schemas.openxmlformats.org/drawingml/2006/main">
          <a:off x="1057555" y="0"/>
          <a:ext cx="4030463" cy="40543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2000" b="1" i="1" cap="none" spc="0">
              <a:ln w="0"/>
              <a:solidFill>
                <a:schemeClr val="tx1"/>
              </a:solidFill>
              <a:effectLst>
                <a:outerShdw blurRad="38100" dist="19050" dir="2700000" algn="tl" rotWithShape="0">
                  <a:schemeClr val="dk1">
                    <a:alpha val="40000"/>
                  </a:schemeClr>
                </a:outerShdw>
              </a:effectLst>
            </a:rPr>
            <a:t>City Wise Good vs Bad Loan analysis</a:t>
          </a:r>
        </a:p>
      </cdr:txBody>
    </cdr:sp>
  </cdr:relSizeAnchor>
</c:userShapes>
</file>

<file path=xl/drawings/drawing8.xml><?xml version="1.0" encoding="utf-8"?>
<c:userShapes xmlns:c="http://schemas.openxmlformats.org/drawingml/2006/chart">
  <cdr:relSizeAnchor xmlns:cdr="http://schemas.openxmlformats.org/drawingml/2006/chartDrawing">
    <cdr:from>
      <cdr:x>0.29685</cdr:x>
      <cdr:y>0.00472</cdr:y>
    </cdr:from>
    <cdr:to>
      <cdr:x>0.92668</cdr:x>
      <cdr:y>0.15126</cdr:y>
    </cdr:to>
    <cdr:sp macro="" textlink="">
      <cdr:nvSpPr>
        <cdr:cNvPr id="2" name="Rectangle 1">
          <a:extLst xmlns:a="http://schemas.openxmlformats.org/drawingml/2006/main">
            <a:ext uri="{FF2B5EF4-FFF2-40B4-BE49-F238E27FC236}">
              <a16:creationId xmlns:a16="http://schemas.microsoft.com/office/drawing/2014/main" id="{59CD0913-BB7D-4543-AA91-A879080FEC38}"/>
            </a:ext>
          </a:extLst>
        </cdr:cNvPr>
        <cdr:cNvSpPr/>
      </cdr:nvSpPr>
      <cdr:spPr>
        <a:xfrm xmlns:a="http://schemas.openxmlformats.org/drawingml/2006/main">
          <a:off x="1316920" y="13048"/>
          <a:ext cx="2794098" cy="40543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2000" b="1" i="1" cap="none" spc="0">
              <a:ln w="0"/>
              <a:solidFill>
                <a:schemeClr val="tx1"/>
              </a:solidFill>
              <a:effectLst>
                <a:outerShdw blurRad="38100" dist="19050" dir="2700000" algn="tl" rotWithShape="0">
                  <a:schemeClr val="dk1">
                    <a:alpha val="40000"/>
                  </a:schemeClr>
                </a:outerShdw>
              </a:effectLst>
            </a:rPr>
            <a:t>Default Risk Distribution</a:t>
          </a:r>
        </a:p>
      </cdr:txBody>
    </cdr:sp>
  </cdr:relSizeAnchor>
</c:userShapes>
</file>

<file path=xl/drawings/drawing9.xml><?xml version="1.0" encoding="utf-8"?>
<c:userShapes xmlns:c="http://schemas.openxmlformats.org/drawingml/2006/chart">
  <cdr:relSizeAnchor xmlns:cdr="http://schemas.openxmlformats.org/drawingml/2006/chartDrawing">
    <cdr:from>
      <cdr:x>0.32254</cdr:x>
      <cdr:y>0.00609</cdr:y>
    </cdr:from>
    <cdr:to>
      <cdr:x>0.97817</cdr:x>
      <cdr:y>0.13094</cdr:y>
    </cdr:to>
    <cdr:sp macro="" textlink="">
      <cdr:nvSpPr>
        <cdr:cNvPr id="2" name="Rectangle 1">
          <a:extLst xmlns:a="http://schemas.openxmlformats.org/drawingml/2006/main">
            <a:ext uri="{FF2B5EF4-FFF2-40B4-BE49-F238E27FC236}">
              <a16:creationId xmlns:a16="http://schemas.microsoft.com/office/drawing/2014/main" id="{08C14CC7-969C-4B52-B019-30A64331B447}"/>
            </a:ext>
          </a:extLst>
        </cdr:cNvPr>
        <cdr:cNvSpPr/>
      </cdr:nvSpPr>
      <cdr:spPr>
        <a:xfrm xmlns:a="http://schemas.openxmlformats.org/drawingml/2006/main">
          <a:off x="1446720" y="16730"/>
          <a:ext cx="2940805" cy="342786"/>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1600" b="1" i="1" cap="none" spc="0">
              <a:ln w="0"/>
              <a:solidFill>
                <a:schemeClr val="tx1"/>
              </a:solidFill>
              <a:effectLst>
                <a:outerShdw blurRad="38100" dist="19050" dir="2700000" algn="tl" rotWithShape="0">
                  <a:schemeClr val="dk1">
                    <a:alpha val="40000"/>
                  </a:schemeClr>
                </a:outerShdw>
              </a:effectLst>
            </a:rPr>
            <a:t>Total Amount Paid by Loan Type</a:t>
          </a:r>
        </a:p>
      </cdr:txBody>
    </cdr:sp>
  </cdr:relSizeAnchor>
</c:userShapes>
</file>

<file path=xl/drawings/drawing10.xml><?xml version="1.0" encoding="utf-8"?>
<c:userShapes xmlns:c="http://schemas.openxmlformats.org/drawingml/2006/chart">
  <cdr:relSizeAnchor xmlns:cdr="http://schemas.openxmlformats.org/drawingml/2006/chartDrawing">
    <cdr:from>
      <cdr:x>0.32343</cdr:x>
      <cdr:y>0.01499</cdr:y>
    </cdr:from>
    <cdr:to>
      <cdr:x>0.75122</cdr:x>
      <cdr:y>0.13035</cdr:y>
    </cdr:to>
    <cdr:sp macro="" textlink="">
      <cdr:nvSpPr>
        <cdr:cNvPr id="2" name="Rectangle 1">
          <a:extLst xmlns:a="http://schemas.openxmlformats.org/drawingml/2006/main">
            <a:ext uri="{FF2B5EF4-FFF2-40B4-BE49-F238E27FC236}">
              <a16:creationId xmlns:a16="http://schemas.microsoft.com/office/drawing/2014/main" id="{239D12E4-2DF6-4AC8-899A-8A5C7F56B375}"/>
            </a:ext>
          </a:extLst>
        </cdr:cNvPr>
        <cdr:cNvSpPr/>
      </cdr:nvSpPr>
      <cdr:spPr>
        <a:xfrm xmlns:a="http://schemas.openxmlformats.org/drawingml/2006/main">
          <a:off x="1806347" y="48618"/>
          <a:ext cx="2389180" cy="3741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1800" b="1" i="1" cap="none" spc="0">
              <a:ln w="0"/>
              <a:solidFill>
                <a:schemeClr val="tx1"/>
              </a:solidFill>
              <a:effectLst>
                <a:outerShdw blurRad="38100" dist="19050" dir="2700000" algn="tl" rotWithShape="0">
                  <a:schemeClr val="dk1">
                    <a:alpha val="40000"/>
                  </a:schemeClr>
                </a:outerShdw>
              </a:effectLst>
            </a:rPr>
            <a:t>loan type wise analysis</a:t>
          </a:r>
        </a:p>
      </cdr:txBody>
    </cdr:sp>
  </cdr:relSizeAnchor>
</c:userShapes>
</file>

<file path=xl/drawings/drawing11.xml><?xml version="1.0" encoding="utf-8"?>
<c:userShapes xmlns:c="http://schemas.openxmlformats.org/drawingml/2006/chart">
  <cdr:relSizeAnchor xmlns:cdr="http://schemas.openxmlformats.org/drawingml/2006/chartDrawing">
    <cdr:from>
      <cdr:x>0.20527</cdr:x>
      <cdr:y>0.0064</cdr:y>
    </cdr:from>
    <cdr:to>
      <cdr:x>0.98132</cdr:x>
      <cdr:y>0.11879</cdr:y>
    </cdr:to>
    <cdr:sp macro="" textlink="">
      <cdr:nvSpPr>
        <cdr:cNvPr id="2" name="Rectangle 1">
          <a:extLst xmlns:a="http://schemas.openxmlformats.org/drawingml/2006/main">
            <a:ext uri="{FF2B5EF4-FFF2-40B4-BE49-F238E27FC236}">
              <a16:creationId xmlns:a16="http://schemas.microsoft.com/office/drawing/2014/main" id="{39C51B64-5083-439C-8A75-32E2F88ADC12}"/>
            </a:ext>
          </a:extLst>
        </cdr:cNvPr>
        <cdr:cNvSpPr/>
      </cdr:nvSpPr>
      <cdr:spPr>
        <a:xfrm xmlns:a="http://schemas.openxmlformats.org/drawingml/2006/main">
          <a:off x="918656" y="21289"/>
          <a:ext cx="3473195" cy="3741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1800" b="1" i="1" cap="none" spc="0">
              <a:ln w="0"/>
              <a:solidFill>
                <a:schemeClr val="tx1"/>
              </a:solidFill>
              <a:effectLst>
                <a:outerShdw blurRad="38100" dist="19050" dir="2700000" algn="tl" rotWithShape="0">
                  <a:schemeClr val="dk1">
                    <a:alpha val="40000"/>
                  </a:schemeClr>
                </a:outerShdw>
              </a:effectLst>
            </a:rPr>
            <a:t>Repayment Status wise customers</a:t>
          </a:r>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504824</xdr:colOff>
      <xdr:row>56</xdr:row>
      <xdr:rowOff>8552</xdr:rowOff>
    </xdr:to>
    <xdr:pic>
      <xdr:nvPicPr>
        <xdr:cNvPr id="4" name="Picture 3">
          <a:extLst>
            <a:ext uri="{FF2B5EF4-FFF2-40B4-BE49-F238E27FC236}">
              <a16:creationId xmlns:a16="http://schemas.microsoft.com/office/drawing/2014/main" id="{B0C32DE3-E707-4045-A7E0-946E6B185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15744824" cy="10676552"/>
        </a:xfrm>
        <a:prstGeom prst="rect">
          <a:avLst/>
        </a:prstGeom>
      </xdr:spPr>
    </xdr:pic>
    <xdr:clientData/>
  </xdr:twoCellAnchor>
  <xdr:twoCellAnchor>
    <xdr:from>
      <xdr:col>0</xdr:col>
      <xdr:colOff>299041</xdr:colOff>
      <xdr:row>3</xdr:row>
      <xdr:rowOff>24144</xdr:rowOff>
    </xdr:from>
    <xdr:to>
      <xdr:col>8</xdr:col>
      <xdr:colOff>121831</xdr:colOff>
      <xdr:row>19</xdr:row>
      <xdr:rowOff>0</xdr:rowOff>
    </xdr:to>
    <xdr:sp macro="" textlink="">
      <xdr:nvSpPr>
        <xdr:cNvPr id="2" name="Rectangle: Rounded Corners 1">
          <a:extLst>
            <a:ext uri="{FF2B5EF4-FFF2-40B4-BE49-F238E27FC236}">
              <a16:creationId xmlns:a16="http://schemas.microsoft.com/office/drawing/2014/main" id="{A1820792-A7B9-40D0-ADE9-6A6579C05126}"/>
            </a:ext>
          </a:extLst>
        </xdr:cNvPr>
        <xdr:cNvSpPr/>
      </xdr:nvSpPr>
      <xdr:spPr>
        <a:xfrm>
          <a:off x="299041" y="588999"/>
          <a:ext cx="4696046" cy="2988414"/>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0</xdr:col>
      <xdr:colOff>446883</xdr:colOff>
      <xdr:row>5</xdr:row>
      <xdr:rowOff>99695</xdr:rowOff>
    </xdr:from>
    <xdr:ext cx="4580613" cy="2192951"/>
    <xdr:sp macro="" textlink="">
      <xdr:nvSpPr>
        <xdr:cNvPr id="7" name="Rectangle 6">
          <a:extLst>
            <a:ext uri="{FF2B5EF4-FFF2-40B4-BE49-F238E27FC236}">
              <a16:creationId xmlns:a16="http://schemas.microsoft.com/office/drawing/2014/main" id="{0D0D1A81-EC19-4500-9E7A-B263C65340DD}"/>
            </a:ext>
          </a:extLst>
        </xdr:cNvPr>
        <xdr:cNvSpPr/>
      </xdr:nvSpPr>
      <xdr:spPr>
        <a:xfrm>
          <a:off x="446883" y="1041119"/>
          <a:ext cx="4580613" cy="2192951"/>
        </a:xfrm>
        <a:prstGeom prst="rect">
          <a:avLst/>
        </a:prstGeom>
        <a:noFill/>
      </xdr:spPr>
      <xdr:txBody>
        <a:bodyPr wrap="none" lIns="91440" tIns="45720" rIns="91440" bIns="45720">
          <a:noAutofit/>
        </a:bodyPr>
        <a:lstStyle/>
        <a:p>
          <a:pPr algn="ctr"/>
          <a:r>
            <a:rPr lang="en-US" sz="2000" b="1" i="1">
              <a:effectLst/>
              <a:latin typeface="Arial Rounded MT Bold" panose="020F0704030504030204" pitchFamily="34" charset="0"/>
              <a:ea typeface="+mn-ea"/>
              <a:cs typeface="+mn-cs"/>
            </a:rPr>
            <a:t>Business Insights</a:t>
          </a:r>
        </a:p>
        <a:p>
          <a:pPr algn="ctr"/>
          <a:endParaRPr lang="en-US" sz="1000" b="1" i="1">
            <a:effectLst/>
            <a:latin typeface="Arial Rounded MT Bold" panose="020F0704030504030204" pitchFamily="34" charset="0"/>
          </a:endParaRPr>
        </a:p>
        <a:p>
          <a:r>
            <a:rPr lang="en-US" sz="1600">
              <a:solidFill>
                <a:schemeClr val="bg1"/>
              </a:solidFill>
              <a:effectLst/>
              <a:latin typeface="+mn-lt"/>
              <a:ea typeface="+mn-ea"/>
              <a:cs typeface="+mn-cs"/>
            </a:rPr>
            <a:t>From this dashboard we can easily identify:</a:t>
          </a:r>
          <a:endParaRPr lang="en-US" sz="7200">
            <a:solidFill>
              <a:schemeClr val="bg1"/>
            </a:solidFill>
            <a:effectLst/>
            <a:latin typeface="+mn-lt"/>
          </a:endParaRPr>
        </a:p>
        <a:p>
          <a:r>
            <a:rPr lang="en-US" sz="1600">
              <a:solidFill>
                <a:schemeClr val="bg1"/>
              </a:solidFill>
              <a:effectLst/>
              <a:latin typeface="+mn-lt"/>
              <a:ea typeface="+mn-ea"/>
              <a:cs typeface="+mn-cs"/>
            </a:rPr>
            <a:t>Which loan category performs best. </a:t>
          </a:r>
          <a:endParaRPr lang="en-US" sz="7200">
            <a:solidFill>
              <a:schemeClr val="bg1"/>
            </a:solidFill>
            <a:effectLst/>
            <a:latin typeface="+mn-lt"/>
          </a:endParaRPr>
        </a:p>
        <a:p>
          <a:r>
            <a:rPr lang="en-US" sz="1600">
              <a:solidFill>
                <a:schemeClr val="bg1"/>
              </a:solidFill>
              <a:effectLst/>
              <a:latin typeface="+mn-lt"/>
              <a:ea typeface="+mn-ea"/>
              <a:cs typeface="+mn-cs"/>
            </a:rPr>
            <a:t>Which customers repay loans on time.  </a:t>
          </a:r>
          <a:endParaRPr lang="en-US" sz="7200">
            <a:solidFill>
              <a:schemeClr val="bg1"/>
            </a:solidFill>
            <a:effectLst/>
            <a:latin typeface="+mn-lt"/>
          </a:endParaRPr>
        </a:p>
        <a:p>
          <a:r>
            <a:rPr lang="en-US" sz="1600">
              <a:solidFill>
                <a:schemeClr val="bg1"/>
              </a:solidFill>
              <a:effectLst/>
              <a:latin typeface="+mn-lt"/>
              <a:ea typeface="+mn-ea"/>
              <a:cs typeface="+mn-cs"/>
            </a:rPr>
            <a:t>Which state contributes the highest business. </a:t>
          </a:r>
          <a:endParaRPr lang="en-US" sz="7200">
            <a:solidFill>
              <a:schemeClr val="bg1"/>
            </a:solidFill>
            <a:effectLst/>
            <a:latin typeface="+mn-lt"/>
          </a:endParaRPr>
        </a:p>
        <a:p>
          <a:r>
            <a:rPr lang="en-US" sz="1600">
              <a:solidFill>
                <a:schemeClr val="bg1"/>
              </a:solidFill>
              <a:effectLst/>
              <a:latin typeface="+mn-lt"/>
              <a:ea typeface="+mn-ea"/>
              <a:cs typeface="+mn-cs"/>
            </a:rPr>
            <a:t>Which customer group should be targeted in future. </a:t>
          </a:r>
          <a:endParaRPr lang="en-US" sz="7200">
            <a:solidFill>
              <a:schemeClr val="bg1"/>
            </a:solidFill>
            <a:effectLst/>
            <a:latin typeface="+mn-lt"/>
          </a:endParaRPr>
        </a:p>
        <a:p>
          <a:endParaRPr lang="en-US" sz="7200" b="0" cap="none" spc="0">
            <a:ln w="0"/>
            <a:solidFill>
              <a:schemeClr val="bg1"/>
            </a:solidFill>
            <a:effectLst>
              <a:outerShdw blurRad="38100" dist="19050" dir="2700000" algn="tl" rotWithShape="0">
                <a:schemeClr val="dk1">
                  <a:alpha val="40000"/>
                </a:schemeClr>
              </a:outerShdw>
            </a:effectLst>
            <a:latin typeface="+mn-lt"/>
          </a:endParaRPr>
        </a:p>
      </xdr:txBody>
    </xdr:sp>
    <xdr:clientData/>
  </xdr:oneCellAnchor>
  <xdr:twoCellAnchor>
    <xdr:from>
      <xdr:col>8</xdr:col>
      <xdr:colOff>310116</xdr:colOff>
      <xdr:row>4</xdr:row>
      <xdr:rowOff>66453</xdr:rowOff>
    </xdr:from>
    <xdr:to>
      <xdr:col>24</xdr:col>
      <xdr:colOff>88605</xdr:colOff>
      <xdr:row>17</xdr:row>
      <xdr:rowOff>44302</xdr:rowOff>
    </xdr:to>
    <xdr:sp macro="" textlink="">
      <xdr:nvSpPr>
        <xdr:cNvPr id="12" name="Rectangle: Rounded Corners 11">
          <a:extLst>
            <a:ext uri="{FF2B5EF4-FFF2-40B4-BE49-F238E27FC236}">
              <a16:creationId xmlns:a16="http://schemas.microsoft.com/office/drawing/2014/main" id="{2FAC6999-AF79-4637-BFC1-99ED60732D13}"/>
            </a:ext>
          </a:extLst>
        </xdr:cNvPr>
        <xdr:cNvSpPr/>
      </xdr:nvSpPr>
      <xdr:spPr>
        <a:xfrm>
          <a:off x="5183372" y="819593"/>
          <a:ext cx="9525000" cy="2425552"/>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8</xdr:col>
      <xdr:colOff>370340</xdr:colOff>
      <xdr:row>5</xdr:row>
      <xdr:rowOff>129267</xdr:rowOff>
    </xdr:from>
    <xdr:ext cx="9515297" cy="1732269"/>
    <xdr:sp macro="" textlink="">
      <xdr:nvSpPr>
        <xdr:cNvPr id="8" name="Rectangle 7">
          <a:extLst>
            <a:ext uri="{FF2B5EF4-FFF2-40B4-BE49-F238E27FC236}">
              <a16:creationId xmlns:a16="http://schemas.microsoft.com/office/drawing/2014/main" id="{4966E2F2-3511-4FAB-A527-D1DA8E288064}"/>
            </a:ext>
          </a:extLst>
        </xdr:cNvPr>
        <xdr:cNvSpPr/>
      </xdr:nvSpPr>
      <xdr:spPr>
        <a:xfrm>
          <a:off x="5243596" y="1070691"/>
          <a:ext cx="9515297" cy="1732269"/>
        </a:xfrm>
        <a:prstGeom prst="rect">
          <a:avLst/>
        </a:prstGeom>
        <a:noFill/>
      </xdr:spPr>
      <xdr:txBody>
        <a:bodyPr wrap="none" lIns="91440" tIns="45720" rIns="91440" bIns="45720">
          <a:spAutoFit/>
        </a:bodyPr>
        <a:lstStyle/>
        <a:p>
          <a:pPr algn="ctr"/>
          <a:r>
            <a:rPr lang="en-US" sz="2400" b="1" i="1">
              <a:latin typeface="Arial Rounded MT Bold" panose="020F0704030504030204" pitchFamily="34" charset="0"/>
            </a:rPr>
            <a:t>Business Problems</a:t>
          </a:r>
        </a:p>
        <a:p>
          <a:pPr algn="l"/>
          <a:r>
            <a:rPr lang="en-US" sz="1800">
              <a:solidFill>
                <a:schemeClr val="bg1"/>
              </a:solidFill>
            </a:rPr>
            <a:t>Q1)</a:t>
          </a:r>
          <a:r>
            <a:rPr lang="en-US" sz="1800" baseline="0">
              <a:solidFill>
                <a:schemeClr val="bg1"/>
              </a:solidFill>
            </a:rPr>
            <a:t> </a:t>
          </a:r>
          <a:r>
            <a:rPr lang="en-US" sz="1800">
              <a:solidFill>
                <a:schemeClr val="bg1"/>
              </a:solidFill>
            </a:rPr>
            <a:t>The bank cannot easily identify which customers are low risk and which are high risk</a:t>
          </a:r>
          <a:r>
            <a:rPr lang="en-US" sz="2800">
              <a:solidFill>
                <a:schemeClr val="bg1"/>
              </a:solidFill>
            </a:rPr>
            <a:t>.</a:t>
          </a:r>
        </a:p>
        <a:p>
          <a:pPr algn="l"/>
          <a:r>
            <a:rPr lang="en-US" sz="1800">
              <a:solidFill>
                <a:schemeClr val="bg1"/>
              </a:solidFill>
              <a:effectLst/>
              <a:latin typeface="+mn-lt"/>
              <a:ea typeface="+mn-ea"/>
              <a:cs typeface="+mn-cs"/>
            </a:rPr>
            <a:t>Q2) Management doesn't know </a:t>
          </a:r>
          <a:r>
            <a:rPr lang="en-US" sz="1800">
              <a:solidFill>
                <a:schemeClr val="bg1"/>
              </a:solidFill>
            </a:rPr>
            <a:t>Which cities have the highest bad loan risk?</a:t>
          </a:r>
        </a:p>
        <a:p>
          <a:pPr algn="l"/>
          <a:r>
            <a:rPr lang="en-US" sz="1800">
              <a:solidFill>
                <a:schemeClr val="bg1"/>
              </a:solidFill>
              <a:effectLst/>
              <a:latin typeface="+mn-lt"/>
              <a:ea typeface="+mn-ea"/>
              <a:cs typeface="+mn-cs"/>
            </a:rPr>
            <a:t>Q3) Management doesn't know </a:t>
          </a:r>
          <a:r>
            <a:rPr lang="en-US" sz="1800">
              <a:solidFill>
                <a:schemeClr val="bg1"/>
              </a:solidFill>
            </a:rPr>
            <a:t>Which loan type generates the highest EMI collection for the bank?</a:t>
          </a:r>
        </a:p>
        <a:p>
          <a:pPr algn="l"/>
          <a:r>
            <a:rPr lang="en-US" sz="1800" b="0" cap="none" spc="0">
              <a:ln w="0"/>
              <a:solidFill>
                <a:schemeClr val="bg1"/>
              </a:solidFill>
              <a:effectLst>
                <a:outerShdw blurRad="38100" dist="19050" dir="2700000" algn="tl" rotWithShape="0">
                  <a:schemeClr val="dk1">
                    <a:alpha val="40000"/>
                  </a:schemeClr>
                </a:outerShdw>
              </a:effectLst>
            </a:rPr>
            <a:t>Q4) </a:t>
          </a:r>
          <a:r>
            <a:rPr lang="en-US" sz="1800">
              <a:solidFill>
                <a:schemeClr val="bg1"/>
              </a:solidFill>
              <a:effectLst/>
              <a:latin typeface="+mn-lt"/>
              <a:ea typeface="+mn-ea"/>
              <a:cs typeface="+mn-cs"/>
            </a:rPr>
            <a:t>Management doesn't know Which loan type generates the highest profit.</a:t>
          </a:r>
          <a:endParaRPr lang="en-US" sz="18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0</xdr:col>
      <xdr:colOff>243664</xdr:colOff>
      <xdr:row>20</xdr:row>
      <xdr:rowOff>177208</xdr:rowOff>
    </xdr:from>
    <xdr:to>
      <xdr:col>8</xdr:col>
      <xdr:colOff>66454</xdr:colOff>
      <xdr:row>36</xdr:row>
      <xdr:rowOff>153064</xdr:rowOff>
    </xdr:to>
    <xdr:sp macro="" textlink="">
      <xdr:nvSpPr>
        <xdr:cNvPr id="14" name="Rectangle: Rounded Corners 13">
          <a:extLst>
            <a:ext uri="{FF2B5EF4-FFF2-40B4-BE49-F238E27FC236}">
              <a16:creationId xmlns:a16="http://schemas.microsoft.com/office/drawing/2014/main" id="{9BD2CC26-80DD-492C-995D-1F871E087B12}"/>
            </a:ext>
          </a:extLst>
        </xdr:cNvPr>
        <xdr:cNvSpPr/>
      </xdr:nvSpPr>
      <xdr:spPr>
        <a:xfrm>
          <a:off x="243664" y="3942906"/>
          <a:ext cx="4696046" cy="2988414"/>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1</xdr:col>
      <xdr:colOff>123138</xdr:colOff>
      <xdr:row>21</xdr:row>
      <xdr:rowOff>84963</xdr:rowOff>
    </xdr:from>
    <xdr:ext cx="4058996" cy="2850717"/>
    <xdr:sp macro="" textlink="">
      <xdr:nvSpPr>
        <xdr:cNvPr id="9" name="Rectangle 8">
          <a:extLst>
            <a:ext uri="{FF2B5EF4-FFF2-40B4-BE49-F238E27FC236}">
              <a16:creationId xmlns:a16="http://schemas.microsoft.com/office/drawing/2014/main" id="{2F055153-A874-4487-ACC5-7C3B1B461114}"/>
            </a:ext>
          </a:extLst>
        </xdr:cNvPr>
        <xdr:cNvSpPr/>
      </xdr:nvSpPr>
      <xdr:spPr>
        <a:xfrm>
          <a:off x="732295" y="4038946"/>
          <a:ext cx="4058996" cy="2850717"/>
        </a:xfrm>
        <a:prstGeom prst="rect">
          <a:avLst/>
        </a:prstGeom>
        <a:noFill/>
      </xdr:spPr>
      <xdr:txBody>
        <a:bodyPr wrap="none" lIns="91440" tIns="45720" rIns="91440" bIns="45720">
          <a:spAutoFit/>
        </a:bodyPr>
        <a:lstStyle/>
        <a:p>
          <a:pPr algn="ctr"/>
          <a:r>
            <a:rPr lang="en-US" sz="2000" b="1" i="1">
              <a:latin typeface="Arial Rounded MT Bold" panose="020F0704030504030204" pitchFamily="34" charset="0"/>
            </a:rPr>
            <a:t>Business Benefits</a:t>
          </a:r>
        </a:p>
        <a:p>
          <a:pPr algn="l"/>
          <a:r>
            <a:rPr lang="en-US" sz="1800">
              <a:solidFill>
                <a:schemeClr val="bg1"/>
              </a:solidFill>
            </a:rPr>
            <a:t>The bank can use this dashboard to:</a:t>
          </a:r>
        </a:p>
        <a:p>
          <a:pPr algn="l"/>
          <a:r>
            <a:rPr lang="en-US" sz="1800">
              <a:solidFill>
                <a:schemeClr val="bg1"/>
              </a:solidFill>
            </a:rPr>
            <a:t>✔ Improve loan approval strategy.</a:t>
          </a:r>
        </a:p>
        <a:p>
          <a:pPr algn="l"/>
          <a:r>
            <a:rPr lang="en-US" sz="1800">
              <a:solidFill>
                <a:schemeClr val="bg1"/>
              </a:solidFill>
            </a:rPr>
            <a:t>✔ Reduce loan defaults.</a:t>
          </a:r>
        </a:p>
        <a:p>
          <a:pPr algn="l"/>
          <a:r>
            <a:rPr lang="en-US" sz="1800">
              <a:solidFill>
                <a:schemeClr val="bg1"/>
              </a:solidFill>
            </a:rPr>
            <a:t>✔ Increase profit.</a:t>
          </a:r>
        </a:p>
        <a:p>
          <a:pPr algn="l"/>
          <a:r>
            <a:rPr lang="en-US" sz="1800">
              <a:solidFill>
                <a:schemeClr val="bg1"/>
              </a:solidFill>
            </a:rPr>
            <a:t>✔ Improve customer targeting.</a:t>
          </a:r>
        </a:p>
        <a:p>
          <a:pPr algn="l"/>
          <a:r>
            <a:rPr lang="en-US" sz="1800">
              <a:solidFill>
                <a:schemeClr val="bg1"/>
              </a:solidFill>
            </a:rPr>
            <a:t>✔ Save reporting time.</a:t>
          </a:r>
        </a:p>
        <a:p>
          <a:pPr algn="l"/>
          <a:r>
            <a:rPr lang="en-US" sz="1800">
              <a:solidFill>
                <a:schemeClr val="bg1"/>
              </a:solidFill>
            </a:rPr>
            <a:t>✔ Support data-driven decision making.</a:t>
          </a:r>
        </a:p>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8</xdr:col>
      <xdr:colOff>343343</xdr:colOff>
      <xdr:row>21</xdr:row>
      <xdr:rowOff>110755</xdr:rowOff>
    </xdr:from>
    <xdr:to>
      <xdr:col>24</xdr:col>
      <xdr:colOff>121832</xdr:colOff>
      <xdr:row>34</xdr:row>
      <xdr:rowOff>88604</xdr:rowOff>
    </xdr:to>
    <xdr:sp macro="" textlink="">
      <xdr:nvSpPr>
        <xdr:cNvPr id="16" name="Rectangle: Rounded Corners 15">
          <a:extLst>
            <a:ext uri="{FF2B5EF4-FFF2-40B4-BE49-F238E27FC236}">
              <a16:creationId xmlns:a16="http://schemas.microsoft.com/office/drawing/2014/main" id="{428AB72E-5F25-46B4-83D0-7794385D329F}"/>
            </a:ext>
          </a:extLst>
        </xdr:cNvPr>
        <xdr:cNvSpPr/>
      </xdr:nvSpPr>
      <xdr:spPr>
        <a:xfrm>
          <a:off x="5216599" y="4064738"/>
          <a:ext cx="9525000" cy="2425552"/>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9</xdr:col>
      <xdr:colOff>7309</xdr:colOff>
      <xdr:row>22</xdr:row>
      <xdr:rowOff>73889</xdr:rowOff>
    </xdr:from>
    <xdr:ext cx="8855373" cy="2267737"/>
    <xdr:sp macro="" textlink="">
      <xdr:nvSpPr>
        <xdr:cNvPr id="13" name="Rectangle 12">
          <a:extLst>
            <a:ext uri="{FF2B5EF4-FFF2-40B4-BE49-F238E27FC236}">
              <a16:creationId xmlns:a16="http://schemas.microsoft.com/office/drawing/2014/main" id="{0AB3E6F0-63D9-4C53-A355-7999C16FE1AD}"/>
            </a:ext>
          </a:extLst>
        </xdr:cNvPr>
        <xdr:cNvSpPr/>
      </xdr:nvSpPr>
      <xdr:spPr>
        <a:xfrm>
          <a:off x="5489722" y="4216156"/>
          <a:ext cx="8855373" cy="2267737"/>
        </a:xfrm>
        <a:prstGeom prst="rect">
          <a:avLst/>
        </a:prstGeom>
        <a:noFill/>
      </xdr:spPr>
      <xdr:txBody>
        <a:bodyPr wrap="none" lIns="91440" tIns="45720" rIns="91440" bIns="45720">
          <a:spAutoFit/>
        </a:bodyPr>
        <a:lstStyle/>
        <a:p>
          <a:pPr algn="ctr"/>
          <a:r>
            <a:rPr lang="en-US" sz="2000" b="1" i="1">
              <a:latin typeface="Arial Rounded MT Bold" panose="020F0704030504030204" pitchFamily="34" charset="0"/>
            </a:rPr>
            <a:t>Conclusion</a:t>
          </a:r>
        </a:p>
        <a:p>
          <a:r>
            <a:rPr lang="en-US" sz="2000">
              <a:solidFill>
                <a:schemeClr val="bg1"/>
              </a:solidFill>
            </a:rPr>
            <a:t>In conclusion,</a:t>
          </a:r>
        </a:p>
        <a:p>
          <a:r>
            <a:rPr lang="en-US" sz="2000">
              <a:solidFill>
                <a:schemeClr val="bg1"/>
              </a:solidFill>
            </a:rPr>
            <a:t>This dashboard converts raw data into meaningful business insights.</a:t>
          </a:r>
        </a:p>
        <a:p>
          <a:r>
            <a:rPr lang="en-US" sz="2000">
              <a:solidFill>
                <a:schemeClr val="bg1"/>
              </a:solidFill>
            </a:rPr>
            <a:t>Instead of reading thousands of rows manually,</a:t>
          </a:r>
        </a:p>
        <a:p>
          <a:r>
            <a:rPr lang="en-US" sz="2000">
              <a:solidFill>
                <a:schemeClr val="bg1"/>
              </a:solidFill>
            </a:rPr>
            <a:t>management can understand the complete business within a few seconds.</a:t>
          </a:r>
        </a:p>
        <a:p>
          <a:r>
            <a:rPr lang="en-US" sz="2000">
              <a:solidFill>
                <a:schemeClr val="bg1"/>
              </a:solidFill>
            </a:rPr>
            <a:t>This helps improve productivity, reduce risk, and support better business decisions.</a:t>
          </a:r>
        </a:p>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1.423991435186" createdVersion="6" refreshedVersion="6" minRefreshableVersion="3" recordCount="699" xr:uid="{935CE17F-C7A0-41ED-B1C7-CF66BB77F8CF}">
  <cacheSource type="worksheet">
    <worksheetSource name="Table1"/>
  </cacheSource>
  <cacheFields count="22">
    <cacheField name="Loan_ID" numFmtId="0">
      <sharedItems count="699">
        <s v="L0095"/>
        <s v="L0087"/>
        <s v="L0549"/>
        <s v="L0442"/>
        <s v="L0409"/>
        <s v="L0457"/>
        <s v="L0041"/>
        <s v="L0545"/>
        <s v="L0346"/>
        <s v="L0534"/>
        <s v="L0116"/>
        <s v="L0321"/>
        <s v="L0360"/>
        <s v="L0199"/>
        <s v="L0472"/>
        <s v="L0530"/>
        <s v="L0563"/>
        <s v="L0629"/>
        <s v="L0009"/>
        <s v="L0699"/>
        <s v="L0130"/>
        <s v="L0049"/>
        <s v="L0096"/>
        <s v="L0161"/>
        <s v="L0524"/>
        <s v="L0170"/>
        <s v="L0482"/>
        <s v="L0035"/>
        <s v="L0127"/>
        <s v="L0384"/>
        <s v="L0385"/>
        <s v="L0273"/>
        <s v="L0275"/>
        <s v="L0279"/>
        <s v="L0375"/>
        <s v="L0017"/>
        <s v="L0189"/>
        <s v="L0637"/>
        <s v="L0222"/>
        <s v="L0630"/>
        <s v="L0022"/>
        <s v="L0327"/>
        <s v="L0176"/>
        <s v="L0196"/>
        <s v="L0143"/>
        <s v="L0562"/>
        <s v="L0245"/>
        <s v="L0623"/>
        <s v="L0539"/>
        <s v="L0269"/>
        <s v="L0587"/>
        <s v="L0294"/>
        <s v="L0290"/>
        <s v="L0129"/>
        <s v="L0350"/>
        <s v="L0150"/>
        <s v="L0522"/>
        <s v="L0241"/>
        <s v="L0175"/>
        <s v="L0347"/>
        <s v="L0612"/>
        <s v="L0263"/>
        <s v="L0424"/>
        <s v="L0398"/>
        <s v="L0680"/>
        <s v="L0454"/>
        <s v="L0567"/>
        <s v="L0383"/>
        <s v="L0072"/>
        <s v="L0236"/>
        <s v="L0386"/>
        <s v="L0167"/>
        <s v="L0415"/>
        <s v="L0627"/>
        <s v="L0640"/>
        <s v="L0452"/>
        <s v="L0583"/>
        <s v="L0050"/>
        <s v="L0511"/>
        <s v="L0332"/>
        <s v="L0589"/>
        <s v="L0599"/>
        <s v="L0271"/>
        <s v="L0326"/>
        <s v="L0554"/>
        <s v="L0666"/>
        <s v="L0464"/>
        <s v="L0047"/>
        <s v="L0117"/>
        <s v="L0312"/>
        <s v="L0559"/>
        <s v="L0232"/>
        <s v="L0352"/>
        <s v="L0433"/>
        <s v="L0192"/>
        <s v="L0455"/>
        <s v="L0551"/>
        <s v="L0422"/>
        <s v="L0561"/>
        <s v="L0660"/>
        <s v="L0662"/>
        <s v="L0081"/>
        <s v="L0642"/>
        <s v="L0315"/>
        <s v="L0416"/>
        <s v="L0371"/>
        <s v="L0293"/>
        <s v="L0355"/>
        <s v="L0368"/>
        <s v="L0597"/>
        <s v="L0516"/>
        <s v="L0439"/>
        <s v="L0527"/>
        <s v="L0126"/>
        <s v="L0679"/>
        <s v="L0165"/>
        <s v="L0581"/>
        <s v="L0510"/>
        <s v="L0316"/>
        <s v="L0657"/>
        <s v="L0140"/>
        <s v="L0528"/>
        <s v="L0296"/>
        <s v="L0219"/>
        <s v="L0525"/>
        <s v="L0484"/>
        <s v="L0031"/>
        <s v="L0179"/>
        <s v="L0082"/>
        <s v="L0301"/>
        <s v="L0166"/>
        <s v="L0026"/>
        <s v="L0348"/>
        <s v="L0498"/>
        <s v="L0211"/>
        <s v="L0406"/>
        <s v="L0462"/>
        <s v="L0575"/>
        <s v="L0204"/>
        <s v="L0257"/>
        <s v="L0513"/>
        <s v="L0676"/>
        <s v="L0670"/>
        <s v="L0215"/>
        <s v="L0240"/>
        <s v="L0619"/>
        <s v="L0102"/>
        <s v="L0500"/>
        <s v="L0503"/>
        <s v="L0092"/>
        <s v="L0570"/>
        <s v="L0664"/>
        <s v="L0669"/>
        <s v="L0148"/>
        <s v="L0014"/>
        <s v="L0101"/>
        <s v="L0387"/>
        <s v="L0304"/>
        <s v="L0115"/>
        <s v="L0395"/>
        <s v="L0639"/>
        <s v="L0359"/>
        <s v="L0066"/>
        <s v="L0194"/>
        <s v="L0436"/>
        <s v="L0057"/>
        <s v="L0091"/>
        <s v="L0649"/>
        <s v="L0152"/>
        <s v="L0174"/>
        <s v="L0298"/>
        <s v="L0437"/>
        <s v="L0067"/>
        <s v="L0685"/>
        <s v="L0243"/>
        <s v="L0270"/>
        <s v="L0223"/>
        <s v="L0085"/>
        <s v="L0466"/>
        <s v="L0023"/>
        <s v="L0025"/>
        <s v="L0237"/>
        <s v="L0004"/>
        <s v="L0693"/>
        <s v="L0557"/>
        <s v="L0497"/>
        <s v="L0596"/>
        <s v="L0595"/>
        <s v="L0686"/>
        <s v="L0255"/>
        <s v="L0641"/>
        <s v="L0106"/>
        <s v="L0417"/>
        <s v="L0608"/>
        <s v="L0537"/>
        <s v="L0565"/>
        <s v="L0120"/>
        <s v="L0481"/>
        <s v="L0225"/>
        <s v="L0013"/>
        <s v="L0463"/>
        <s v="L0517"/>
        <s v="L0313"/>
        <s v="L0349"/>
        <s v="L0475"/>
        <s v="L0504"/>
        <s v="L0585"/>
        <s v="L0018"/>
        <s v="L0108"/>
        <s v="L0319"/>
        <s v="L0168"/>
        <s v="L0399"/>
        <s v="L0429"/>
        <s v="L0648"/>
        <s v="L0568"/>
        <s v="L0421"/>
        <s v="L0605"/>
        <s v="L0002"/>
        <s v="L0032"/>
        <s v="L0677"/>
        <s v="L0314"/>
        <s v="L0643"/>
        <s v="L0684"/>
        <s v="L0427"/>
        <s v="L0323"/>
        <s v="L0369"/>
        <s v="L0675"/>
        <s v="L0692"/>
        <s v="L0289"/>
        <s v="L0094"/>
        <s v="L0543"/>
        <s v="L0533"/>
        <s v="L0402"/>
        <s v="L0479"/>
        <s v="L0136"/>
        <s v="L0305"/>
        <s v="L0646"/>
        <s v="L0674"/>
        <s v="L0590"/>
        <s v="L0690"/>
        <s v="L0242"/>
        <s v="L0280"/>
        <s v="L0307"/>
        <s v="L0447"/>
        <s v="L0353"/>
        <s v="L0291"/>
        <s v="L0394"/>
        <s v="L0564"/>
        <s v="L0231"/>
        <s v="L0187"/>
        <s v="L0508"/>
        <s v="L0123"/>
        <s v="L0138"/>
        <s v="L0229"/>
        <s v="L0292"/>
        <s v="L0698"/>
        <s v="L0392"/>
        <s v="L0602"/>
        <s v="L0110"/>
        <s v="L0405"/>
        <s v="L0159"/>
        <s v="L0073"/>
        <s v="L0098"/>
        <s v="L0069"/>
        <s v="L0536"/>
        <s v="L0277"/>
        <s v="L0299"/>
        <s v="L0252"/>
        <s v="L0592"/>
        <s v="L0461"/>
        <s v="L0122"/>
        <s v="L0611"/>
        <s v="L0008"/>
        <s v="L0286"/>
        <s v="L0261"/>
        <s v="L0221"/>
        <s v="L0306"/>
        <s v="L0645"/>
        <s v="L0440"/>
        <s v="L0284"/>
        <s v="L0234"/>
        <s v="L0683"/>
        <s v="L0374"/>
        <s v="L0052"/>
        <s v="L0144"/>
        <s v="L0493"/>
        <s v="L0529"/>
        <s v="L0628"/>
        <s v="L0459"/>
        <s v="L0183"/>
        <s v="L0610"/>
        <s v="L0584"/>
        <s v="L0016"/>
        <s v="L0330"/>
        <s v="L0156"/>
        <s v="L0478"/>
        <s v="L0615"/>
        <s v="L0485"/>
        <s v="L0520"/>
        <s v="L0283"/>
        <s v="L0201"/>
        <s v="L0505"/>
        <s v="L0538"/>
        <s v="L0341"/>
        <s v="L0083"/>
        <s v="L0342"/>
        <s v="L0616"/>
        <s v="L0036"/>
        <s v="L0311"/>
        <s v="L0230"/>
        <s v="L0251"/>
        <s v="L0033"/>
        <s v="L0055"/>
        <s v="L0456"/>
        <s v="L0145"/>
        <s v="L0118"/>
        <s v="L0169"/>
        <s v="L0337"/>
        <s v="L0476"/>
        <s v="L0579"/>
        <s v="L0586"/>
        <s v="L0021"/>
        <s v="L0097"/>
        <s v="L0060"/>
        <s v="L0465"/>
        <s v="L0218"/>
        <s v="L0288"/>
        <s v="L0553"/>
        <s v="L0317"/>
        <s v="L0206"/>
        <s v="L0379"/>
        <s v="L0071"/>
        <s v="L0244"/>
        <s v="L0631"/>
        <s v="L0227"/>
        <s v="L0125"/>
        <s v="L0158"/>
        <s v="L0336"/>
        <s v="L0542"/>
        <s v="L0450"/>
        <s v="L0209"/>
        <s v="L0700"/>
        <s v="L0105"/>
        <s v="L0300"/>
        <s v="L0582"/>
        <s v="L0607"/>
        <s v="L0302"/>
        <s v="L0618"/>
        <s v="L0515"/>
        <s v="L0555"/>
        <s v="L0080"/>
        <s v="L0226"/>
        <s v="L0131"/>
        <s v="L0074"/>
        <s v="L0514"/>
        <s v="L0264"/>
        <s v="L0382"/>
        <s v="L0104"/>
        <s v="L0334"/>
        <s v="L0489"/>
        <s v="L0335"/>
        <s v="L0287"/>
        <s v="L0345"/>
        <s v="L0003"/>
        <s v="L0400"/>
        <s v="L0403"/>
        <s v="L0499"/>
        <s v="L0043"/>
        <s v="L0487"/>
        <s v="L0521"/>
        <s v="L0037"/>
        <s v="L0268"/>
        <s v="L0056"/>
        <s v="L0408"/>
        <s v="L0163"/>
        <s v="L0449"/>
        <s v="L0084"/>
        <s v="L0309"/>
        <s v="L0548"/>
        <s v="L0620"/>
        <s v="L0663"/>
        <s v="L0458"/>
        <s v="L0558"/>
        <s v="L0391"/>
        <s v="L0593"/>
        <s v="L0414"/>
        <s v="L0124"/>
        <s v="L0208"/>
        <s v="L0658"/>
        <s v="L0633"/>
        <s v="L0160"/>
        <s v="L0141"/>
        <s v="L0591"/>
        <s v="L0203"/>
        <s v="L0029"/>
        <s v="L0177"/>
        <s v="L0621"/>
        <s v="L0363"/>
        <s v="L0338"/>
        <s v="L0512"/>
        <s v="L0577"/>
        <s v="L0147"/>
        <s v="L0606"/>
        <s v="L0343"/>
        <s v="L0132"/>
        <s v="L0552"/>
        <s v="L0441"/>
        <s v="L0560"/>
        <s v="L0604"/>
        <s v="L0028"/>
        <s v="L0039"/>
        <s v="L0435"/>
        <s v="L0262"/>
        <s v="L0024"/>
        <s v="L0233"/>
        <s v="L0235"/>
        <s v="L0278"/>
        <s v="L0694"/>
        <s v="L0438"/>
        <s v="L0356"/>
        <s v="L0364"/>
        <s v="L0469"/>
        <s v="L0001"/>
        <s v="L0061"/>
        <s v="L0496"/>
        <s v="L0010"/>
        <s v="L0011"/>
        <s v="L0198"/>
        <s v="L0580"/>
        <s v="L0250"/>
        <s v="L0681"/>
        <s v="L0671"/>
        <s v="L0224"/>
        <s v="L0634"/>
        <s v="L0411"/>
        <s v="L0040"/>
        <s v="L0281"/>
        <s v="L0665"/>
        <s v="L0007"/>
        <s v="L0540"/>
        <s v="L0432"/>
        <s v="L0103"/>
        <s v="L0396"/>
        <s v="L0519"/>
        <s v="L0331"/>
        <s v="L0070"/>
        <s v="L0260"/>
        <s v="L0572"/>
        <s v="L0274"/>
        <s v="L0065"/>
        <s v="L0571"/>
        <s v="L0063"/>
        <s v="L0448"/>
        <s v="L0501"/>
        <s v="L0381"/>
        <s v="L0460"/>
        <s v="L0430"/>
        <s v="L0362"/>
        <s v="L0488"/>
        <s v="L0246"/>
        <s v="L0598"/>
        <s v="L0193"/>
        <s v="L0015"/>
        <s v="L0550"/>
        <s v="L0588"/>
        <s v="L0354"/>
        <s v="L0078"/>
        <s v="L0492"/>
        <s v="L0318"/>
        <s v="L0594"/>
        <s v="L0506"/>
        <s v="L0507"/>
        <s v="L0012"/>
        <s v="L0569"/>
        <s v="L0182"/>
        <s v="L0477"/>
        <s v="L0486"/>
        <s v="L0372"/>
        <s v="L0121"/>
        <s v="L0653"/>
        <s v="L0247"/>
        <s v="L0470"/>
        <s v="L0088"/>
        <s v="L0494"/>
        <s v="L0282"/>
        <s v="L0600"/>
        <s v="L0044"/>
        <s v="L0249"/>
        <s v="L0632"/>
        <s v="L0358"/>
        <s v="L0207"/>
        <s v="L0431"/>
        <s v="L0086"/>
        <s v="L0471"/>
        <s v="L0614"/>
        <s v="L0688"/>
        <s v="L0389"/>
        <s v="L0412"/>
        <s v="L0238"/>
        <s v="L0266"/>
        <s v="L0030"/>
        <s v="L0146"/>
        <s v="L0058"/>
        <s v="L0285"/>
        <s v="L0390"/>
        <s v="L0453"/>
        <s v="L0265"/>
        <s v="L0267"/>
        <s v="L0689"/>
        <s v="L0190"/>
        <s v="L0691"/>
        <s v="L0425"/>
        <s v="L0320"/>
        <s v="L0573"/>
        <s v="L0005"/>
        <s v="L0200"/>
        <s v="L0655"/>
        <s v="L0413"/>
        <s v="L0256"/>
        <s v="L0272"/>
        <s v="L0180"/>
        <s v="L0351"/>
        <s v="L0678"/>
        <s v="L0133"/>
        <s v="L0184"/>
        <s v="L0079"/>
        <s v="L0420"/>
        <s v="L0404"/>
        <s v="L0635"/>
        <s v="L0128"/>
        <s v="L0697"/>
        <s v="L0109"/>
        <s v="L0162"/>
        <s v="L0474"/>
        <s v="L0042"/>
        <s v="L0328"/>
        <s v="L0333"/>
        <s v="L0034"/>
        <s v="L0546"/>
        <s v="L0556"/>
        <s v="L0339"/>
        <s v="L0650"/>
        <s v="L0303"/>
        <s v="L0401"/>
        <s v="L0407"/>
        <s v="L0647"/>
        <s v="L0673"/>
        <s v="L0626"/>
        <s v="L0308"/>
        <s v="L0376"/>
        <s v="L0397"/>
        <s v="L0509"/>
        <s v="L0090"/>
        <s v="L0134"/>
        <s v="L0445"/>
        <s v="L0149"/>
        <s v="L0172"/>
        <s v="L0547"/>
        <s v="L0114"/>
        <s v="L0093"/>
        <s v="L0544"/>
        <s v="L0113"/>
        <s v="L0490"/>
        <s v="L0668"/>
        <s v="L0329"/>
        <s v="L0137"/>
        <s v="L0139"/>
        <s v="L0051"/>
        <s v="L0483"/>
        <s v="L0491"/>
        <s v="L0609"/>
        <s v="L0228"/>
        <s v="L0135"/>
        <s v="L0410"/>
        <s v="L0119"/>
        <s v="L0426"/>
        <s v="L0197"/>
        <s v="L0443"/>
        <s v="L0603"/>
        <s v="L0006"/>
        <s v="L0107"/>
        <s v="L0322"/>
        <s v="L0153"/>
        <s v="L0446"/>
        <s v="L0468"/>
        <s v="L0373"/>
        <s v="L0601"/>
        <s v="L0276"/>
        <s v="L0444"/>
        <s v="L0495"/>
        <s v="L0532"/>
        <s v="L0048"/>
        <s v="L0258"/>
        <s v="L0526"/>
        <s v="L0185"/>
        <s v="L0111"/>
        <s v="L0361"/>
        <s v="L0248"/>
        <s v="L0214"/>
        <s v="L0059"/>
        <s v="L0064"/>
        <s v="L0099"/>
        <s v="L0178"/>
        <s v="L0656"/>
        <s v="L0480"/>
        <s v="L0502"/>
        <s v="L0644"/>
        <s v="L0388"/>
        <s v="L0155"/>
        <s v="L0654"/>
        <s v="L0636"/>
        <s v="L0617"/>
        <s v="L0659"/>
        <s v="L0672"/>
        <s v="L0687"/>
        <s v="L0068"/>
        <s v="L0625"/>
        <s v="L0652"/>
        <s v="L0310"/>
        <s v="L0419"/>
        <s v="L0518"/>
        <s v="L0216"/>
        <s v="L0380"/>
        <s v="L0578"/>
        <s v="L0188"/>
        <s v="L0624"/>
        <s v="L0210"/>
        <s v="L0451"/>
        <s v="L0696"/>
        <s v="L0181"/>
        <s v="L0541"/>
        <s v="L0370"/>
        <s v="L0324"/>
        <s v="L0089"/>
        <s v="L0473"/>
        <s v="L0340"/>
        <s v="L0205"/>
        <s v="L0220"/>
        <s v="L0239"/>
        <s v="L0638"/>
        <s v="L0027"/>
        <s v="L0077"/>
        <s v="L0046"/>
        <s v="L0467"/>
        <s v="L0038"/>
        <s v="L0100"/>
        <s v="L0566"/>
        <s v="L0254"/>
        <s v="L0523"/>
        <s v="L0661"/>
        <s v="L0142"/>
        <s v="L0171"/>
        <s v="L0367"/>
        <s v="L0428"/>
        <s v="L0344"/>
        <s v="L0377"/>
        <s v="L0186"/>
        <s v="L0393"/>
        <s v="L0191"/>
        <s v="L0253"/>
        <s v="L0053"/>
        <s v="L0076"/>
        <s v="L0112"/>
        <s v="L0020"/>
        <s v="L0535"/>
        <s v="L0054"/>
        <s v="L0151"/>
        <s v="L0213"/>
        <s v="L0173"/>
        <s v="L0574"/>
        <s v="L0418"/>
        <s v="L0531"/>
        <s v="L0217"/>
        <s v="L0357"/>
        <s v="L0019"/>
        <s v="L0434"/>
        <s v="L0667"/>
        <s v="L0695"/>
        <s v="L0295"/>
        <s v="L0045"/>
        <s v="L0622"/>
        <s v="L0651"/>
        <s v="L0202"/>
        <s v="L0164"/>
        <s v="L0212"/>
        <s v="L0378"/>
        <s v="L0576"/>
        <s v="L0365"/>
        <s v="L0297"/>
        <s v="L0613"/>
        <s v="L0195"/>
        <s v="L0325"/>
        <s v="L0366"/>
        <s v="L0423"/>
        <s v="L0062"/>
        <s v="L0154"/>
        <s v="L0157"/>
        <s v="L0259"/>
        <s v="L0682"/>
      </sharedItems>
    </cacheField>
    <cacheField name="customer_name" numFmtId="0">
      <sharedItems/>
    </cacheField>
    <cacheField name="Age" numFmtId="1">
      <sharedItems containsSemiMixedTypes="0" containsString="0" containsNumber="1" containsInteger="1" minValue="21" maxValue="60"/>
    </cacheField>
    <cacheField name="Gender" numFmtId="0">
      <sharedItems count="2">
        <s v="Male"/>
        <s v="Female"/>
      </sharedItems>
    </cacheField>
    <cacheField name="City" numFmtId="0">
      <sharedItems count="6">
        <s v="Pune"/>
        <s v="Delhi"/>
        <s v="Chennai"/>
        <s v="Bengaluru"/>
        <s v="Hyderabad"/>
        <s v="Mumbai"/>
      </sharedItems>
    </cacheField>
    <cacheField name="Loan_Type" numFmtId="0">
      <sharedItems count="5">
        <s v="Education"/>
        <s v="Personal"/>
        <s v="Home"/>
        <s v="Business"/>
        <s v="Car"/>
      </sharedItems>
    </cacheField>
    <cacheField name="years" numFmtId="0">
      <sharedItems containsSemiMixedTypes="0" containsString="0" containsNumber="1" containsInteger="1" minValue="2024" maxValue="2026" count="3">
        <n v="2024"/>
        <n v="2025"/>
        <n v="2026"/>
      </sharedItems>
    </cacheField>
    <cacheField name="Application_Date" numFmtId="14">
      <sharedItems containsSemiMixedTypes="0" containsNonDate="0" containsDate="1" containsString="0" minDate="2024-04-01T00:00:00" maxDate="2026-03-01T00:00:00"/>
    </cacheField>
    <cacheField name="EMI_payment_date" numFmtId="14">
      <sharedItems containsSemiMixedTypes="0" containsNonDate="0" containsDate="1" containsString="0" minDate="2024-05-01T00:00:00" maxDate="2026-03-29T00:00:00"/>
    </cacheField>
    <cacheField name="Annual_Income" numFmtId="165">
      <sharedItems containsSemiMixedTypes="0" containsString="0" containsNumber="1" containsInteger="1" minValue="600000" maxValue="8988000"/>
    </cacheField>
    <cacheField name="monthly_income" numFmtId="165">
      <sharedItems containsSemiMixedTypes="0" containsString="0" containsNumber="1" containsInteger="1" minValue="50000" maxValue="749000"/>
    </cacheField>
    <cacheField name="Loan_Amount" numFmtId="165">
      <sharedItems containsSemiMixedTypes="0" containsString="0" containsNumber="1" containsInteger="1" minValue="800000" maxValue="9188000"/>
    </cacheField>
    <cacheField name="total_amount_paid" numFmtId="165">
      <sharedItems containsString="0" containsBlank="1" containsNumber="1" containsInteger="1" minValue="102000" maxValue="6058800"/>
    </cacheField>
    <cacheField name="Interest_Rate" numFmtId="0">
      <sharedItems containsSemiMixedTypes="0" containsString="0" containsNumber="1" minValue="5" maxValue="10"/>
    </cacheField>
    <cacheField name="monthly_EMI" numFmtId="165">
      <sharedItems containsSemiMixedTypes="0" containsString="0" containsNumber="1" containsInteger="1" minValue="15000" maxValue="224700"/>
    </cacheField>
    <cacheField name="Loan_Term_Months" numFmtId="0">
      <sharedItems containsSemiMixedTypes="0" containsString="0" containsNumber="1" containsInteger="1" minValue="46" maxValue="68"/>
    </cacheField>
    <cacheField name="Credit_Score" numFmtId="0">
      <sharedItems containsSemiMixedTypes="0" containsString="0" containsNumber="1" containsInteger="1" minValue="600" maxValue="850"/>
    </cacheField>
    <cacheField name="Repayment_Status" numFmtId="0">
      <sharedItems count="3">
        <s v="Late"/>
        <s v="Completed"/>
        <s v="On Time" u="1"/>
      </sharedItems>
    </cacheField>
    <cacheField name="good vs bad loan" numFmtId="0">
      <sharedItems count="2">
        <s v="bad loan"/>
        <s v="good loan"/>
      </sharedItems>
    </cacheField>
    <cacheField name="Default_Risk" numFmtId="0">
      <sharedItems count="3">
        <s v="high"/>
        <s v="low"/>
        <s v="Medium" u="1"/>
      </sharedItems>
    </cacheField>
    <cacheField name="DTI" numFmtId="0">
      <sharedItems containsSemiMixedTypes="0" containsString="0" containsNumber="1" containsInteger="1" minValue="30" maxValue="30"/>
    </cacheField>
    <cacheField name="Profit" numFmtId="164">
      <sharedItems containsSemiMixedTypes="0" containsString="0" containsNumber="1" minValue="4868.8900000000003" maxValue="47850.51"/>
    </cacheField>
  </cacheFields>
  <extLst>
    <ext xmlns:x14="http://schemas.microsoft.com/office/spreadsheetml/2009/9/main" uri="{725AE2AE-9491-48be-B2B4-4EB974FC3084}">
      <x14:pivotCacheDefinition pivotCacheId="675617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x v="0"/>
    <s v="Meera Nair"/>
    <n v="55"/>
    <x v="0"/>
    <x v="0"/>
    <x v="0"/>
    <x v="0"/>
    <d v="2024-04-01T00:00:00"/>
    <d v="2024-05-01T00:00:00"/>
    <n v="1728000"/>
    <n v="144000"/>
    <n v="1928000"/>
    <n v="1166400"/>
    <n v="7.51"/>
    <n v="43200"/>
    <n v="53"/>
    <n v="688"/>
    <x v="0"/>
    <x v="0"/>
    <x v="0"/>
    <n v="30"/>
    <n v="31178.55"/>
  </r>
  <r>
    <x v="1"/>
    <s v="Neha Yadav"/>
    <n v="26"/>
    <x v="1"/>
    <x v="1"/>
    <x v="1"/>
    <x v="0"/>
    <d v="2024-04-02T00:00:00"/>
    <d v="2024-05-02T00:00:00"/>
    <n v="1632000"/>
    <n v="136000"/>
    <n v="1832000"/>
    <n v="1101600"/>
    <n v="8.51"/>
    <n v="40800"/>
    <n v="55"/>
    <n v="750"/>
    <x v="1"/>
    <x v="1"/>
    <x v="1"/>
    <n v="30"/>
    <n v="23469.34"/>
  </r>
  <r>
    <x v="2"/>
    <s v="Rohan Nair"/>
    <n v="29"/>
    <x v="1"/>
    <x v="2"/>
    <x v="1"/>
    <x v="0"/>
    <d v="2024-04-03T00:00:00"/>
    <d v="2024-05-03T00:00:00"/>
    <n v="7176000"/>
    <n v="598000"/>
    <n v="7376000"/>
    <n v="4843800"/>
    <n v="5.21"/>
    <n v="179400"/>
    <n v="46"/>
    <n v="707"/>
    <x v="1"/>
    <x v="1"/>
    <x v="1"/>
    <n v="30"/>
    <n v="10514.14"/>
  </r>
  <r>
    <x v="3"/>
    <s v="Rahul Sharma"/>
    <n v="48"/>
    <x v="1"/>
    <x v="1"/>
    <x v="2"/>
    <x v="0"/>
    <d v="2024-04-04T00:00:00"/>
    <d v="2024-05-04T00:00:00"/>
    <n v="5892000"/>
    <n v="491000"/>
    <n v="6092000"/>
    <n v="3977100"/>
    <n v="9.9499999999999993"/>
    <n v="147300"/>
    <n v="51"/>
    <n v="848"/>
    <x v="0"/>
    <x v="0"/>
    <x v="0"/>
    <n v="30"/>
    <n v="26808.54"/>
  </r>
  <r>
    <x v="4"/>
    <s v="Rahul Mehta"/>
    <n v="50"/>
    <x v="0"/>
    <x v="2"/>
    <x v="2"/>
    <x v="0"/>
    <d v="2024-04-05T00:00:00"/>
    <d v="2024-05-05T00:00:00"/>
    <n v="5496000"/>
    <n v="458000"/>
    <n v="5696000"/>
    <n v="3709800"/>
    <n v="6.55"/>
    <n v="137400"/>
    <n v="48"/>
    <n v="804"/>
    <x v="1"/>
    <x v="1"/>
    <x v="1"/>
    <n v="30"/>
    <n v="25945.11"/>
  </r>
  <r>
    <x v="5"/>
    <s v="Karan Mehta"/>
    <n v="36"/>
    <x v="1"/>
    <x v="0"/>
    <x v="1"/>
    <x v="0"/>
    <d v="2024-04-06T00:00:00"/>
    <d v="2024-05-06T00:00:00"/>
    <n v="6072000"/>
    <n v="506000"/>
    <n v="6272000"/>
    <n v="4098600"/>
    <n v="9.26"/>
    <n v="151800"/>
    <n v="50"/>
    <n v="812"/>
    <x v="1"/>
    <x v="1"/>
    <x v="1"/>
    <n v="30"/>
    <n v="22853.64"/>
  </r>
  <r>
    <x v="6"/>
    <s v="Kavya Yadav"/>
    <n v="23"/>
    <x v="0"/>
    <x v="1"/>
    <x v="3"/>
    <x v="0"/>
    <d v="2024-04-07T00:00:00"/>
    <d v="2024-05-07T00:00:00"/>
    <n v="1080000"/>
    <n v="90000"/>
    <n v="1280000"/>
    <n v="729000"/>
    <n v="5.39"/>
    <n v="27000"/>
    <n v="54"/>
    <n v="831"/>
    <x v="0"/>
    <x v="0"/>
    <x v="0"/>
    <n v="30"/>
    <n v="12860.1"/>
  </r>
  <r>
    <x v="7"/>
    <s v="Priya Patel"/>
    <n v="27"/>
    <x v="0"/>
    <x v="3"/>
    <x v="2"/>
    <x v="0"/>
    <d v="2024-04-08T00:00:00"/>
    <d v="2024-05-08T00:00:00"/>
    <n v="7128000"/>
    <n v="594000"/>
    <n v="7328000"/>
    <n v="4811400"/>
    <n v="8.64"/>
    <n v="178200"/>
    <n v="49"/>
    <n v="732"/>
    <x v="0"/>
    <x v="0"/>
    <x v="0"/>
    <n v="30"/>
    <n v="30989.8"/>
  </r>
  <r>
    <x v="8"/>
    <s v="Ananya Mehta"/>
    <n v="30"/>
    <x v="1"/>
    <x v="4"/>
    <x v="4"/>
    <x v="0"/>
    <d v="2024-04-09T00:00:00"/>
    <d v="2024-05-09T00:00:00"/>
    <n v="4740000"/>
    <n v="395000"/>
    <n v="4940000"/>
    <n v="3199500"/>
    <n v="7.16"/>
    <n v="118500"/>
    <n v="49"/>
    <n v="746"/>
    <x v="1"/>
    <x v="1"/>
    <x v="1"/>
    <n v="30"/>
    <n v="26278.03"/>
  </r>
  <r>
    <x v="9"/>
    <s v="Kavya Verma"/>
    <n v="37"/>
    <x v="0"/>
    <x v="4"/>
    <x v="3"/>
    <x v="0"/>
    <d v="2024-04-10T00:00:00"/>
    <d v="2024-05-10T00:00:00"/>
    <n v="6996000"/>
    <n v="583000"/>
    <n v="7196000"/>
    <n v="4722300"/>
    <n v="9.6300000000000008"/>
    <n v="174900"/>
    <n v="51"/>
    <n v="753"/>
    <x v="1"/>
    <x v="1"/>
    <x v="1"/>
    <n v="30"/>
    <n v="23757.02"/>
  </r>
  <r>
    <x v="10"/>
    <s v="Ritika Nair"/>
    <n v="29"/>
    <x v="1"/>
    <x v="5"/>
    <x v="2"/>
    <x v="0"/>
    <d v="2024-04-11T00:00:00"/>
    <d v="2024-05-11T00:00:00"/>
    <n v="1980000"/>
    <n v="165000"/>
    <n v="2180000"/>
    <n v="1336500"/>
    <n v="7.42"/>
    <n v="49500"/>
    <n v="52"/>
    <n v="838"/>
    <x v="0"/>
    <x v="0"/>
    <x v="0"/>
    <n v="30"/>
    <n v="22554.62"/>
  </r>
  <r>
    <x v="11"/>
    <s v="Aisha Gupta"/>
    <n v="58"/>
    <x v="1"/>
    <x v="5"/>
    <x v="1"/>
    <x v="0"/>
    <d v="2024-04-12T00:00:00"/>
    <d v="2024-05-12T00:00:00"/>
    <n v="4440000"/>
    <n v="370000"/>
    <n v="4640000"/>
    <n v="2997000"/>
    <n v="7.88"/>
    <n v="111000"/>
    <n v="50"/>
    <n v="778"/>
    <x v="1"/>
    <x v="1"/>
    <x v="1"/>
    <n v="30"/>
    <n v="18855.34"/>
  </r>
  <r>
    <x v="12"/>
    <s v="Aarav Sharma"/>
    <n v="49"/>
    <x v="0"/>
    <x v="3"/>
    <x v="4"/>
    <x v="0"/>
    <d v="2024-04-13T00:00:00"/>
    <d v="2024-05-13T00:00:00"/>
    <n v="4908000"/>
    <n v="409000"/>
    <n v="5108000"/>
    <n v="3312900"/>
    <n v="6.34"/>
    <n v="122700"/>
    <n v="48"/>
    <n v="836"/>
    <x v="1"/>
    <x v="1"/>
    <x v="1"/>
    <n v="30"/>
    <n v="22184.03"/>
  </r>
  <r>
    <x v="13"/>
    <s v="Sanya Singh"/>
    <n v="48"/>
    <x v="0"/>
    <x v="5"/>
    <x v="0"/>
    <x v="0"/>
    <d v="2024-04-14T00:00:00"/>
    <d v="2024-05-14T00:00:00"/>
    <n v="2976000"/>
    <n v="248000"/>
    <n v="3176000"/>
    <n v="2008800"/>
    <n v="5.72"/>
    <n v="74400"/>
    <n v="48"/>
    <n v="839"/>
    <x v="1"/>
    <x v="1"/>
    <x v="1"/>
    <n v="30"/>
    <n v="14398.69"/>
  </r>
  <r>
    <x v="14"/>
    <s v="Aarav Patel"/>
    <n v="46"/>
    <x v="1"/>
    <x v="3"/>
    <x v="2"/>
    <x v="0"/>
    <d v="2024-04-15T00:00:00"/>
    <d v="2024-05-15T00:00:00"/>
    <n v="6252000"/>
    <n v="521000"/>
    <n v="6452000"/>
    <n v="4220100"/>
    <n v="5.52"/>
    <n v="156300"/>
    <n v="46"/>
    <n v="615"/>
    <x v="0"/>
    <x v="0"/>
    <x v="0"/>
    <n v="30"/>
    <n v="22609.68"/>
  </r>
  <r>
    <x v="15"/>
    <s v="Neha Kumar"/>
    <n v="58"/>
    <x v="0"/>
    <x v="5"/>
    <x v="2"/>
    <x v="0"/>
    <d v="2024-04-16T00:00:00"/>
    <d v="2024-05-16T00:00:00"/>
    <n v="6948000"/>
    <n v="579000"/>
    <n v="7148000"/>
    <n v="4689900"/>
    <n v="8.2799999999999994"/>
    <n v="173700"/>
    <n v="49"/>
    <n v="728"/>
    <x v="0"/>
    <x v="0"/>
    <x v="0"/>
    <n v="30"/>
    <n v="26359.46"/>
  </r>
  <r>
    <x v="16"/>
    <s v="Meera Sharma"/>
    <n v="24"/>
    <x v="0"/>
    <x v="1"/>
    <x v="2"/>
    <x v="0"/>
    <d v="2024-04-17T00:00:00"/>
    <d v="2024-05-17T00:00:00"/>
    <n v="7344000"/>
    <n v="612000"/>
    <n v="7544000"/>
    <n v="4957200"/>
    <n v="5.2"/>
    <n v="183600"/>
    <n v="46"/>
    <n v="614"/>
    <x v="1"/>
    <x v="1"/>
    <x v="1"/>
    <n v="30"/>
    <n v="9169.41"/>
  </r>
  <r>
    <x v="17"/>
    <s v="Priya Mehta"/>
    <n v="25"/>
    <x v="0"/>
    <x v="4"/>
    <x v="0"/>
    <x v="0"/>
    <d v="2024-04-18T00:00:00"/>
    <d v="2024-05-18T00:00:00"/>
    <n v="8136000"/>
    <n v="678000"/>
    <n v="8336000"/>
    <n v="5491800"/>
    <n v="5.98"/>
    <n v="203400"/>
    <n v="46"/>
    <n v="673"/>
    <x v="0"/>
    <x v="0"/>
    <x v="0"/>
    <n v="30"/>
    <n v="19600.189999999999"/>
  </r>
  <r>
    <x v="18"/>
    <s v="Diya Gupta"/>
    <n v="23"/>
    <x v="1"/>
    <x v="1"/>
    <x v="2"/>
    <x v="0"/>
    <d v="2024-04-19T00:00:00"/>
    <d v="2024-05-19T00:00:00"/>
    <n v="696000"/>
    <n v="58000"/>
    <n v="896000"/>
    <n v="469800"/>
    <n v="8.9499999999999993"/>
    <n v="17400"/>
    <n v="66"/>
    <n v="613"/>
    <x v="1"/>
    <x v="1"/>
    <x v="1"/>
    <n v="30"/>
    <n v="33131.879999999997"/>
  </r>
  <r>
    <x v="19"/>
    <s v="Priya Verma"/>
    <n v="34"/>
    <x v="0"/>
    <x v="4"/>
    <x v="4"/>
    <x v="0"/>
    <d v="2024-04-20T00:00:00"/>
    <d v="2024-05-20T00:00:00"/>
    <n v="8976000"/>
    <n v="748000"/>
    <n v="9176000"/>
    <n v="6058800"/>
    <n v="8.14"/>
    <n v="224400"/>
    <n v="49"/>
    <n v="720"/>
    <x v="1"/>
    <x v="1"/>
    <x v="1"/>
    <n v="30"/>
    <n v="22545.1"/>
  </r>
  <r>
    <x v="20"/>
    <s v="Ananya Sharma"/>
    <n v="50"/>
    <x v="1"/>
    <x v="3"/>
    <x v="3"/>
    <x v="0"/>
    <d v="2024-04-21T00:00:00"/>
    <d v="2024-05-21T00:00:00"/>
    <n v="2148000"/>
    <n v="179000"/>
    <n v="2348000"/>
    <n v="1449900"/>
    <n v="8.4700000000000006"/>
    <n v="53700"/>
    <n v="53"/>
    <n v="828"/>
    <x v="0"/>
    <x v="0"/>
    <x v="0"/>
    <n v="30"/>
    <n v="37518.97"/>
  </r>
  <r>
    <x v="21"/>
    <s v="Diya Sharma"/>
    <n v="48"/>
    <x v="0"/>
    <x v="4"/>
    <x v="4"/>
    <x v="0"/>
    <d v="2024-04-22T00:00:00"/>
    <d v="2024-05-22T00:00:00"/>
    <n v="1176000"/>
    <n v="98000"/>
    <n v="1376000"/>
    <n v="793800"/>
    <n v="7.82"/>
    <n v="29400"/>
    <n v="57"/>
    <n v="779"/>
    <x v="1"/>
    <x v="1"/>
    <x v="1"/>
    <n v="30"/>
    <n v="22948.23"/>
  </r>
  <r>
    <x v="22"/>
    <s v="Sanya Mehta"/>
    <n v="55"/>
    <x v="0"/>
    <x v="4"/>
    <x v="0"/>
    <x v="0"/>
    <d v="2024-04-23T00:00:00"/>
    <d v="2024-05-23T00:00:00"/>
    <n v="1740000"/>
    <n v="145000"/>
    <n v="1940000"/>
    <n v="1174500"/>
    <n v="6.78"/>
    <n v="43500"/>
    <n v="52"/>
    <n v="754"/>
    <x v="0"/>
    <x v="0"/>
    <x v="0"/>
    <n v="30"/>
    <n v="19480.46"/>
  </r>
  <r>
    <x v="23"/>
    <s v="Karan Sharma"/>
    <n v="23"/>
    <x v="1"/>
    <x v="5"/>
    <x v="1"/>
    <x v="0"/>
    <d v="2024-04-24T00:00:00"/>
    <d v="2024-05-24T00:00:00"/>
    <n v="2520000"/>
    <n v="210000"/>
    <n v="2720000"/>
    <n v="1701000"/>
    <n v="5.04"/>
    <n v="63000"/>
    <n v="48"/>
    <n v="641"/>
    <x v="1"/>
    <x v="1"/>
    <x v="1"/>
    <n v="30"/>
    <n v="7653.2"/>
  </r>
  <r>
    <x v="24"/>
    <s v="Rahul Sharma"/>
    <n v="44"/>
    <x v="1"/>
    <x v="1"/>
    <x v="4"/>
    <x v="0"/>
    <d v="2024-04-25T00:00:00"/>
    <d v="2024-05-25T00:00:00"/>
    <n v="6876000"/>
    <n v="573000"/>
    <n v="7076000"/>
    <n v="4641300"/>
    <n v="8.32"/>
    <n v="171900"/>
    <n v="49"/>
    <n v="715"/>
    <x v="0"/>
    <x v="0"/>
    <x v="0"/>
    <n v="30"/>
    <n v="20569.150000000001"/>
  </r>
  <r>
    <x v="25"/>
    <s v="Meera Verma"/>
    <n v="45"/>
    <x v="1"/>
    <x v="1"/>
    <x v="2"/>
    <x v="0"/>
    <d v="2024-04-26T00:00:00"/>
    <d v="2024-05-26T00:00:00"/>
    <n v="2628000"/>
    <n v="219000"/>
    <n v="2828000"/>
    <n v="1773900"/>
    <n v="9.77"/>
    <n v="65700"/>
    <n v="54"/>
    <n v="826"/>
    <x v="1"/>
    <x v="1"/>
    <x v="1"/>
    <n v="30"/>
    <n v="26197.41"/>
  </r>
  <r>
    <x v="26"/>
    <s v="Sanya Mehta"/>
    <n v="45"/>
    <x v="1"/>
    <x v="4"/>
    <x v="4"/>
    <x v="0"/>
    <d v="2024-04-27T00:00:00"/>
    <d v="2024-05-27T00:00:00"/>
    <n v="6372000"/>
    <n v="531000"/>
    <n v="6572000"/>
    <n v="4301100"/>
    <n v="8.57"/>
    <n v="159300"/>
    <n v="50"/>
    <n v="850"/>
    <x v="1"/>
    <x v="1"/>
    <x v="1"/>
    <n v="30"/>
    <n v="27227.58"/>
  </r>
  <r>
    <x v="27"/>
    <s v="Karan Verma"/>
    <n v="31"/>
    <x v="1"/>
    <x v="3"/>
    <x v="1"/>
    <x v="0"/>
    <d v="2024-04-28T00:00:00"/>
    <d v="2024-05-28T00:00:00"/>
    <n v="1008000"/>
    <n v="84000"/>
    <n v="1208000"/>
    <n v="680400"/>
    <n v="8.4499999999999993"/>
    <n v="25200"/>
    <n v="59"/>
    <n v="798"/>
    <x v="1"/>
    <x v="1"/>
    <x v="1"/>
    <n v="30"/>
    <n v="30559.58"/>
  </r>
  <r>
    <x v="28"/>
    <s v="Aditya Singh"/>
    <n v="27"/>
    <x v="0"/>
    <x v="1"/>
    <x v="0"/>
    <x v="0"/>
    <d v="2024-04-29T00:00:00"/>
    <d v="2024-05-29T00:00:00"/>
    <n v="2112000"/>
    <n v="176000"/>
    <n v="2312000"/>
    <n v="1425600"/>
    <n v="8.56"/>
    <n v="52800"/>
    <n v="53"/>
    <n v="698"/>
    <x v="1"/>
    <x v="1"/>
    <x v="1"/>
    <n v="30"/>
    <n v="18264.97"/>
  </r>
  <r>
    <x v="29"/>
    <s v="Vivaan Mehta"/>
    <n v="59"/>
    <x v="0"/>
    <x v="1"/>
    <x v="0"/>
    <x v="0"/>
    <d v="2024-04-30T00:00:00"/>
    <d v="2024-05-30T00:00:00"/>
    <n v="5196000"/>
    <n v="433000"/>
    <n v="5396000"/>
    <n v="3507300"/>
    <n v="8.5299999999999994"/>
    <n v="129900"/>
    <n v="50"/>
    <n v="811"/>
    <x v="1"/>
    <x v="1"/>
    <x v="1"/>
    <n v="30"/>
    <n v="35830.9"/>
  </r>
  <r>
    <x v="30"/>
    <s v="Meera Joshi"/>
    <n v="28"/>
    <x v="1"/>
    <x v="5"/>
    <x v="4"/>
    <x v="0"/>
    <d v="2024-05-01T00:00:00"/>
    <d v="2024-06-01T00:00:00"/>
    <n v="5208000"/>
    <n v="434000"/>
    <n v="5408000"/>
    <n v="3385200"/>
    <n v="8.48"/>
    <n v="130200"/>
    <n v="50"/>
    <n v="766"/>
    <x v="0"/>
    <x v="0"/>
    <x v="0"/>
    <n v="30"/>
    <n v="31352.37"/>
  </r>
  <r>
    <x v="31"/>
    <s v="Rahul Verma"/>
    <n v="36"/>
    <x v="0"/>
    <x v="4"/>
    <x v="2"/>
    <x v="0"/>
    <d v="2024-05-02T00:00:00"/>
    <d v="2024-06-02T00:00:00"/>
    <n v="3864000"/>
    <n v="322000"/>
    <n v="4064000"/>
    <n v="2511600"/>
    <n v="6.16"/>
    <n v="96600"/>
    <n v="48"/>
    <n v="629"/>
    <x v="0"/>
    <x v="0"/>
    <x v="0"/>
    <n v="30"/>
    <n v="20566.84"/>
  </r>
  <r>
    <x v="32"/>
    <s v="Ishaan Patel"/>
    <n v="27"/>
    <x v="1"/>
    <x v="5"/>
    <x v="2"/>
    <x v="0"/>
    <d v="2024-05-03T00:00:00"/>
    <d v="2024-06-03T00:00:00"/>
    <n v="3888000"/>
    <n v="324000"/>
    <n v="4088000"/>
    <n v="2527200"/>
    <n v="8.49"/>
    <n v="97200"/>
    <n v="51"/>
    <n v="743"/>
    <x v="0"/>
    <x v="0"/>
    <x v="0"/>
    <n v="30"/>
    <n v="26258.99"/>
  </r>
  <r>
    <x v="33"/>
    <s v="Aisha Gupta"/>
    <n v="52"/>
    <x v="0"/>
    <x v="1"/>
    <x v="0"/>
    <x v="0"/>
    <d v="2024-05-04T00:00:00"/>
    <d v="2024-06-04T00:00:00"/>
    <n v="3936000"/>
    <n v="328000"/>
    <n v="4136000"/>
    <n v="2558400"/>
    <n v="8.1"/>
    <n v="98400"/>
    <n v="50"/>
    <n v="704"/>
    <x v="1"/>
    <x v="1"/>
    <x v="1"/>
    <n v="30"/>
    <n v="20749.22"/>
  </r>
  <r>
    <x v="34"/>
    <s v="Diya Verma"/>
    <n v="27"/>
    <x v="1"/>
    <x v="0"/>
    <x v="1"/>
    <x v="0"/>
    <d v="2024-05-05T00:00:00"/>
    <d v="2024-06-05T00:00:00"/>
    <n v="5088000"/>
    <n v="424000"/>
    <n v="5288000"/>
    <n v="3307200"/>
    <n v="8.11"/>
    <n v="127200"/>
    <n v="49"/>
    <n v="712"/>
    <x v="1"/>
    <x v="1"/>
    <x v="1"/>
    <n v="30"/>
    <n v="14175.49"/>
  </r>
  <r>
    <x v="35"/>
    <s v="Priya Patel"/>
    <n v="31"/>
    <x v="1"/>
    <x v="4"/>
    <x v="2"/>
    <x v="0"/>
    <d v="2024-05-06T00:00:00"/>
    <d v="2024-06-06T00:00:00"/>
    <n v="792000"/>
    <n v="66000"/>
    <n v="992000"/>
    <n v="514800"/>
    <n v="5.73"/>
    <n v="19800"/>
    <n v="58"/>
    <n v="634"/>
    <x v="1"/>
    <x v="1"/>
    <x v="1"/>
    <n v="30"/>
    <n v="22752.92"/>
  </r>
  <r>
    <x v="36"/>
    <s v="Aditya Kumar"/>
    <n v="46"/>
    <x v="1"/>
    <x v="1"/>
    <x v="4"/>
    <x v="0"/>
    <d v="2024-05-07T00:00:00"/>
    <d v="2024-06-07T00:00:00"/>
    <n v="2856000"/>
    <n v="238000"/>
    <n v="3056000"/>
    <n v="1856400"/>
    <n v="5.01"/>
    <n v="71400"/>
    <n v="48"/>
    <n v="751"/>
    <x v="1"/>
    <x v="1"/>
    <x v="1"/>
    <n v="30"/>
    <n v="7499.38"/>
  </r>
  <r>
    <x v="37"/>
    <s v="Kavya Nair"/>
    <n v="40"/>
    <x v="1"/>
    <x v="1"/>
    <x v="1"/>
    <x v="0"/>
    <d v="2024-05-08T00:00:00"/>
    <d v="2024-06-08T00:00:00"/>
    <n v="8232000"/>
    <n v="686000"/>
    <n v="8432000"/>
    <n v="5350800"/>
    <n v="7.51"/>
    <n v="205800"/>
    <n v="48"/>
    <n v="706"/>
    <x v="1"/>
    <x v="1"/>
    <x v="1"/>
    <n v="30"/>
    <n v="12164.64"/>
  </r>
  <r>
    <x v="38"/>
    <s v="Pooja Singh"/>
    <n v="30"/>
    <x v="1"/>
    <x v="3"/>
    <x v="3"/>
    <x v="0"/>
    <d v="2024-05-09T00:00:00"/>
    <d v="2024-06-09T00:00:00"/>
    <n v="3252000"/>
    <n v="271000"/>
    <n v="3452000"/>
    <n v="2113800"/>
    <n v="7.35"/>
    <n v="81300"/>
    <n v="50"/>
    <n v="613"/>
    <x v="0"/>
    <x v="0"/>
    <x v="0"/>
    <n v="30"/>
    <n v="21548.66"/>
  </r>
  <r>
    <x v="39"/>
    <s v="Rohan Patel"/>
    <n v="36"/>
    <x v="1"/>
    <x v="3"/>
    <x v="2"/>
    <x v="0"/>
    <d v="2024-05-10T00:00:00"/>
    <d v="2024-06-10T00:00:00"/>
    <n v="8148000"/>
    <n v="679000"/>
    <n v="8348000"/>
    <n v="5296200"/>
    <n v="7.66"/>
    <n v="203700"/>
    <n v="48"/>
    <n v="645"/>
    <x v="1"/>
    <x v="1"/>
    <x v="1"/>
    <n v="30"/>
    <n v="12789.9"/>
  </r>
  <r>
    <x v="40"/>
    <s v="Diya Mehta"/>
    <n v="21"/>
    <x v="0"/>
    <x v="2"/>
    <x v="2"/>
    <x v="0"/>
    <d v="2024-05-11T00:00:00"/>
    <d v="2024-06-11T00:00:00"/>
    <n v="852000"/>
    <n v="71000"/>
    <n v="1052000"/>
    <n v="553800"/>
    <n v="9.19"/>
    <n v="21300"/>
    <n v="63"/>
    <n v="774"/>
    <x v="1"/>
    <x v="1"/>
    <x v="1"/>
    <n v="30"/>
    <n v="36837.839999999997"/>
  </r>
  <r>
    <x v="41"/>
    <s v="Ananya Singh"/>
    <n v="53"/>
    <x v="0"/>
    <x v="3"/>
    <x v="2"/>
    <x v="0"/>
    <d v="2024-05-12T00:00:00"/>
    <d v="2024-06-12T00:00:00"/>
    <n v="4512000"/>
    <n v="376000"/>
    <n v="4712000"/>
    <n v="2932800"/>
    <n v="9.2899999999999991"/>
    <n v="112800"/>
    <n v="51"/>
    <n v="690"/>
    <x v="1"/>
    <x v="1"/>
    <x v="1"/>
    <n v="30"/>
    <n v="17884.12"/>
  </r>
  <r>
    <x v="42"/>
    <s v="Aditya Mehta"/>
    <n v="27"/>
    <x v="1"/>
    <x v="2"/>
    <x v="3"/>
    <x v="0"/>
    <d v="2024-05-13T00:00:00"/>
    <d v="2024-06-13T00:00:00"/>
    <n v="2700000"/>
    <n v="225000"/>
    <n v="2900000"/>
    <n v="1755000"/>
    <n v="9.02"/>
    <n v="67500"/>
    <n v="53"/>
    <n v="776"/>
    <x v="1"/>
    <x v="1"/>
    <x v="1"/>
    <n v="30"/>
    <n v="16132.78"/>
  </r>
  <r>
    <x v="43"/>
    <s v="Aditya Gupta"/>
    <n v="47"/>
    <x v="0"/>
    <x v="0"/>
    <x v="2"/>
    <x v="0"/>
    <d v="2024-05-14T00:00:00"/>
    <d v="2024-06-14T00:00:00"/>
    <n v="2940000"/>
    <n v="245000"/>
    <n v="3140000"/>
    <n v="1911000"/>
    <n v="8.48"/>
    <n v="73500"/>
    <n v="52"/>
    <n v="654"/>
    <x v="0"/>
    <x v="0"/>
    <x v="0"/>
    <n v="30"/>
    <n v="21816.65"/>
  </r>
  <r>
    <x v="44"/>
    <s v="Neha Mehta"/>
    <n v="41"/>
    <x v="1"/>
    <x v="4"/>
    <x v="0"/>
    <x v="0"/>
    <d v="2024-05-15T00:00:00"/>
    <d v="2024-06-15T00:00:00"/>
    <n v="2304000"/>
    <n v="192000"/>
    <n v="2504000"/>
    <n v="1497600"/>
    <n v="8.66"/>
    <n v="57600"/>
    <n v="53"/>
    <n v="761"/>
    <x v="0"/>
    <x v="0"/>
    <x v="0"/>
    <n v="30"/>
    <n v="16826.88"/>
  </r>
  <r>
    <x v="45"/>
    <s v="Rahul Yadav"/>
    <n v="38"/>
    <x v="1"/>
    <x v="0"/>
    <x v="3"/>
    <x v="0"/>
    <d v="2024-05-16T00:00:00"/>
    <d v="2024-06-16T00:00:00"/>
    <n v="7332000"/>
    <n v="611000"/>
    <n v="7532000"/>
    <n v="4765800"/>
    <n v="8.02"/>
    <n v="183300"/>
    <n v="49"/>
    <n v="756"/>
    <x v="1"/>
    <x v="1"/>
    <x v="1"/>
    <n v="30"/>
    <n v="11034.57"/>
  </r>
  <r>
    <x v="46"/>
    <s v="Aisha Patel"/>
    <n v="35"/>
    <x v="0"/>
    <x v="1"/>
    <x v="2"/>
    <x v="0"/>
    <d v="2024-05-17T00:00:00"/>
    <d v="2024-06-17T00:00:00"/>
    <n v="3528000"/>
    <n v="294000"/>
    <n v="3728000"/>
    <n v="2293200"/>
    <n v="9.24"/>
    <n v="88200"/>
    <n v="52"/>
    <n v="614"/>
    <x v="0"/>
    <x v="0"/>
    <x v="0"/>
    <n v="30"/>
    <n v="16432.25"/>
  </r>
  <r>
    <x v="47"/>
    <s v="Ishaan Mehta"/>
    <n v="58"/>
    <x v="0"/>
    <x v="1"/>
    <x v="2"/>
    <x v="0"/>
    <d v="2024-05-18T00:00:00"/>
    <d v="2024-06-18T00:00:00"/>
    <n v="8064000"/>
    <n v="672000"/>
    <n v="8264000"/>
    <n v="5241600"/>
    <n v="9.3000000000000007"/>
    <n v="201600"/>
    <n v="50"/>
    <n v="740"/>
    <x v="1"/>
    <x v="1"/>
    <x v="1"/>
    <n v="30"/>
    <n v="40442.449999999997"/>
  </r>
  <r>
    <x v="48"/>
    <s v="Sneha Mehta"/>
    <n v="52"/>
    <x v="0"/>
    <x v="0"/>
    <x v="4"/>
    <x v="0"/>
    <d v="2024-05-19T00:00:00"/>
    <d v="2024-06-19T00:00:00"/>
    <n v="7056000"/>
    <n v="588000"/>
    <n v="7256000"/>
    <n v="4586400"/>
    <n v="9.75"/>
    <n v="176400"/>
    <n v="51"/>
    <n v="663"/>
    <x v="0"/>
    <x v="0"/>
    <x v="0"/>
    <n v="30"/>
    <n v="37305.629999999997"/>
  </r>
  <r>
    <x v="49"/>
    <s v="Aditya Kumar"/>
    <n v="53"/>
    <x v="0"/>
    <x v="5"/>
    <x v="1"/>
    <x v="0"/>
    <d v="2024-05-20T00:00:00"/>
    <d v="2024-06-20T00:00:00"/>
    <n v="3816000"/>
    <n v="318000"/>
    <n v="4016000"/>
    <n v="2480400"/>
    <n v="5.59"/>
    <n v="95400"/>
    <n v="47"/>
    <n v="646"/>
    <x v="1"/>
    <x v="1"/>
    <x v="1"/>
    <n v="30"/>
    <n v="5206.6899999999996"/>
  </r>
  <r>
    <x v="50"/>
    <s v="Kavya Joshi"/>
    <n v="59"/>
    <x v="1"/>
    <x v="2"/>
    <x v="2"/>
    <x v="0"/>
    <d v="2024-05-21T00:00:00"/>
    <d v="2024-06-21T00:00:00"/>
    <n v="7632000"/>
    <n v="636000"/>
    <n v="7832000"/>
    <n v="4960800"/>
    <n v="5.59"/>
    <n v="190800"/>
    <n v="46"/>
    <n v="651"/>
    <x v="1"/>
    <x v="1"/>
    <x v="1"/>
    <n v="30"/>
    <n v="7220.33"/>
  </r>
  <r>
    <x v="51"/>
    <s v="Priya Gupta"/>
    <n v="54"/>
    <x v="1"/>
    <x v="2"/>
    <x v="1"/>
    <x v="0"/>
    <d v="2024-05-22T00:00:00"/>
    <d v="2024-06-22T00:00:00"/>
    <n v="4116000"/>
    <n v="343000"/>
    <n v="4316000"/>
    <n v="2675400"/>
    <n v="9.0299999999999994"/>
    <n v="102900"/>
    <n v="51"/>
    <n v="818"/>
    <x v="1"/>
    <x v="1"/>
    <x v="1"/>
    <n v="30"/>
    <n v="9170.09"/>
  </r>
  <r>
    <x v="52"/>
    <s v="Karan Yadav"/>
    <n v="25"/>
    <x v="1"/>
    <x v="3"/>
    <x v="2"/>
    <x v="0"/>
    <d v="2024-05-23T00:00:00"/>
    <d v="2024-06-23T00:00:00"/>
    <n v="4068000"/>
    <n v="339000"/>
    <n v="4268000"/>
    <n v="2644200"/>
    <n v="5.65"/>
    <n v="101700"/>
    <n v="47"/>
    <n v="841"/>
    <x v="1"/>
    <x v="1"/>
    <x v="1"/>
    <n v="30"/>
    <n v="7985.04"/>
  </r>
  <r>
    <x v="53"/>
    <s v="Meera Nair"/>
    <n v="48"/>
    <x v="0"/>
    <x v="1"/>
    <x v="3"/>
    <x v="0"/>
    <d v="2024-05-24T00:00:00"/>
    <d v="2024-06-24T00:00:00"/>
    <n v="2136000"/>
    <n v="178000"/>
    <n v="2336000"/>
    <n v="1388400"/>
    <n v="6.72"/>
    <n v="53400"/>
    <n v="51"/>
    <n v="622"/>
    <x v="0"/>
    <x v="0"/>
    <x v="0"/>
    <n v="30"/>
    <n v="25301.78"/>
  </r>
  <r>
    <x v="54"/>
    <s v="Aisha Joshi"/>
    <n v="59"/>
    <x v="0"/>
    <x v="4"/>
    <x v="0"/>
    <x v="0"/>
    <d v="2024-05-25T00:00:00"/>
    <d v="2024-06-25T00:00:00"/>
    <n v="4788000"/>
    <n v="399000"/>
    <n v="4988000"/>
    <n v="3112200"/>
    <n v="5.18"/>
    <n v="119700"/>
    <n v="47"/>
    <n v="780"/>
    <x v="1"/>
    <x v="1"/>
    <x v="1"/>
    <n v="30"/>
    <n v="10586.19"/>
  </r>
  <r>
    <x v="55"/>
    <s v="Aisha Nair"/>
    <n v="48"/>
    <x v="1"/>
    <x v="1"/>
    <x v="2"/>
    <x v="0"/>
    <d v="2024-05-26T00:00:00"/>
    <d v="2024-06-26T00:00:00"/>
    <n v="2388000"/>
    <n v="199000"/>
    <n v="2588000"/>
    <n v="1552200"/>
    <n v="6.34"/>
    <n v="59700"/>
    <n v="50"/>
    <n v="812"/>
    <x v="1"/>
    <x v="1"/>
    <x v="1"/>
    <n v="30"/>
    <n v="18369.5"/>
  </r>
  <r>
    <x v="56"/>
    <s v="Aarav Gupta"/>
    <n v="52"/>
    <x v="1"/>
    <x v="3"/>
    <x v="3"/>
    <x v="0"/>
    <d v="2024-05-27T00:00:00"/>
    <d v="2024-06-27T00:00:00"/>
    <n v="6852000"/>
    <n v="571000"/>
    <n v="7052000"/>
    <n v="4453800"/>
    <n v="5.59"/>
    <n v="171300"/>
    <n v="46"/>
    <n v="672"/>
    <x v="1"/>
    <x v="1"/>
    <x v="1"/>
    <n v="30"/>
    <n v="5618.71"/>
  </r>
  <r>
    <x v="57"/>
    <s v="Ishaan Mehta"/>
    <n v="45"/>
    <x v="1"/>
    <x v="1"/>
    <x v="4"/>
    <x v="0"/>
    <d v="2024-05-28T00:00:00"/>
    <d v="2024-06-28T00:00:00"/>
    <n v="3480000"/>
    <n v="290000"/>
    <n v="3680000"/>
    <n v="2262000"/>
    <n v="9.85"/>
    <n v="87000"/>
    <n v="53"/>
    <n v="707"/>
    <x v="0"/>
    <x v="0"/>
    <x v="0"/>
    <n v="30"/>
    <n v="36753.379999999997"/>
  </r>
  <r>
    <x v="58"/>
    <s v="Aryan Singh"/>
    <n v="23"/>
    <x v="0"/>
    <x v="4"/>
    <x v="3"/>
    <x v="0"/>
    <d v="2024-05-29T00:00:00"/>
    <d v="2024-06-29T00:00:00"/>
    <n v="2688000"/>
    <n v="224000"/>
    <n v="2888000"/>
    <n v="1747200"/>
    <n v="5.59"/>
    <n v="67200"/>
    <n v="49"/>
    <n v="848"/>
    <x v="1"/>
    <x v="1"/>
    <x v="1"/>
    <n v="30"/>
    <n v="23910.3"/>
  </r>
  <r>
    <x v="59"/>
    <s v="Priya Joshi"/>
    <n v="43"/>
    <x v="0"/>
    <x v="0"/>
    <x v="4"/>
    <x v="0"/>
    <d v="2024-05-30T00:00:00"/>
    <d v="2024-06-30T00:00:00"/>
    <n v="4752000"/>
    <n v="396000"/>
    <n v="4952000"/>
    <n v="3088800"/>
    <n v="7.06"/>
    <n v="118800"/>
    <n v="48"/>
    <n v="787"/>
    <x v="0"/>
    <x v="0"/>
    <x v="0"/>
    <n v="30"/>
    <n v="19612.84"/>
  </r>
  <r>
    <x v="60"/>
    <s v="Meera Verma"/>
    <n v="53"/>
    <x v="0"/>
    <x v="0"/>
    <x v="0"/>
    <x v="0"/>
    <d v="2024-05-31T00:00:00"/>
    <d v="2024-06-30T00:00:00"/>
    <n v="7932000"/>
    <n v="661000"/>
    <n v="8132000"/>
    <n v="5155800"/>
    <n v="8.3699999999999992"/>
    <n v="198300"/>
    <n v="49"/>
    <n v="773"/>
    <x v="0"/>
    <x v="0"/>
    <x v="0"/>
    <n v="30"/>
    <n v="6789.48"/>
  </r>
  <r>
    <x v="61"/>
    <s v="Aarav Sharma"/>
    <n v="53"/>
    <x v="0"/>
    <x v="5"/>
    <x v="2"/>
    <x v="0"/>
    <d v="2024-06-01T00:00:00"/>
    <d v="2024-07-01T00:00:00"/>
    <n v="3744000"/>
    <n v="312000"/>
    <n v="3944000"/>
    <n v="2340000"/>
    <n v="7.33"/>
    <n v="93600"/>
    <n v="49"/>
    <n v="761"/>
    <x v="1"/>
    <x v="1"/>
    <x v="1"/>
    <n v="30"/>
    <n v="8064.42"/>
  </r>
  <r>
    <x v="62"/>
    <s v="Ananya Nair"/>
    <n v="46"/>
    <x v="1"/>
    <x v="4"/>
    <x v="0"/>
    <x v="0"/>
    <d v="2024-06-02T00:00:00"/>
    <d v="2024-07-02T00:00:00"/>
    <n v="5676000"/>
    <n v="473000"/>
    <n v="5876000"/>
    <n v="3547500"/>
    <n v="8.25"/>
    <n v="141900"/>
    <n v="49"/>
    <n v="750"/>
    <x v="0"/>
    <x v="0"/>
    <x v="0"/>
    <n v="30"/>
    <n v="25144.98"/>
  </r>
  <r>
    <x v="63"/>
    <s v="Ishaan Verma"/>
    <n v="56"/>
    <x v="0"/>
    <x v="2"/>
    <x v="0"/>
    <x v="0"/>
    <d v="2024-06-03T00:00:00"/>
    <d v="2024-07-03T00:00:00"/>
    <n v="5364000"/>
    <n v="447000"/>
    <n v="5564000"/>
    <n v="3352500"/>
    <n v="6.42"/>
    <n v="134100"/>
    <n v="48"/>
    <n v="789"/>
    <x v="0"/>
    <x v="0"/>
    <x v="0"/>
    <n v="30"/>
    <n v="10829.54"/>
  </r>
  <r>
    <x v="64"/>
    <s v="Ananya Yadav"/>
    <n v="43"/>
    <x v="0"/>
    <x v="4"/>
    <x v="3"/>
    <x v="0"/>
    <d v="2024-06-04T00:00:00"/>
    <d v="2024-07-04T00:00:00"/>
    <n v="8748000"/>
    <n v="729000"/>
    <n v="8948000"/>
    <n v="5467500"/>
    <n v="5.14"/>
    <n v="218700"/>
    <n v="46"/>
    <n v="791"/>
    <x v="1"/>
    <x v="1"/>
    <x v="1"/>
    <n v="30"/>
    <n v="8383.1299999999992"/>
  </r>
  <r>
    <x v="65"/>
    <s v="Rahul Gupta"/>
    <n v="39"/>
    <x v="1"/>
    <x v="3"/>
    <x v="0"/>
    <x v="0"/>
    <d v="2024-06-05T00:00:00"/>
    <d v="2024-07-05T00:00:00"/>
    <n v="6036000"/>
    <n v="503000"/>
    <n v="6236000"/>
    <n v="3772500"/>
    <n v="8.3699999999999992"/>
    <n v="150900"/>
    <n v="49"/>
    <n v="636"/>
    <x v="0"/>
    <x v="0"/>
    <x v="0"/>
    <n v="30"/>
    <n v="9647.35"/>
  </r>
  <r>
    <x v="66"/>
    <s v="Aryan Joshi"/>
    <n v="27"/>
    <x v="1"/>
    <x v="1"/>
    <x v="4"/>
    <x v="0"/>
    <d v="2024-06-06T00:00:00"/>
    <d v="2024-07-06T00:00:00"/>
    <n v="7392000"/>
    <n v="616000"/>
    <n v="7592000"/>
    <n v="4620000"/>
    <n v="9.2100000000000009"/>
    <n v="184800"/>
    <n v="50"/>
    <n v="682"/>
    <x v="1"/>
    <x v="1"/>
    <x v="1"/>
    <n v="30"/>
    <n v="26634.400000000001"/>
  </r>
  <r>
    <x v="67"/>
    <s v="Diya Sharma"/>
    <n v="57"/>
    <x v="0"/>
    <x v="0"/>
    <x v="3"/>
    <x v="0"/>
    <d v="2024-06-07T00:00:00"/>
    <d v="2024-07-07T00:00:00"/>
    <n v="5184000"/>
    <n v="432000"/>
    <n v="5384000"/>
    <n v="3240000"/>
    <n v="5.79"/>
    <n v="129600"/>
    <n v="47"/>
    <n v="622"/>
    <x v="0"/>
    <x v="0"/>
    <x v="0"/>
    <n v="30"/>
    <n v="14225.97"/>
  </r>
  <r>
    <x v="68"/>
    <s v="Kavya Patel"/>
    <n v="44"/>
    <x v="0"/>
    <x v="3"/>
    <x v="4"/>
    <x v="0"/>
    <d v="2024-06-08T00:00:00"/>
    <d v="2024-07-08T00:00:00"/>
    <n v="1452000"/>
    <n v="121000"/>
    <n v="1652000"/>
    <n v="907500"/>
    <n v="5.53"/>
    <n v="36300"/>
    <n v="52"/>
    <n v="664"/>
    <x v="1"/>
    <x v="1"/>
    <x v="1"/>
    <n v="30"/>
    <n v="13284.07"/>
  </r>
  <r>
    <x v="69"/>
    <s v="Ishaan Patel"/>
    <n v="44"/>
    <x v="0"/>
    <x v="0"/>
    <x v="0"/>
    <x v="0"/>
    <d v="2024-06-09T00:00:00"/>
    <d v="2024-07-09T00:00:00"/>
    <n v="3420000"/>
    <n v="285000"/>
    <n v="3620000"/>
    <n v="2137500"/>
    <n v="7.06"/>
    <n v="85500"/>
    <n v="49"/>
    <n v="633"/>
    <x v="1"/>
    <x v="1"/>
    <x v="1"/>
    <n v="30"/>
    <n v="26709.84"/>
  </r>
  <r>
    <x v="70"/>
    <s v="Arjun Yadav"/>
    <n v="48"/>
    <x v="1"/>
    <x v="4"/>
    <x v="4"/>
    <x v="0"/>
    <d v="2024-06-10T00:00:00"/>
    <d v="2024-07-10T00:00:00"/>
    <n v="5220000"/>
    <n v="435000"/>
    <n v="5420000"/>
    <n v="3262500"/>
    <n v="8.82"/>
    <n v="130500"/>
    <n v="50"/>
    <n v="649"/>
    <x v="1"/>
    <x v="1"/>
    <x v="1"/>
    <n v="30"/>
    <n v="38089.81"/>
  </r>
  <r>
    <x v="71"/>
    <s v="Rahul Singh"/>
    <n v="26"/>
    <x v="1"/>
    <x v="0"/>
    <x v="2"/>
    <x v="0"/>
    <d v="2024-06-11T00:00:00"/>
    <d v="2024-07-11T00:00:00"/>
    <n v="2592000"/>
    <n v="216000"/>
    <n v="2792000"/>
    <n v="1620000"/>
    <n v="6.62"/>
    <n v="64800"/>
    <n v="50"/>
    <n v="796"/>
    <x v="1"/>
    <x v="1"/>
    <x v="1"/>
    <n v="30"/>
    <n v="20914.53"/>
  </r>
  <r>
    <x v="72"/>
    <s v="Karan Nair"/>
    <n v="23"/>
    <x v="1"/>
    <x v="5"/>
    <x v="3"/>
    <x v="0"/>
    <d v="2024-06-12T00:00:00"/>
    <d v="2024-07-12T00:00:00"/>
    <n v="5568000"/>
    <n v="464000"/>
    <n v="5768000"/>
    <n v="3480000"/>
    <n v="6.35"/>
    <n v="139200"/>
    <n v="47"/>
    <n v="714"/>
    <x v="0"/>
    <x v="0"/>
    <x v="0"/>
    <n v="30"/>
    <n v="21803.96"/>
  </r>
  <r>
    <x v="73"/>
    <s v="Meera Mehta"/>
    <n v="58"/>
    <x v="0"/>
    <x v="1"/>
    <x v="2"/>
    <x v="0"/>
    <d v="2024-06-13T00:00:00"/>
    <d v="2024-07-13T00:00:00"/>
    <n v="8112000"/>
    <n v="676000"/>
    <n v="8312000"/>
    <n v="5070000"/>
    <n v="8.42"/>
    <n v="202800"/>
    <n v="49"/>
    <n v="741"/>
    <x v="1"/>
    <x v="1"/>
    <x v="1"/>
    <n v="30"/>
    <n v="35202.76"/>
  </r>
  <r>
    <x v="74"/>
    <s v="Diya Joshi"/>
    <n v="31"/>
    <x v="1"/>
    <x v="3"/>
    <x v="3"/>
    <x v="0"/>
    <d v="2024-06-14T00:00:00"/>
    <d v="2024-07-14T00:00:00"/>
    <n v="8268000"/>
    <n v="689000"/>
    <n v="8468000"/>
    <n v="5167500"/>
    <n v="6.03"/>
    <n v="206700"/>
    <n v="46"/>
    <n v="773"/>
    <x v="1"/>
    <x v="1"/>
    <x v="1"/>
    <n v="30"/>
    <n v="26021.66"/>
  </r>
  <r>
    <x v="75"/>
    <s v="Ishaan Sharma"/>
    <n v="38"/>
    <x v="0"/>
    <x v="1"/>
    <x v="0"/>
    <x v="0"/>
    <d v="2024-06-15T00:00:00"/>
    <d v="2024-07-15T00:00:00"/>
    <n v="6012000"/>
    <n v="501000"/>
    <n v="6212000"/>
    <n v="3757500"/>
    <n v="8.73"/>
    <n v="150300"/>
    <n v="50"/>
    <n v="676"/>
    <x v="1"/>
    <x v="1"/>
    <x v="1"/>
    <n v="30"/>
    <n v="31133.47"/>
  </r>
  <r>
    <x v="76"/>
    <s v="Arjun Kumar"/>
    <n v="26"/>
    <x v="0"/>
    <x v="2"/>
    <x v="1"/>
    <x v="0"/>
    <d v="2024-06-16T00:00:00"/>
    <d v="2024-07-16T00:00:00"/>
    <n v="7584000"/>
    <n v="632000"/>
    <n v="7784000"/>
    <n v="4740000"/>
    <n v="6.53"/>
    <n v="189600"/>
    <n v="47"/>
    <n v="685"/>
    <x v="1"/>
    <x v="1"/>
    <x v="1"/>
    <n v="30"/>
    <n v="26893.14"/>
  </r>
  <r>
    <x v="77"/>
    <s v="Kavya Kumar"/>
    <n v="21"/>
    <x v="1"/>
    <x v="1"/>
    <x v="1"/>
    <x v="0"/>
    <d v="2024-06-17T00:00:00"/>
    <d v="2024-07-17T00:00:00"/>
    <n v="1188000"/>
    <n v="99000"/>
    <n v="1388000"/>
    <n v="742500"/>
    <n v="9.07"/>
    <n v="29700"/>
    <n v="58"/>
    <n v="671"/>
    <x v="0"/>
    <x v="0"/>
    <x v="0"/>
    <n v="30"/>
    <n v="20326.849999999999"/>
  </r>
  <r>
    <x v="78"/>
    <s v="Rohan Sharma"/>
    <n v="22"/>
    <x v="1"/>
    <x v="4"/>
    <x v="3"/>
    <x v="0"/>
    <d v="2024-06-18T00:00:00"/>
    <d v="2024-07-18T00:00:00"/>
    <n v="6720000"/>
    <n v="560000"/>
    <n v="6920000"/>
    <n v="4200000"/>
    <n v="9.9700000000000006"/>
    <n v="168000"/>
    <n v="51"/>
    <n v="606"/>
    <x v="0"/>
    <x v="0"/>
    <x v="0"/>
    <n v="30"/>
    <n v="21252.33"/>
  </r>
  <r>
    <x v="79"/>
    <s v="Priya Nair"/>
    <n v="48"/>
    <x v="0"/>
    <x v="4"/>
    <x v="3"/>
    <x v="0"/>
    <d v="2024-06-19T00:00:00"/>
    <d v="2024-07-19T00:00:00"/>
    <n v="4572000"/>
    <n v="381000"/>
    <n v="4772000"/>
    <n v="2857500"/>
    <n v="8.65"/>
    <n v="114300"/>
    <n v="50"/>
    <n v="670"/>
    <x v="1"/>
    <x v="1"/>
    <x v="1"/>
    <n v="30"/>
    <n v="24284.6"/>
  </r>
  <r>
    <x v="80"/>
    <s v="Vivaan Kumar"/>
    <n v="23"/>
    <x v="1"/>
    <x v="0"/>
    <x v="3"/>
    <x v="0"/>
    <d v="2024-06-20T00:00:00"/>
    <d v="2024-07-20T00:00:00"/>
    <n v="7656000"/>
    <n v="638000"/>
    <n v="7856000"/>
    <n v="4785000"/>
    <n v="6.26"/>
    <n v="191400"/>
    <n v="47"/>
    <n v="772"/>
    <x v="1"/>
    <x v="1"/>
    <x v="1"/>
    <n v="30"/>
    <n v="19285.38"/>
  </r>
  <r>
    <x v="81"/>
    <s v="Kavya Patel"/>
    <n v="22"/>
    <x v="0"/>
    <x v="2"/>
    <x v="3"/>
    <x v="0"/>
    <d v="2024-06-21T00:00:00"/>
    <d v="2024-07-21T00:00:00"/>
    <n v="7776000"/>
    <n v="648000"/>
    <n v="7976000"/>
    <n v="4860000"/>
    <n v="7.14"/>
    <n v="194400"/>
    <n v="48"/>
    <n v="691"/>
    <x v="0"/>
    <x v="0"/>
    <x v="0"/>
    <n v="30"/>
    <n v="10327.14"/>
  </r>
  <r>
    <x v="82"/>
    <s v="Aditya Kumar"/>
    <n v="26"/>
    <x v="1"/>
    <x v="3"/>
    <x v="1"/>
    <x v="0"/>
    <d v="2024-06-22T00:00:00"/>
    <d v="2024-07-22T00:00:00"/>
    <n v="3840000"/>
    <n v="320000"/>
    <n v="4040000"/>
    <n v="2400000"/>
    <n v="7.57"/>
    <n v="96000"/>
    <n v="50"/>
    <n v="623"/>
    <x v="1"/>
    <x v="1"/>
    <x v="1"/>
    <n v="30"/>
    <n v="24374.16"/>
  </r>
  <r>
    <x v="83"/>
    <s v="Aryan Yadav"/>
    <n v="31"/>
    <x v="1"/>
    <x v="2"/>
    <x v="1"/>
    <x v="0"/>
    <d v="2024-06-23T00:00:00"/>
    <d v="2024-07-23T00:00:00"/>
    <n v="4500000"/>
    <n v="375000"/>
    <n v="4700000"/>
    <n v="2812500"/>
    <n v="7.35"/>
    <n v="112500"/>
    <n v="49"/>
    <n v="719"/>
    <x v="1"/>
    <x v="1"/>
    <x v="1"/>
    <n v="30"/>
    <n v="19124.38"/>
  </r>
  <r>
    <x v="84"/>
    <s v="Arjun Kumar"/>
    <n v="50"/>
    <x v="0"/>
    <x v="5"/>
    <x v="2"/>
    <x v="0"/>
    <d v="2024-06-24T00:00:00"/>
    <d v="2024-07-24T00:00:00"/>
    <n v="7236000"/>
    <n v="603000"/>
    <n v="7436000"/>
    <n v="4522500"/>
    <n v="9.7100000000000009"/>
    <n v="180900"/>
    <n v="51"/>
    <n v="640"/>
    <x v="1"/>
    <x v="1"/>
    <x v="1"/>
    <n v="30"/>
    <n v="45729.85"/>
  </r>
  <r>
    <x v="85"/>
    <s v="Diya Kumar"/>
    <n v="44"/>
    <x v="1"/>
    <x v="5"/>
    <x v="3"/>
    <x v="0"/>
    <d v="2024-06-25T00:00:00"/>
    <d v="2024-07-25T00:00:00"/>
    <n v="8580000"/>
    <n v="715000"/>
    <n v="8780000"/>
    <n v="5362500"/>
    <n v="9.39"/>
    <n v="214500"/>
    <n v="50"/>
    <n v="824"/>
    <x v="1"/>
    <x v="1"/>
    <x v="1"/>
    <n v="30"/>
    <n v="20725.87"/>
  </r>
  <r>
    <x v="86"/>
    <s v="Arjun Sharma"/>
    <n v="46"/>
    <x v="0"/>
    <x v="4"/>
    <x v="0"/>
    <x v="0"/>
    <d v="2024-06-26T00:00:00"/>
    <d v="2024-07-26T00:00:00"/>
    <n v="6156000"/>
    <n v="513000"/>
    <n v="6356000"/>
    <n v="3847500"/>
    <n v="9.64"/>
    <n v="153900"/>
    <n v="51"/>
    <n v="830"/>
    <x v="1"/>
    <x v="1"/>
    <x v="1"/>
    <n v="30"/>
    <n v="28445.19"/>
  </r>
  <r>
    <x v="87"/>
    <s v="Ananya Yadav"/>
    <n v="31"/>
    <x v="0"/>
    <x v="0"/>
    <x v="3"/>
    <x v="0"/>
    <d v="2024-06-27T00:00:00"/>
    <d v="2024-07-27T00:00:00"/>
    <n v="1152000"/>
    <n v="96000"/>
    <n v="1352000"/>
    <n v="720000"/>
    <n v="9.42"/>
    <n v="28800"/>
    <n v="59"/>
    <n v="690"/>
    <x v="1"/>
    <x v="1"/>
    <x v="1"/>
    <n v="30"/>
    <n v="27249.71"/>
  </r>
  <r>
    <x v="88"/>
    <s v="Sneha Nair"/>
    <n v="33"/>
    <x v="1"/>
    <x v="2"/>
    <x v="2"/>
    <x v="0"/>
    <d v="2024-06-28T00:00:00"/>
    <d v="2024-07-28T00:00:00"/>
    <n v="1992000"/>
    <n v="166000"/>
    <n v="2192000"/>
    <n v="1245000"/>
    <n v="8.89"/>
    <n v="49800"/>
    <n v="54"/>
    <n v="837"/>
    <x v="0"/>
    <x v="0"/>
    <x v="0"/>
    <n v="30"/>
    <n v="12659.2"/>
  </r>
  <r>
    <x v="89"/>
    <s v="Pooja Verma"/>
    <n v="29"/>
    <x v="0"/>
    <x v="0"/>
    <x v="4"/>
    <x v="0"/>
    <d v="2024-06-29T00:00:00"/>
    <d v="2024-07-29T00:00:00"/>
    <n v="4332000"/>
    <n v="361000"/>
    <n v="4532000"/>
    <n v="2707500"/>
    <n v="5.77"/>
    <n v="108300"/>
    <n v="47"/>
    <n v="735"/>
    <x v="1"/>
    <x v="1"/>
    <x v="1"/>
    <n v="30"/>
    <n v="21853.59"/>
  </r>
  <r>
    <x v="90"/>
    <s v="Arjun Sharma"/>
    <n v="30"/>
    <x v="1"/>
    <x v="3"/>
    <x v="2"/>
    <x v="0"/>
    <d v="2024-06-30T00:00:00"/>
    <d v="2024-07-30T00:00:00"/>
    <n v="7296000"/>
    <n v="608000"/>
    <n v="7496000"/>
    <n v="4560000"/>
    <n v="5.27"/>
    <n v="182400"/>
    <n v="46"/>
    <n v="791"/>
    <x v="1"/>
    <x v="1"/>
    <x v="1"/>
    <n v="30"/>
    <n v="9009.33"/>
  </r>
  <r>
    <x v="91"/>
    <s v="Rahul Nair"/>
    <n v="27"/>
    <x v="1"/>
    <x v="5"/>
    <x v="3"/>
    <x v="0"/>
    <d v="2024-07-01T00:00:00"/>
    <d v="2024-08-01T00:00:00"/>
    <n v="3372000"/>
    <n v="281000"/>
    <n v="3572000"/>
    <n v="2023200"/>
    <n v="6.52"/>
    <n v="84300"/>
    <n v="49"/>
    <n v="621"/>
    <x v="0"/>
    <x v="0"/>
    <x v="0"/>
    <n v="30"/>
    <n v="19304.36"/>
  </r>
  <r>
    <x v="92"/>
    <s v="Pooja Kumar"/>
    <n v="54"/>
    <x v="0"/>
    <x v="0"/>
    <x v="3"/>
    <x v="0"/>
    <d v="2024-07-02T00:00:00"/>
    <d v="2024-08-02T00:00:00"/>
    <n v="4812000"/>
    <n v="401000"/>
    <n v="5012000"/>
    <n v="2887200"/>
    <n v="8.1"/>
    <n v="120300"/>
    <n v="50"/>
    <n v="818"/>
    <x v="1"/>
    <x v="1"/>
    <x v="1"/>
    <n v="30"/>
    <n v="29074.240000000002"/>
  </r>
  <r>
    <x v="93"/>
    <s v="Ritika Mehta"/>
    <n v="44"/>
    <x v="1"/>
    <x v="4"/>
    <x v="3"/>
    <x v="0"/>
    <d v="2024-07-03T00:00:00"/>
    <d v="2024-08-03T00:00:00"/>
    <n v="5784000"/>
    <n v="482000"/>
    <n v="5984000"/>
    <n v="3470400"/>
    <n v="7.32"/>
    <n v="144600"/>
    <n v="48"/>
    <n v="653"/>
    <x v="1"/>
    <x v="1"/>
    <x v="1"/>
    <n v="30"/>
    <n v="13881.74"/>
  </r>
  <r>
    <x v="94"/>
    <s v="Aryan Patel"/>
    <n v="42"/>
    <x v="1"/>
    <x v="1"/>
    <x v="4"/>
    <x v="0"/>
    <d v="2024-07-04T00:00:00"/>
    <d v="2024-08-04T00:00:00"/>
    <n v="2892000"/>
    <n v="241000"/>
    <n v="3092000"/>
    <n v="1735200"/>
    <n v="7.12"/>
    <n v="72300"/>
    <n v="50"/>
    <n v="669"/>
    <x v="1"/>
    <x v="1"/>
    <x v="1"/>
    <n v="30"/>
    <n v="29371.68"/>
  </r>
  <r>
    <x v="95"/>
    <s v="Ritika Joshi"/>
    <n v="23"/>
    <x v="0"/>
    <x v="1"/>
    <x v="1"/>
    <x v="0"/>
    <d v="2024-07-05T00:00:00"/>
    <d v="2024-08-05T00:00:00"/>
    <n v="6048000"/>
    <n v="504000"/>
    <n v="6248000"/>
    <n v="3628800"/>
    <n v="8.32"/>
    <n v="151200"/>
    <n v="49"/>
    <n v="831"/>
    <x v="0"/>
    <x v="0"/>
    <x v="0"/>
    <n v="30"/>
    <n v="28536.54"/>
  </r>
  <r>
    <x v="96"/>
    <s v="Sanya Sharma"/>
    <n v="39"/>
    <x v="1"/>
    <x v="0"/>
    <x v="0"/>
    <x v="0"/>
    <d v="2024-07-06T00:00:00"/>
    <d v="2024-08-06T00:00:00"/>
    <n v="7200000"/>
    <n v="600000"/>
    <n v="7400000"/>
    <n v="4320000"/>
    <n v="7.37"/>
    <n v="180000"/>
    <n v="48"/>
    <n v="735"/>
    <x v="0"/>
    <x v="0"/>
    <x v="0"/>
    <n v="30"/>
    <n v="19247.86"/>
  </r>
  <r>
    <x v="97"/>
    <s v="Aditya Sharma"/>
    <n v="28"/>
    <x v="1"/>
    <x v="5"/>
    <x v="3"/>
    <x v="0"/>
    <d v="2024-07-07T00:00:00"/>
    <d v="2024-08-07T00:00:00"/>
    <n v="5652000"/>
    <n v="471000"/>
    <n v="5852000"/>
    <n v="3391200"/>
    <n v="9.5500000000000007"/>
    <n v="141300"/>
    <n v="51"/>
    <n v="747"/>
    <x v="1"/>
    <x v="1"/>
    <x v="1"/>
    <n v="30"/>
    <n v="28832.18"/>
  </r>
  <r>
    <x v="98"/>
    <s v="Kavya Sharma"/>
    <n v="50"/>
    <x v="0"/>
    <x v="0"/>
    <x v="0"/>
    <x v="0"/>
    <d v="2024-07-08T00:00:00"/>
    <d v="2024-08-08T00:00:00"/>
    <n v="7320000"/>
    <n v="610000"/>
    <n v="7520000"/>
    <n v="4392000"/>
    <n v="7.3"/>
    <n v="183000"/>
    <n v="48"/>
    <n v="711"/>
    <x v="1"/>
    <x v="1"/>
    <x v="1"/>
    <n v="30"/>
    <n v="26123.68"/>
  </r>
  <r>
    <x v="99"/>
    <s v="Arjun Gupta"/>
    <n v="54"/>
    <x v="0"/>
    <x v="0"/>
    <x v="3"/>
    <x v="0"/>
    <d v="2024-07-09T00:00:00"/>
    <d v="2024-08-09T00:00:00"/>
    <n v="8508000"/>
    <n v="709000"/>
    <n v="8708000"/>
    <n v="5104800"/>
    <n v="6.87"/>
    <n v="212700"/>
    <n v="47"/>
    <n v="753"/>
    <x v="1"/>
    <x v="1"/>
    <x v="1"/>
    <n v="30"/>
    <n v="11547.49"/>
  </r>
  <r>
    <x v="100"/>
    <s v="Diya Kumar"/>
    <n v="21"/>
    <x v="0"/>
    <x v="3"/>
    <x v="2"/>
    <x v="0"/>
    <d v="2024-07-10T00:00:00"/>
    <d v="2024-08-10T00:00:00"/>
    <n v="8532000"/>
    <n v="711000"/>
    <n v="8732000"/>
    <n v="5119200"/>
    <n v="6.54"/>
    <n v="213300"/>
    <n v="47"/>
    <n v="834"/>
    <x v="1"/>
    <x v="1"/>
    <x v="1"/>
    <n v="30"/>
    <n v="13481.91"/>
  </r>
  <r>
    <x v="101"/>
    <s v="Pooja Gupta"/>
    <n v="51"/>
    <x v="1"/>
    <x v="0"/>
    <x v="3"/>
    <x v="0"/>
    <d v="2024-07-11T00:00:00"/>
    <d v="2024-08-11T00:00:00"/>
    <n v="1560000"/>
    <n v="130000"/>
    <n v="1760000"/>
    <n v="936000"/>
    <n v="7.22"/>
    <n v="39000"/>
    <n v="53"/>
    <n v="737"/>
    <x v="1"/>
    <x v="1"/>
    <x v="1"/>
    <n v="30"/>
    <n v="27118.07"/>
  </r>
  <r>
    <x v="102"/>
    <s v="Rahul Patel"/>
    <n v="40"/>
    <x v="0"/>
    <x v="3"/>
    <x v="4"/>
    <x v="0"/>
    <d v="2024-07-12T00:00:00"/>
    <d v="2024-08-12T00:00:00"/>
    <n v="8292000"/>
    <n v="691000"/>
    <n v="8492000"/>
    <n v="4975200"/>
    <n v="7.16"/>
    <n v="207300"/>
    <n v="48"/>
    <n v="617"/>
    <x v="1"/>
    <x v="1"/>
    <x v="1"/>
    <n v="30"/>
    <n v="33341.49"/>
  </r>
  <r>
    <x v="103"/>
    <s v="Arjun Singh"/>
    <n v="23"/>
    <x v="0"/>
    <x v="5"/>
    <x v="1"/>
    <x v="0"/>
    <d v="2024-07-13T00:00:00"/>
    <d v="2024-08-13T00:00:00"/>
    <n v="4368000"/>
    <n v="364000"/>
    <n v="4568000"/>
    <n v="2620800"/>
    <n v="5.34"/>
    <n v="109200"/>
    <n v="47"/>
    <n v="627"/>
    <x v="1"/>
    <x v="1"/>
    <x v="1"/>
    <n v="30"/>
    <n v="6238.46"/>
  </r>
  <r>
    <x v="104"/>
    <s v="Kavya Yadav"/>
    <n v="54"/>
    <x v="1"/>
    <x v="4"/>
    <x v="4"/>
    <x v="0"/>
    <d v="2024-07-14T00:00:00"/>
    <d v="2024-08-14T00:00:00"/>
    <n v="5580000"/>
    <n v="465000"/>
    <n v="5780000"/>
    <n v="3348000"/>
    <n v="7.51"/>
    <n v="139500"/>
    <n v="49"/>
    <n v="820"/>
    <x v="0"/>
    <x v="0"/>
    <x v="0"/>
    <n v="30"/>
    <n v="18868.38"/>
  </r>
  <r>
    <x v="105"/>
    <s v="Sanya Joshi"/>
    <n v="24"/>
    <x v="1"/>
    <x v="3"/>
    <x v="0"/>
    <x v="0"/>
    <d v="2024-07-15T00:00:00"/>
    <d v="2024-08-15T00:00:00"/>
    <n v="5040000"/>
    <n v="420000"/>
    <n v="5240000"/>
    <n v="3024000"/>
    <n v="6.89"/>
    <n v="126000"/>
    <n v="48"/>
    <n v="810"/>
    <x v="0"/>
    <x v="0"/>
    <x v="0"/>
    <n v="30"/>
    <n v="23362.57"/>
  </r>
  <r>
    <x v="106"/>
    <s v="Sneha Yadav"/>
    <n v="34"/>
    <x v="0"/>
    <x v="5"/>
    <x v="4"/>
    <x v="0"/>
    <d v="2024-07-16T00:00:00"/>
    <d v="2024-08-16T00:00:00"/>
    <n v="4104000"/>
    <n v="342000"/>
    <n v="4304000"/>
    <n v="2462400"/>
    <n v="9.57"/>
    <n v="102600"/>
    <n v="52"/>
    <n v="806"/>
    <x v="1"/>
    <x v="1"/>
    <x v="1"/>
    <n v="30"/>
    <n v="19713.47"/>
  </r>
  <r>
    <x v="107"/>
    <s v="Arjun Mehta"/>
    <n v="51"/>
    <x v="0"/>
    <x v="0"/>
    <x v="2"/>
    <x v="0"/>
    <d v="2024-07-17T00:00:00"/>
    <d v="2024-08-17T00:00:00"/>
    <n v="4848000"/>
    <n v="404000"/>
    <n v="5048000"/>
    <n v="2908800"/>
    <n v="5.12"/>
    <n v="121200"/>
    <n v="46"/>
    <n v="606"/>
    <x v="1"/>
    <x v="1"/>
    <x v="1"/>
    <n v="30"/>
    <n v="17630.490000000002"/>
  </r>
  <r>
    <x v="108"/>
    <s v="Neha Nair"/>
    <n v="48"/>
    <x v="1"/>
    <x v="5"/>
    <x v="3"/>
    <x v="0"/>
    <d v="2024-07-18T00:00:00"/>
    <d v="2024-08-18T00:00:00"/>
    <n v="5004000"/>
    <n v="417000"/>
    <n v="5204000"/>
    <n v="3002400"/>
    <n v="9.1999999999999993"/>
    <n v="125100"/>
    <n v="51"/>
    <n v="847"/>
    <x v="1"/>
    <x v="1"/>
    <x v="1"/>
    <n v="30"/>
    <n v="34001.65"/>
  </r>
  <r>
    <x v="109"/>
    <s v="Ishaan Mehta"/>
    <n v="48"/>
    <x v="1"/>
    <x v="1"/>
    <x v="4"/>
    <x v="0"/>
    <d v="2024-07-19T00:00:00"/>
    <d v="2024-08-19T00:00:00"/>
    <n v="7752000"/>
    <n v="646000"/>
    <n v="7952000"/>
    <n v="4651200"/>
    <n v="9.98"/>
    <n v="193800"/>
    <n v="51"/>
    <n v="690"/>
    <x v="0"/>
    <x v="0"/>
    <x v="0"/>
    <n v="30"/>
    <n v="24884.21"/>
  </r>
  <r>
    <x v="110"/>
    <s v="Ritika Patel"/>
    <n v="45"/>
    <x v="0"/>
    <x v="5"/>
    <x v="1"/>
    <x v="0"/>
    <d v="2024-07-20T00:00:00"/>
    <d v="2024-08-20T00:00:00"/>
    <n v="6780000"/>
    <n v="565000"/>
    <n v="6980000"/>
    <n v="4068000"/>
    <n v="8.68"/>
    <n v="169500"/>
    <n v="50"/>
    <n v="827"/>
    <x v="0"/>
    <x v="0"/>
    <x v="0"/>
    <n v="30"/>
    <n v="13229.54"/>
  </r>
  <r>
    <x v="111"/>
    <s v="Aditya Nair"/>
    <n v="58"/>
    <x v="1"/>
    <x v="1"/>
    <x v="2"/>
    <x v="0"/>
    <d v="2024-07-21T00:00:00"/>
    <d v="2024-08-21T00:00:00"/>
    <n v="5856000"/>
    <n v="488000"/>
    <n v="6056000"/>
    <n v="3513600"/>
    <n v="5.71"/>
    <n v="146400"/>
    <n v="47"/>
    <n v="758"/>
    <x v="0"/>
    <x v="0"/>
    <x v="0"/>
    <n v="30"/>
    <n v="22789.1"/>
  </r>
  <r>
    <x v="112"/>
    <s v="Aryan Joshi"/>
    <n v="39"/>
    <x v="0"/>
    <x v="2"/>
    <x v="0"/>
    <x v="0"/>
    <d v="2024-07-22T00:00:00"/>
    <d v="2024-08-22T00:00:00"/>
    <n v="6912000"/>
    <n v="576000"/>
    <n v="7112000"/>
    <n v="4147200"/>
    <n v="8.94"/>
    <n v="172800"/>
    <n v="50"/>
    <n v="764"/>
    <x v="1"/>
    <x v="1"/>
    <x v="1"/>
    <n v="30"/>
    <n v="12155.13"/>
  </r>
  <r>
    <x v="113"/>
    <s v="Kavya Kumar"/>
    <n v="31"/>
    <x v="1"/>
    <x v="4"/>
    <x v="3"/>
    <x v="0"/>
    <d v="2024-07-23T00:00:00"/>
    <d v="2024-08-23T00:00:00"/>
    <n v="2100000"/>
    <n v="175000"/>
    <n v="2300000"/>
    <n v="1260000"/>
    <n v="6.42"/>
    <n v="52500"/>
    <n v="51"/>
    <n v="758"/>
    <x v="0"/>
    <x v="0"/>
    <x v="0"/>
    <n v="30"/>
    <n v="16839.27"/>
  </r>
  <r>
    <x v="114"/>
    <s v="Meera Patel"/>
    <n v="38"/>
    <x v="1"/>
    <x v="0"/>
    <x v="4"/>
    <x v="0"/>
    <d v="2024-07-24T00:00:00"/>
    <d v="2024-08-24T00:00:00"/>
    <n v="8736000"/>
    <n v="728000"/>
    <n v="8936000"/>
    <n v="5241600"/>
    <n v="5.36"/>
    <n v="218400"/>
    <n v="46"/>
    <n v="629"/>
    <x v="1"/>
    <x v="1"/>
    <x v="1"/>
    <n v="30"/>
    <n v="23316.62"/>
  </r>
  <r>
    <x v="115"/>
    <s v="Meera Yadav"/>
    <n v="56"/>
    <x v="1"/>
    <x v="0"/>
    <x v="3"/>
    <x v="0"/>
    <d v="2024-07-25T00:00:00"/>
    <d v="2024-08-25T00:00:00"/>
    <n v="2568000"/>
    <n v="214000"/>
    <n v="2768000"/>
    <n v="1540800"/>
    <n v="9.86"/>
    <n v="64200"/>
    <n v="54"/>
    <n v="679"/>
    <x v="1"/>
    <x v="1"/>
    <x v="1"/>
    <n v="30"/>
    <n v="32644.9"/>
  </r>
  <r>
    <x v="116"/>
    <s v="Neha Sharma"/>
    <n v="56"/>
    <x v="0"/>
    <x v="2"/>
    <x v="4"/>
    <x v="0"/>
    <d v="2024-07-26T00:00:00"/>
    <d v="2024-08-26T00:00:00"/>
    <n v="7560000"/>
    <n v="630000"/>
    <n v="7760000"/>
    <n v="4536000"/>
    <n v="8.07"/>
    <n v="189000"/>
    <n v="49"/>
    <n v="652"/>
    <x v="0"/>
    <x v="0"/>
    <x v="0"/>
    <n v="30"/>
    <n v="23112.85"/>
  </r>
  <r>
    <x v="117"/>
    <s v="Kavya Yadav"/>
    <n v="40"/>
    <x v="0"/>
    <x v="1"/>
    <x v="1"/>
    <x v="0"/>
    <d v="2024-07-27T00:00:00"/>
    <d v="2024-08-27T00:00:00"/>
    <n v="6708000"/>
    <n v="559000"/>
    <n v="6908000"/>
    <n v="4024800"/>
    <n v="6.57"/>
    <n v="167700"/>
    <n v="47"/>
    <n v="607"/>
    <x v="0"/>
    <x v="0"/>
    <x v="0"/>
    <n v="30"/>
    <n v="17132.41"/>
  </r>
  <r>
    <x v="118"/>
    <s v="Aryan Mehta"/>
    <n v="26"/>
    <x v="0"/>
    <x v="0"/>
    <x v="1"/>
    <x v="0"/>
    <d v="2024-07-28T00:00:00"/>
    <d v="2024-08-28T00:00:00"/>
    <n v="4380000"/>
    <n v="365000"/>
    <n v="4580000"/>
    <n v="2628000"/>
    <n v="7.13"/>
    <n v="109500"/>
    <n v="49"/>
    <n v="639"/>
    <x v="1"/>
    <x v="1"/>
    <x v="1"/>
    <n v="30"/>
    <n v="28502"/>
  </r>
  <r>
    <x v="119"/>
    <s v="Vivaan Kumar"/>
    <n v="48"/>
    <x v="0"/>
    <x v="1"/>
    <x v="1"/>
    <x v="0"/>
    <d v="2024-07-29T00:00:00"/>
    <d v="2024-08-29T00:00:00"/>
    <n v="8472000"/>
    <n v="706000"/>
    <n v="8672000"/>
    <n v="5083200"/>
    <n v="9.9600000000000009"/>
    <n v="211800"/>
    <n v="51"/>
    <n v="614"/>
    <x v="1"/>
    <x v="1"/>
    <x v="1"/>
    <n v="30"/>
    <n v="13037.84"/>
  </r>
  <r>
    <x v="120"/>
    <s v="Priya Patel"/>
    <n v="56"/>
    <x v="0"/>
    <x v="3"/>
    <x v="1"/>
    <x v="0"/>
    <d v="2024-07-30T00:00:00"/>
    <d v="2024-08-30T00:00:00"/>
    <n v="2268000"/>
    <n v="189000"/>
    <n v="2468000"/>
    <n v="1360800"/>
    <n v="7.1"/>
    <n v="56700"/>
    <n v="51"/>
    <n v="635"/>
    <x v="1"/>
    <x v="1"/>
    <x v="1"/>
    <n v="30"/>
    <n v="14174.17"/>
  </r>
  <r>
    <x v="121"/>
    <s v="Ishaan Patel"/>
    <n v="28"/>
    <x v="0"/>
    <x v="1"/>
    <x v="1"/>
    <x v="0"/>
    <d v="2024-07-31T00:00:00"/>
    <d v="2024-08-31T00:00:00"/>
    <n v="6924000"/>
    <n v="577000"/>
    <n v="7124000"/>
    <n v="4154400"/>
    <n v="9.8800000000000008"/>
    <n v="173100"/>
    <n v="51"/>
    <n v="767"/>
    <x v="0"/>
    <x v="0"/>
    <x v="0"/>
    <n v="30"/>
    <n v="21080.240000000002"/>
  </r>
  <r>
    <x v="122"/>
    <s v="Aditya Joshi"/>
    <n v="55"/>
    <x v="1"/>
    <x v="0"/>
    <x v="3"/>
    <x v="0"/>
    <d v="2024-08-01T00:00:00"/>
    <d v="2024-09-01T00:00:00"/>
    <n v="4140000"/>
    <n v="345000"/>
    <n v="4340000"/>
    <n v="2380500"/>
    <n v="8.57"/>
    <n v="103500"/>
    <n v="51"/>
    <n v="767"/>
    <x v="0"/>
    <x v="0"/>
    <x v="0"/>
    <n v="30"/>
    <n v="17850.5"/>
  </r>
  <r>
    <x v="123"/>
    <s v="Meera Joshi"/>
    <n v="53"/>
    <x v="0"/>
    <x v="5"/>
    <x v="0"/>
    <x v="0"/>
    <d v="2024-08-02T00:00:00"/>
    <d v="2024-09-02T00:00:00"/>
    <n v="3216000"/>
    <n v="268000"/>
    <n v="3416000"/>
    <n v="1849200"/>
    <n v="6.09"/>
    <n v="80400"/>
    <n v="48"/>
    <n v="735"/>
    <x v="1"/>
    <x v="1"/>
    <x v="1"/>
    <n v="30"/>
    <n v="7263.38"/>
  </r>
  <r>
    <x v="124"/>
    <s v="Aditya Joshi"/>
    <n v="38"/>
    <x v="0"/>
    <x v="4"/>
    <x v="1"/>
    <x v="0"/>
    <d v="2024-08-03T00:00:00"/>
    <d v="2024-09-03T00:00:00"/>
    <n v="6888000"/>
    <n v="574000"/>
    <n v="7088000"/>
    <n v="3960600"/>
    <n v="5.66"/>
    <n v="172200"/>
    <n v="46"/>
    <n v="630"/>
    <x v="0"/>
    <x v="0"/>
    <x v="0"/>
    <n v="30"/>
    <n v="8373.7000000000007"/>
  </r>
  <r>
    <x v="125"/>
    <s v="Pooja Joshi"/>
    <n v="59"/>
    <x v="1"/>
    <x v="1"/>
    <x v="1"/>
    <x v="0"/>
    <d v="2024-08-04T00:00:00"/>
    <d v="2024-09-04T00:00:00"/>
    <n v="6396000"/>
    <n v="533000"/>
    <n v="6596000"/>
    <n v="3677700"/>
    <n v="9.84"/>
    <n v="159900"/>
    <n v="51"/>
    <n v="735"/>
    <x v="1"/>
    <x v="1"/>
    <x v="1"/>
    <n v="30"/>
    <n v="12982.27"/>
  </r>
  <r>
    <x v="126"/>
    <s v="Ananya Kumar"/>
    <n v="35"/>
    <x v="1"/>
    <x v="0"/>
    <x v="1"/>
    <x v="0"/>
    <d v="2024-08-05T00:00:00"/>
    <d v="2024-09-05T00:00:00"/>
    <n v="960000"/>
    <n v="80000"/>
    <n v="1160000"/>
    <n v="552000"/>
    <n v="9.7899999999999991"/>
    <n v="24000"/>
    <n v="62"/>
    <n v="751"/>
    <x v="1"/>
    <x v="1"/>
    <x v="1"/>
    <n v="30"/>
    <n v="24339.53"/>
  </r>
  <r>
    <x v="127"/>
    <s v="Rahul Sharma"/>
    <n v="27"/>
    <x v="0"/>
    <x v="2"/>
    <x v="4"/>
    <x v="0"/>
    <d v="2024-08-06T00:00:00"/>
    <d v="2024-09-06T00:00:00"/>
    <n v="2736000"/>
    <n v="228000"/>
    <n v="2936000"/>
    <n v="1573200"/>
    <n v="7.69"/>
    <n v="68400"/>
    <n v="51"/>
    <n v="797"/>
    <x v="0"/>
    <x v="0"/>
    <x v="0"/>
    <n v="30"/>
    <n v="24063.49"/>
  </r>
  <r>
    <x v="128"/>
    <s v="Aditya Nair"/>
    <n v="33"/>
    <x v="1"/>
    <x v="5"/>
    <x v="4"/>
    <x v="0"/>
    <d v="2024-08-07T00:00:00"/>
    <d v="2024-09-07T00:00:00"/>
    <n v="1572000"/>
    <n v="131000"/>
    <n v="1772000"/>
    <n v="903900"/>
    <n v="5.51"/>
    <n v="39300"/>
    <n v="51"/>
    <n v="616"/>
    <x v="0"/>
    <x v="0"/>
    <x v="0"/>
    <n v="30"/>
    <n v="20001.11"/>
  </r>
  <r>
    <x v="129"/>
    <s v="Kavya Joshi"/>
    <n v="50"/>
    <x v="1"/>
    <x v="1"/>
    <x v="4"/>
    <x v="0"/>
    <d v="2024-08-08T00:00:00"/>
    <d v="2024-09-08T00:00:00"/>
    <n v="4200000"/>
    <n v="350000"/>
    <n v="4400000"/>
    <n v="2415000"/>
    <n v="9.84"/>
    <n v="105000"/>
    <n v="52"/>
    <n v="724"/>
    <x v="1"/>
    <x v="1"/>
    <x v="1"/>
    <n v="30"/>
    <n v="34390.129999999997"/>
  </r>
  <r>
    <x v="130"/>
    <s v="Arjun Mehta"/>
    <n v="49"/>
    <x v="0"/>
    <x v="1"/>
    <x v="1"/>
    <x v="0"/>
    <d v="2024-08-09T00:00:00"/>
    <d v="2024-09-09T00:00:00"/>
    <n v="2580000"/>
    <n v="215000"/>
    <n v="2780000"/>
    <n v="1483500"/>
    <n v="8.41"/>
    <n v="64500"/>
    <n v="52"/>
    <n v="650"/>
    <x v="0"/>
    <x v="0"/>
    <x v="0"/>
    <n v="30"/>
    <n v="26262.87"/>
  </r>
  <r>
    <x v="131"/>
    <s v="Vivaan Sharma"/>
    <n v="58"/>
    <x v="1"/>
    <x v="5"/>
    <x v="3"/>
    <x v="0"/>
    <d v="2024-08-10T00:00:00"/>
    <d v="2024-09-10T00:00:00"/>
    <n v="900000"/>
    <n v="75000"/>
    <n v="1100000"/>
    <n v="517500"/>
    <n v="6.53"/>
    <n v="22500"/>
    <n v="57"/>
    <n v="625"/>
    <x v="1"/>
    <x v="1"/>
    <x v="1"/>
    <n v="30"/>
    <n v="21861.71"/>
  </r>
  <r>
    <x v="132"/>
    <s v="Rohan Nair"/>
    <n v="37"/>
    <x v="1"/>
    <x v="5"/>
    <x v="3"/>
    <x v="0"/>
    <d v="2024-08-11T00:00:00"/>
    <d v="2024-09-11T00:00:00"/>
    <n v="4764000"/>
    <n v="397000"/>
    <n v="4964000"/>
    <n v="2739300"/>
    <n v="7.48"/>
    <n v="119100"/>
    <n v="49"/>
    <n v="736"/>
    <x v="1"/>
    <x v="1"/>
    <x v="1"/>
    <n v="30"/>
    <n v="22572.49"/>
  </r>
  <r>
    <x v="133"/>
    <s v="Ananya Patel"/>
    <n v="34"/>
    <x v="0"/>
    <x v="2"/>
    <x v="2"/>
    <x v="0"/>
    <d v="2024-08-12T00:00:00"/>
    <d v="2024-09-12T00:00:00"/>
    <n v="6564000"/>
    <n v="547000"/>
    <n v="6764000"/>
    <n v="3774300"/>
    <n v="7.71"/>
    <n v="164100"/>
    <n v="49"/>
    <n v="686"/>
    <x v="0"/>
    <x v="0"/>
    <x v="0"/>
    <n v="30"/>
    <n v="19834.45"/>
  </r>
  <r>
    <x v="134"/>
    <s v="Rohan Yadav"/>
    <n v="43"/>
    <x v="0"/>
    <x v="2"/>
    <x v="4"/>
    <x v="0"/>
    <d v="2024-08-13T00:00:00"/>
    <d v="2024-09-13T00:00:00"/>
    <n v="3120000"/>
    <n v="260000"/>
    <n v="3320000"/>
    <n v="1794000"/>
    <n v="7.12"/>
    <n v="78000"/>
    <n v="50"/>
    <n v="728"/>
    <x v="0"/>
    <x v="0"/>
    <x v="0"/>
    <n v="30"/>
    <n v="7259.42"/>
  </r>
  <r>
    <x v="135"/>
    <s v="Aryan Patel"/>
    <n v="60"/>
    <x v="0"/>
    <x v="0"/>
    <x v="3"/>
    <x v="0"/>
    <d v="2024-08-14T00:00:00"/>
    <d v="2024-09-14T00:00:00"/>
    <n v="5460000"/>
    <n v="455000"/>
    <n v="5660000"/>
    <n v="3139500"/>
    <n v="5.6"/>
    <n v="136500"/>
    <n v="47"/>
    <n v="825"/>
    <x v="0"/>
    <x v="0"/>
    <x v="0"/>
    <n v="30"/>
    <n v="9573.26"/>
  </r>
  <r>
    <x v="136"/>
    <s v="Aryan Verma"/>
    <n v="26"/>
    <x v="0"/>
    <x v="1"/>
    <x v="4"/>
    <x v="0"/>
    <d v="2024-08-15T00:00:00"/>
    <d v="2024-09-15T00:00:00"/>
    <n v="6132000"/>
    <n v="511000"/>
    <n v="6332000"/>
    <n v="3525900"/>
    <n v="9.6199999999999992"/>
    <n v="153300"/>
    <n v="51"/>
    <n v="786"/>
    <x v="1"/>
    <x v="1"/>
    <x v="1"/>
    <n v="30"/>
    <n v="23028.639999999999"/>
  </r>
  <r>
    <x v="137"/>
    <s v="Vivaan Mehta"/>
    <n v="25"/>
    <x v="1"/>
    <x v="3"/>
    <x v="3"/>
    <x v="0"/>
    <d v="2024-08-16T00:00:00"/>
    <d v="2024-09-16T00:00:00"/>
    <n v="7488000"/>
    <n v="624000"/>
    <n v="7688000"/>
    <n v="4305600"/>
    <n v="5.87"/>
    <n v="187200"/>
    <n v="46"/>
    <n v="685"/>
    <x v="1"/>
    <x v="1"/>
    <x v="1"/>
    <n v="30"/>
    <n v="24921.03"/>
  </r>
  <r>
    <x v="138"/>
    <s v="Rohan Yadav"/>
    <n v="49"/>
    <x v="0"/>
    <x v="1"/>
    <x v="3"/>
    <x v="0"/>
    <d v="2024-08-17T00:00:00"/>
    <d v="2024-09-17T00:00:00"/>
    <n v="3036000"/>
    <n v="253000"/>
    <n v="3236000"/>
    <n v="1745700"/>
    <n v="9.59"/>
    <n v="75900"/>
    <n v="53"/>
    <n v="694"/>
    <x v="1"/>
    <x v="1"/>
    <x v="1"/>
    <n v="30"/>
    <n v="37281.51"/>
  </r>
  <r>
    <x v="139"/>
    <s v="Sanya Yadav"/>
    <n v="54"/>
    <x v="1"/>
    <x v="0"/>
    <x v="2"/>
    <x v="0"/>
    <d v="2024-08-18T00:00:00"/>
    <d v="2024-09-18T00:00:00"/>
    <n v="3672000"/>
    <n v="306000"/>
    <n v="3872000"/>
    <n v="2111400"/>
    <n v="9.98"/>
    <n v="91800"/>
    <n v="53"/>
    <n v="712"/>
    <x v="1"/>
    <x v="1"/>
    <x v="1"/>
    <n v="30"/>
    <n v="16509.3"/>
  </r>
  <r>
    <x v="140"/>
    <s v="Rahul Patel"/>
    <n v="38"/>
    <x v="0"/>
    <x v="1"/>
    <x v="0"/>
    <x v="0"/>
    <d v="2024-08-19T00:00:00"/>
    <d v="2024-09-19T00:00:00"/>
    <n v="6744000"/>
    <n v="562000"/>
    <n v="6944000"/>
    <n v="3877800"/>
    <n v="7.1"/>
    <n v="168600"/>
    <n v="48"/>
    <n v="605"/>
    <x v="1"/>
    <x v="1"/>
    <x v="1"/>
    <n v="30"/>
    <n v="8688.82"/>
  </r>
  <r>
    <x v="141"/>
    <s v="Diya Joshi"/>
    <n v="36"/>
    <x v="0"/>
    <x v="0"/>
    <x v="0"/>
    <x v="0"/>
    <d v="2024-08-20T00:00:00"/>
    <d v="2024-09-20T00:00:00"/>
    <n v="8700000"/>
    <n v="725000"/>
    <n v="8900000"/>
    <n v="5002500"/>
    <n v="10"/>
    <n v="217500"/>
    <n v="51"/>
    <n v="829"/>
    <x v="0"/>
    <x v="0"/>
    <x v="0"/>
    <n v="30"/>
    <n v="40565.4"/>
  </r>
  <r>
    <x v="142"/>
    <s v="Sneha Kumar"/>
    <n v="46"/>
    <x v="1"/>
    <x v="0"/>
    <x v="4"/>
    <x v="0"/>
    <d v="2024-08-21T00:00:00"/>
    <d v="2024-09-21T00:00:00"/>
    <n v="8628000"/>
    <n v="719000"/>
    <n v="8828000"/>
    <n v="4961100"/>
    <n v="8.17"/>
    <n v="215700"/>
    <n v="49"/>
    <n v="710"/>
    <x v="0"/>
    <x v="0"/>
    <x v="0"/>
    <n v="30"/>
    <n v="11852.2"/>
  </r>
  <r>
    <x v="143"/>
    <s v="Diya Joshi"/>
    <n v="57"/>
    <x v="1"/>
    <x v="3"/>
    <x v="3"/>
    <x v="0"/>
    <d v="2024-08-22T00:00:00"/>
    <d v="2024-09-22T00:00:00"/>
    <n v="3168000"/>
    <n v="264000"/>
    <n v="3368000"/>
    <n v="1821600"/>
    <n v="8.4499999999999993"/>
    <n v="79200"/>
    <n v="51"/>
    <n v="698"/>
    <x v="0"/>
    <x v="0"/>
    <x v="0"/>
    <n v="30"/>
    <n v="21601.119999999999"/>
  </r>
  <r>
    <x v="144"/>
    <s v="Ananya Patel"/>
    <n v="26"/>
    <x v="1"/>
    <x v="5"/>
    <x v="4"/>
    <x v="0"/>
    <d v="2024-08-23T00:00:00"/>
    <d v="2024-09-23T00:00:00"/>
    <n v="3468000"/>
    <n v="289000"/>
    <n v="3668000"/>
    <n v="1994100"/>
    <n v="5.69"/>
    <n v="86700"/>
    <n v="48"/>
    <n v="643"/>
    <x v="0"/>
    <x v="0"/>
    <x v="0"/>
    <n v="30"/>
    <n v="22836.15"/>
  </r>
  <r>
    <x v="145"/>
    <s v="Aisha Yadav"/>
    <n v="53"/>
    <x v="0"/>
    <x v="2"/>
    <x v="4"/>
    <x v="0"/>
    <d v="2024-08-24T00:00:00"/>
    <d v="2024-09-24T00:00:00"/>
    <n v="8016000"/>
    <n v="668000"/>
    <n v="8216000"/>
    <n v="4609200"/>
    <n v="6.26"/>
    <n v="200400"/>
    <n v="47"/>
    <n v="617"/>
    <x v="0"/>
    <x v="0"/>
    <x v="0"/>
    <n v="30"/>
    <n v="25401.1"/>
  </r>
  <r>
    <x v="146"/>
    <s v="Ishaan Yadav"/>
    <n v="38"/>
    <x v="0"/>
    <x v="4"/>
    <x v="2"/>
    <x v="0"/>
    <d v="2024-08-25T00:00:00"/>
    <d v="2024-09-25T00:00:00"/>
    <n v="1812000"/>
    <n v="151000"/>
    <n v="2012000"/>
    <n v="1041900"/>
    <n v="5.51"/>
    <n v="45300"/>
    <n v="50"/>
    <n v="712"/>
    <x v="1"/>
    <x v="1"/>
    <x v="1"/>
    <n v="30"/>
    <n v="14927.21"/>
  </r>
  <r>
    <x v="147"/>
    <s v="Arjun Gupta"/>
    <n v="25"/>
    <x v="1"/>
    <x v="5"/>
    <x v="4"/>
    <x v="0"/>
    <d v="2024-08-26T00:00:00"/>
    <d v="2024-09-26T00:00:00"/>
    <n v="6588000"/>
    <n v="549000"/>
    <n v="6788000"/>
    <n v="3788100"/>
    <n v="5.86"/>
    <n v="164700"/>
    <n v="47"/>
    <n v="704"/>
    <x v="1"/>
    <x v="1"/>
    <x v="1"/>
    <n v="30"/>
    <n v="15962.6"/>
  </r>
  <r>
    <x v="148"/>
    <s v="Aditya Nair"/>
    <n v="36"/>
    <x v="1"/>
    <x v="3"/>
    <x v="2"/>
    <x v="0"/>
    <d v="2024-08-27T00:00:00"/>
    <d v="2024-09-27T00:00:00"/>
    <n v="6624000"/>
    <n v="552000"/>
    <n v="6824000"/>
    <n v="3808800"/>
    <n v="5.49"/>
    <n v="165600"/>
    <n v="46"/>
    <n v="819"/>
    <x v="1"/>
    <x v="1"/>
    <x v="1"/>
    <n v="30"/>
    <n v="18044.09"/>
  </r>
  <r>
    <x v="149"/>
    <s v="Neha Kumar"/>
    <n v="32"/>
    <x v="0"/>
    <x v="2"/>
    <x v="0"/>
    <x v="0"/>
    <d v="2024-08-28T00:00:00"/>
    <d v="2024-09-28T00:00:00"/>
    <n v="1692000"/>
    <n v="141000"/>
    <n v="1892000"/>
    <n v="972900"/>
    <n v="6.76"/>
    <n v="42300"/>
    <n v="52"/>
    <n v="768"/>
    <x v="0"/>
    <x v="0"/>
    <x v="0"/>
    <n v="30"/>
    <n v="26414.85"/>
  </r>
  <r>
    <x v="150"/>
    <s v="Arjun Nair"/>
    <n v="59"/>
    <x v="0"/>
    <x v="4"/>
    <x v="4"/>
    <x v="0"/>
    <d v="2024-08-29T00:00:00"/>
    <d v="2024-09-29T00:00:00"/>
    <n v="7428000"/>
    <n v="619000"/>
    <n v="7628000"/>
    <n v="4271100"/>
    <n v="8.32"/>
    <n v="185700"/>
    <n v="49"/>
    <n v="825"/>
    <x v="0"/>
    <x v="0"/>
    <x v="0"/>
    <n v="30"/>
    <n v="6526.26"/>
  </r>
  <r>
    <x v="151"/>
    <s v="Sanya Gupta"/>
    <n v="22"/>
    <x v="1"/>
    <x v="4"/>
    <x v="3"/>
    <x v="0"/>
    <d v="2024-08-30T00:00:00"/>
    <d v="2024-09-30T00:00:00"/>
    <n v="8556000"/>
    <n v="713000"/>
    <n v="8756000"/>
    <n v="4919700"/>
    <n v="5.09"/>
    <n v="213900"/>
    <n v="46"/>
    <n v="765"/>
    <x v="1"/>
    <x v="1"/>
    <x v="1"/>
    <n v="30"/>
    <n v="20295.400000000001"/>
  </r>
  <r>
    <x v="152"/>
    <s v="Neha Gupta"/>
    <n v="46"/>
    <x v="0"/>
    <x v="4"/>
    <x v="1"/>
    <x v="0"/>
    <d v="2024-08-31T00:00:00"/>
    <d v="2024-09-30T00:00:00"/>
    <n v="8616000"/>
    <n v="718000"/>
    <n v="8816000"/>
    <n v="4954200"/>
    <n v="5.34"/>
    <n v="215400"/>
    <n v="46"/>
    <n v="621"/>
    <x v="1"/>
    <x v="1"/>
    <x v="1"/>
    <n v="30"/>
    <n v="8845.82"/>
  </r>
  <r>
    <x v="153"/>
    <s v="Neha Singh"/>
    <n v="23"/>
    <x v="0"/>
    <x v="1"/>
    <x v="3"/>
    <x v="0"/>
    <d v="2024-09-01T00:00:00"/>
    <d v="2024-10-01T00:00:00"/>
    <n v="2364000"/>
    <n v="197000"/>
    <n v="2564000"/>
    <n v="1300200"/>
    <n v="8.7899999999999991"/>
    <n v="59100"/>
    <n v="53"/>
    <n v="770"/>
    <x v="1"/>
    <x v="1"/>
    <x v="1"/>
    <n v="30"/>
    <n v="28727.51"/>
  </r>
  <r>
    <x v="154"/>
    <s v="Diya Nair"/>
    <n v="41"/>
    <x v="1"/>
    <x v="4"/>
    <x v="0"/>
    <x v="0"/>
    <d v="2024-09-02T00:00:00"/>
    <d v="2024-10-02T00:00:00"/>
    <n v="756000"/>
    <n v="63000"/>
    <n v="956000"/>
    <n v="415800"/>
    <n v="7.38"/>
    <n v="18900"/>
    <n v="61"/>
    <n v="603"/>
    <x v="1"/>
    <x v="1"/>
    <x v="1"/>
    <n v="30"/>
    <n v="16703.89"/>
  </r>
  <r>
    <x v="155"/>
    <s v="Meera Gupta"/>
    <n v="30"/>
    <x v="0"/>
    <x v="0"/>
    <x v="1"/>
    <x v="0"/>
    <d v="2024-09-03T00:00:00"/>
    <d v="2024-10-03T00:00:00"/>
    <n v="1800000"/>
    <n v="150000"/>
    <n v="2000000"/>
    <n v="990000"/>
    <n v="8.73"/>
    <n v="45000"/>
    <n v="54"/>
    <n v="632"/>
    <x v="1"/>
    <x v="1"/>
    <x v="1"/>
    <n v="30"/>
    <n v="23552.61"/>
  </r>
  <r>
    <x v="156"/>
    <s v="Ishaan Yadav"/>
    <n v="37"/>
    <x v="1"/>
    <x v="4"/>
    <x v="3"/>
    <x v="0"/>
    <d v="2024-09-04T00:00:00"/>
    <d v="2024-10-04T00:00:00"/>
    <n v="5232000"/>
    <n v="436000"/>
    <n v="5432000"/>
    <n v="2877600"/>
    <n v="5.0599999999999996"/>
    <n v="130800"/>
    <n v="46"/>
    <n v="748"/>
    <x v="0"/>
    <x v="0"/>
    <x v="0"/>
    <n v="30"/>
    <n v="13598.6"/>
  </r>
  <r>
    <x v="157"/>
    <s v="Priya Mehta"/>
    <n v="53"/>
    <x v="1"/>
    <x v="4"/>
    <x v="0"/>
    <x v="0"/>
    <d v="2024-09-05T00:00:00"/>
    <d v="2024-10-05T00:00:00"/>
    <n v="4236000"/>
    <n v="353000"/>
    <n v="4436000"/>
    <n v="2329800"/>
    <n v="6.87"/>
    <n v="105900"/>
    <n v="49"/>
    <n v="741"/>
    <x v="1"/>
    <x v="1"/>
    <x v="1"/>
    <n v="30"/>
    <n v="13705.86"/>
  </r>
  <r>
    <x v="158"/>
    <s v="Ishaan Verma"/>
    <n v="47"/>
    <x v="1"/>
    <x v="1"/>
    <x v="0"/>
    <x v="0"/>
    <d v="2024-09-06T00:00:00"/>
    <d v="2024-10-06T00:00:00"/>
    <n v="1968000"/>
    <n v="164000"/>
    <n v="2168000"/>
    <n v="1082400"/>
    <n v="6.82"/>
    <n v="49200"/>
    <n v="51"/>
    <n v="836"/>
    <x v="0"/>
    <x v="0"/>
    <x v="0"/>
    <n v="30"/>
    <n v="17787.04"/>
  </r>
  <r>
    <x v="159"/>
    <s v="Sneha Verma"/>
    <n v="40"/>
    <x v="0"/>
    <x v="1"/>
    <x v="2"/>
    <x v="0"/>
    <d v="2024-09-07T00:00:00"/>
    <d v="2024-10-07T00:00:00"/>
    <n v="5328000"/>
    <n v="444000"/>
    <n v="5528000"/>
    <n v="2930400"/>
    <n v="6.55"/>
    <n v="133200"/>
    <n v="48"/>
    <n v="644"/>
    <x v="1"/>
    <x v="1"/>
    <x v="1"/>
    <n v="30"/>
    <n v="24037.78"/>
  </r>
  <r>
    <x v="160"/>
    <s v="Rahul Yadav"/>
    <n v="28"/>
    <x v="1"/>
    <x v="5"/>
    <x v="1"/>
    <x v="0"/>
    <d v="2024-09-08T00:00:00"/>
    <d v="2024-10-08T00:00:00"/>
    <n v="8256000"/>
    <n v="688000"/>
    <n v="8456000"/>
    <n v="4540800"/>
    <n v="8.85"/>
    <n v="206400"/>
    <n v="49"/>
    <n v="846"/>
    <x v="0"/>
    <x v="0"/>
    <x v="0"/>
    <n v="30"/>
    <n v="20295.32"/>
  </r>
  <r>
    <x v="161"/>
    <s v="Ritika Gupta"/>
    <n v="36"/>
    <x v="0"/>
    <x v="1"/>
    <x v="3"/>
    <x v="0"/>
    <d v="2024-09-09T00:00:00"/>
    <d v="2024-10-09T00:00:00"/>
    <n v="4896000"/>
    <n v="408000"/>
    <n v="5096000"/>
    <n v="2692800"/>
    <n v="8.68"/>
    <n v="122400"/>
    <n v="50"/>
    <n v="609"/>
    <x v="1"/>
    <x v="1"/>
    <x v="1"/>
    <n v="30"/>
    <n v="35422.839999999997"/>
  </r>
  <r>
    <x v="162"/>
    <s v="Ishaan Nair"/>
    <n v="42"/>
    <x v="0"/>
    <x v="3"/>
    <x v="2"/>
    <x v="0"/>
    <d v="2024-09-10T00:00:00"/>
    <d v="2024-10-10T00:00:00"/>
    <n v="1380000"/>
    <n v="115000"/>
    <n v="1580000"/>
    <n v="759000"/>
    <n v="9.1999999999999993"/>
    <n v="34500"/>
    <n v="57"/>
    <n v="785"/>
    <x v="1"/>
    <x v="1"/>
    <x v="1"/>
    <n v="30"/>
    <n v="19991.599999999999"/>
  </r>
  <r>
    <x v="163"/>
    <s v="Aisha Gupta"/>
    <n v="40"/>
    <x v="0"/>
    <x v="4"/>
    <x v="4"/>
    <x v="0"/>
    <d v="2024-09-11T00:00:00"/>
    <d v="2024-10-11T00:00:00"/>
    <n v="2916000"/>
    <n v="243000"/>
    <n v="3116000"/>
    <n v="1603800"/>
    <n v="5.07"/>
    <n v="72900"/>
    <n v="48"/>
    <n v="651"/>
    <x v="1"/>
    <x v="1"/>
    <x v="1"/>
    <n v="30"/>
    <n v="11250"/>
  </r>
  <r>
    <x v="164"/>
    <s v="Aditya Mehta"/>
    <n v="43"/>
    <x v="0"/>
    <x v="5"/>
    <x v="4"/>
    <x v="0"/>
    <d v="2024-09-12T00:00:00"/>
    <d v="2024-10-12T00:00:00"/>
    <n v="5820000"/>
    <n v="485000"/>
    <n v="6020000"/>
    <n v="3201000"/>
    <n v="7.22"/>
    <n v="145500"/>
    <n v="48"/>
    <n v="839"/>
    <x v="0"/>
    <x v="0"/>
    <x v="0"/>
    <n v="30"/>
    <n v="29239.87"/>
  </r>
  <r>
    <x v="165"/>
    <s v="Aisha Verma"/>
    <n v="53"/>
    <x v="1"/>
    <x v="4"/>
    <x v="0"/>
    <x v="0"/>
    <d v="2024-09-13T00:00:00"/>
    <d v="2024-10-13T00:00:00"/>
    <n v="1272000"/>
    <n v="106000"/>
    <n v="1472000"/>
    <n v="699600"/>
    <n v="9.8699999999999992"/>
    <n v="31800"/>
    <n v="59"/>
    <n v="739"/>
    <x v="1"/>
    <x v="1"/>
    <x v="1"/>
    <n v="30"/>
    <n v="37970.17"/>
  </r>
  <r>
    <x v="166"/>
    <s v="Sanya Verma"/>
    <n v="38"/>
    <x v="1"/>
    <x v="1"/>
    <x v="0"/>
    <x v="0"/>
    <d v="2024-09-14T00:00:00"/>
    <d v="2024-10-14T00:00:00"/>
    <n v="1680000"/>
    <n v="140000"/>
    <n v="1880000"/>
    <n v="924000"/>
    <n v="7.59"/>
    <n v="42000"/>
    <n v="53"/>
    <n v="702"/>
    <x v="0"/>
    <x v="0"/>
    <x v="0"/>
    <n v="30"/>
    <n v="28168.34"/>
  </r>
  <r>
    <x v="167"/>
    <s v="Ishaan Sharma"/>
    <n v="30"/>
    <x v="0"/>
    <x v="0"/>
    <x v="1"/>
    <x v="0"/>
    <d v="2024-09-15T00:00:00"/>
    <d v="2024-10-15T00:00:00"/>
    <n v="8376000"/>
    <n v="698000"/>
    <n v="8576000"/>
    <n v="4606800"/>
    <n v="5.14"/>
    <n v="209400"/>
    <n v="46"/>
    <n v="748"/>
    <x v="0"/>
    <x v="0"/>
    <x v="0"/>
    <n v="30"/>
    <n v="10368.07"/>
  </r>
  <r>
    <x v="168"/>
    <s v="Priya Mehta"/>
    <n v="33"/>
    <x v="0"/>
    <x v="3"/>
    <x v="3"/>
    <x v="0"/>
    <d v="2024-09-16T00:00:00"/>
    <d v="2024-10-16T00:00:00"/>
    <n v="2412000"/>
    <n v="201000"/>
    <n v="2612000"/>
    <n v="1326600"/>
    <n v="9.99"/>
    <n v="60300"/>
    <n v="54"/>
    <n v="736"/>
    <x v="0"/>
    <x v="0"/>
    <x v="0"/>
    <n v="30"/>
    <n v="18860.72"/>
  </r>
  <r>
    <x v="169"/>
    <s v="Priya Sharma"/>
    <n v="49"/>
    <x v="0"/>
    <x v="4"/>
    <x v="2"/>
    <x v="0"/>
    <d v="2024-09-17T00:00:00"/>
    <d v="2024-10-17T00:00:00"/>
    <n v="2676000"/>
    <n v="223000"/>
    <n v="2876000"/>
    <n v="1471800"/>
    <n v="7.98"/>
    <n v="66900"/>
    <n v="51"/>
    <n v="628"/>
    <x v="0"/>
    <x v="0"/>
    <x v="0"/>
    <n v="30"/>
    <n v="21516.09"/>
  </r>
  <r>
    <x v="170"/>
    <s v="Aisha Nair"/>
    <n v="51"/>
    <x v="0"/>
    <x v="1"/>
    <x v="1"/>
    <x v="0"/>
    <d v="2024-09-18T00:00:00"/>
    <d v="2024-10-18T00:00:00"/>
    <n v="4164000"/>
    <n v="347000"/>
    <n v="4364000"/>
    <n v="2290200"/>
    <n v="7.87"/>
    <n v="104100"/>
    <n v="50"/>
    <n v="664"/>
    <x v="1"/>
    <x v="1"/>
    <x v="1"/>
    <n v="30"/>
    <n v="22953.83"/>
  </r>
  <r>
    <x v="171"/>
    <s v="Pooja Verma"/>
    <n v="50"/>
    <x v="0"/>
    <x v="3"/>
    <x v="2"/>
    <x v="0"/>
    <d v="2024-09-19T00:00:00"/>
    <d v="2024-10-19T00:00:00"/>
    <n v="5832000"/>
    <n v="486000"/>
    <n v="6032000"/>
    <n v="3207600"/>
    <n v="6.48"/>
    <n v="145800"/>
    <n v="47"/>
    <n v="828"/>
    <x v="1"/>
    <x v="1"/>
    <x v="1"/>
    <n v="30"/>
    <n v="24567.88"/>
  </r>
  <r>
    <x v="172"/>
    <s v="Neha Singh"/>
    <n v="31"/>
    <x v="0"/>
    <x v="1"/>
    <x v="1"/>
    <x v="0"/>
    <d v="2024-09-20T00:00:00"/>
    <d v="2024-10-20T00:00:00"/>
    <n v="1392000"/>
    <n v="116000"/>
    <n v="1592000"/>
    <n v="765600"/>
    <n v="8.49"/>
    <n v="34800"/>
    <n v="56"/>
    <n v="755"/>
    <x v="1"/>
    <x v="1"/>
    <x v="1"/>
    <n v="30"/>
    <n v="16494.849999999999"/>
  </r>
  <r>
    <x v="173"/>
    <s v="Sanya Verma"/>
    <n v="25"/>
    <x v="1"/>
    <x v="2"/>
    <x v="0"/>
    <x v="0"/>
    <d v="2024-09-21T00:00:00"/>
    <d v="2024-10-21T00:00:00"/>
    <n v="8808000"/>
    <n v="734000"/>
    <n v="9008000"/>
    <n v="4844400"/>
    <n v="6.06"/>
    <n v="220200"/>
    <n v="46"/>
    <n v="838"/>
    <x v="1"/>
    <x v="1"/>
    <x v="1"/>
    <n v="30"/>
    <n v="9232.57"/>
  </r>
  <r>
    <x v="174"/>
    <s v="Aisha Patel"/>
    <n v="37"/>
    <x v="0"/>
    <x v="3"/>
    <x v="2"/>
    <x v="0"/>
    <d v="2024-09-22T00:00:00"/>
    <d v="2024-10-22T00:00:00"/>
    <n v="3504000"/>
    <n v="292000"/>
    <n v="3704000"/>
    <n v="1927200"/>
    <n v="8.27"/>
    <n v="87600"/>
    <n v="51"/>
    <n v="827"/>
    <x v="1"/>
    <x v="1"/>
    <x v="1"/>
    <n v="30"/>
    <n v="22460.81"/>
  </r>
  <r>
    <x v="175"/>
    <s v="Vivaan Yadav"/>
    <n v="51"/>
    <x v="1"/>
    <x v="4"/>
    <x v="1"/>
    <x v="0"/>
    <d v="2024-09-23T00:00:00"/>
    <d v="2024-10-23T00:00:00"/>
    <n v="3828000"/>
    <n v="319000"/>
    <n v="4028000"/>
    <n v="2105400"/>
    <n v="7.07"/>
    <n v="95700"/>
    <n v="49"/>
    <n v="845"/>
    <x v="0"/>
    <x v="0"/>
    <x v="0"/>
    <n v="30"/>
    <n v="20299.47"/>
  </r>
  <r>
    <x v="176"/>
    <s v="Aditya Sharma"/>
    <n v="28"/>
    <x v="1"/>
    <x v="1"/>
    <x v="2"/>
    <x v="0"/>
    <d v="2024-09-24T00:00:00"/>
    <d v="2024-10-24T00:00:00"/>
    <n v="3264000"/>
    <n v="272000"/>
    <n v="3464000"/>
    <n v="1795200"/>
    <n v="6.03"/>
    <n v="81600"/>
    <n v="48"/>
    <n v="677"/>
    <x v="0"/>
    <x v="0"/>
    <x v="0"/>
    <n v="30"/>
    <n v="21561.040000000001"/>
  </r>
  <r>
    <x v="177"/>
    <s v="Ishaan Joshi"/>
    <n v="39"/>
    <x v="0"/>
    <x v="4"/>
    <x v="1"/>
    <x v="0"/>
    <d v="2024-09-25T00:00:00"/>
    <d v="2024-10-25T00:00:00"/>
    <n v="1608000"/>
    <n v="134000"/>
    <n v="1808000"/>
    <n v="884400"/>
    <n v="9.5500000000000007"/>
    <n v="40200"/>
    <n v="56"/>
    <n v="760"/>
    <x v="1"/>
    <x v="1"/>
    <x v="1"/>
    <n v="30"/>
    <n v="15531.01"/>
  </r>
  <r>
    <x v="178"/>
    <s v="Kavya Gupta"/>
    <n v="50"/>
    <x v="1"/>
    <x v="2"/>
    <x v="1"/>
    <x v="0"/>
    <d v="2024-09-26T00:00:00"/>
    <d v="2024-10-26T00:00:00"/>
    <n v="6180000"/>
    <n v="515000"/>
    <n v="6380000"/>
    <n v="3399000"/>
    <n v="6.96"/>
    <n v="154500"/>
    <n v="48"/>
    <n v="769"/>
    <x v="1"/>
    <x v="1"/>
    <x v="1"/>
    <n v="30"/>
    <n v="21116.7"/>
  </r>
  <r>
    <x v="179"/>
    <s v="Vivaan Joshi"/>
    <n v="32"/>
    <x v="1"/>
    <x v="5"/>
    <x v="3"/>
    <x v="0"/>
    <d v="2024-09-27T00:00:00"/>
    <d v="2024-10-27T00:00:00"/>
    <n v="864000"/>
    <n v="72000"/>
    <n v="1064000"/>
    <n v="475200"/>
    <n v="8.1199999999999992"/>
    <n v="21600"/>
    <n v="61"/>
    <n v="684"/>
    <x v="1"/>
    <x v="1"/>
    <x v="1"/>
    <n v="30"/>
    <n v="38417.54"/>
  </r>
  <r>
    <x v="180"/>
    <s v="Aisha Nair"/>
    <n v="29"/>
    <x v="0"/>
    <x v="0"/>
    <x v="1"/>
    <x v="0"/>
    <d v="2024-09-28T00:00:00"/>
    <d v="2024-10-28T00:00:00"/>
    <n v="888000"/>
    <n v="74000"/>
    <n v="1088000"/>
    <n v="488400"/>
    <n v="5.74"/>
    <n v="22200"/>
    <n v="56"/>
    <n v="718"/>
    <x v="0"/>
    <x v="0"/>
    <x v="0"/>
    <n v="30"/>
    <n v="20661.59"/>
  </r>
  <r>
    <x v="181"/>
    <s v="Vivaan Singh"/>
    <n v="51"/>
    <x v="0"/>
    <x v="5"/>
    <x v="2"/>
    <x v="0"/>
    <d v="2024-09-29T00:00:00"/>
    <d v="2024-10-29T00:00:00"/>
    <n v="3432000"/>
    <n v="286000"/>
    <n v="3632000"/>
    <n v="1887600"/>
    <n v="6.54"/>
    <n v="85800"/>
    <n v="49"/>
    <n v="743"/>
    <x v="1"/>
    <x v="1"/>
    <x v="1"/>
    <n v="30"/>
    <n v="23465.65"/>
  </r>
  <r>
    <x v="182"/>
    <s v="Aisha Yadav"/>
    <n v="26"/>
    <x v="0"/>
    <x v="2"/>
    <x v="0"/>
    <x v="0"/>
    <d v="2024-09-30T00:00:00"/>
    <d v="2024-10-30T00:00:00"/>
    <n v="636000"/>
    <n v="53000"/>
    <n v="836000"/>
    <n v="349800"/>
    <n v="5.53"/>
    <n v="15900"/>
    <n v="61"/>
    <n v="696"/>
    <x v="1"/>
    <x v="1"/>
    <x v="1"/>
    <n v="30"/>
    <n v="18133.98"/>
  </r>
  <r>
    <x v="183"/>
    <s v="Karan Yadav"/>
    <n v="59"/>
    <x v="1"/>
    <x v="2"/>
    <x v="4"/>
    <x v="0"/>
    <d v="2024-10-01T00:00:00"/>
    <d v="2024-11-01T00:00:00"/>
    <n v="8904000"/>
    <n v="742000"/>
    <n v="9104000"/>
    <n v="4674600"/>
    <n v="7.05"/>
    <n v="222600"/>
    <n v="47"/>
    <n v="620"/>
    <x v="0"/>
    <x v="0"/>
    <x v="0"/>
    <n v="30"/>
    <n v="7491.99"/>
  </r>
  <r>
    <x v="184"/>
    <s v="Karan Patel"/>
    <n v="43"/>
    <x v="0"/>
    <x v="3"/>
    <x v="1"/>
    <x v="0"/>
    <d v="2024-10-02T00:00:00"/>
    <d v="2024-11-02T00:00:00"/>
    <n v="7272000"/>
    <n v="606000"/>
    <n v="7472000"/>
    <n v="3817800"/>
    <n v="9.1199999999999992"/>
    <n v="181800"/>
    <n v="50"/>
    <n v="610"/>
    <x v="0"/>
    <x v="0"/>
    <x v="0"/>
    <n v="30"/>
    <n v="25913.91"/>
  </r>
  <r>
    <x v="185"/>
    <s v="Ritika Joshi"/>
    <n v="27"/>
    <x v="1"/>
    <x v="0"/>
    <x v="4"/>
    <x v="0"/>
    <d v="2024-10-03T00:00:00"/>
    <d v="2024-11-03T00:00:00"/>
    <n v="6552000"/>
    <n v="546000"/>
    <n v="6752000"/>
    <n v="3439800"/>
    <n v="9.18"/>
    <n v="163800"/>
    <n v="50"/>
    <n v="793"/>
    <x v="1"/>
    <x v="1"/>
    <x v="1"/>
    <n v="30"/>
    <n v="20981.15"/>
  </r>
  <r>
    <x v="186"/>
    <s v="Karan Gupta"/>
    <n v="56"/>
    <x v="1"/>
    <x v="3"/>
    <x v="1"/>
    <x v="0"/>
    <d v="2024-10-04T00:00:00"/>
    <d v="2024-11-04T00:00:00"/>
    <n v="7740000"/>
    <n v="645000"/>
    <n v="7940000"/>
    <n v="4063500"/>
    <n v="6.07"/>
    <n v="193500"/>
    <n v="47"/>
    <n v="677"/>
    <x v="0"/>
    <x v="0"/>
    <x v="0"/>
    <n v="30"/>
    <n v="24464.44"/>
  </r>
  <r>
    <x v="187"/>
    <s v="Arjun Singh"/>
    <n v="30"/>
    <x v="1"/>
    <x v="5"/>
    <x v="3"/>
    <x v="0"/>
    <d v="2024-10-05T00:00:00"/>
    <d v="2024-11-05T00:00:00"/>
    <n v="7728000"/>
    <n v="644000"/>
    <n v="7928000"/>
    <n v="4057200"/>
    <n v="9.7799999999999994"/>
    <n v="193200"/>
    <n v="51"/>
    <n v="764"/>
    <x v="1"/>
    <x v="1"/>
    <x v="1"/>
    <n v="30"/>
    <n v="22014.9"/>
  </r>
  <r>
    <x v="188"/>
    <s v="Ananya Patel"/>
    <n v="32"/>
    <x v="1"/>
    <x v="3"/>
    <x v="0"/>
    <x v="0"/>
    <d v="2024-10-06T00:00:00"/>
    <d v="2024-11-06T00:00:00"/>
    <n v="8820000"/>
    <n v="735000"/>
    <n v="9020000"/>
    <n v="4630500"/>
    <n v="6.87"/>
    <n v="220500"/>
    <n v="47"/>
    <n v="636"/>
    <x v="0"/>
    <x v="0"/>
    <x v="0"/>
    <n v="30"/>
    <n v="9947.75"/>
  </r>
  <r>
    <x v="189"/>
    <s v="Pooja Kumar"/>
    <n v="40"/>
    <x v="1"/>
    <x v="1"/>
    <x v="2"/>
    <x v="0"/>
    <d v="2024-10-07T00:00:00"/>
    <d v="2024-11-07T00:00:00"/>
    <n v="3648000"/>
    <n v="304000"/>
    <n v="3848000"/>
    <n v="1915200"/>
    <n v="7.03"/>
    <n v="91200"/>
    <n v="49"/>
    <n v="734"/>
    <x v="1"/>
    <x v="1"/>
    <x v="1"/>
    <n v="30"/>
    <n v="30899.99"/>
  </r>
  <r>
    <x v="190"/>
    <s v="Aarav Joshi"/>
    <n v="40"/>
    <x v="0"/>
    <x v="4"/>
    <x v="0"/>
    <x v="0"/>
    <d v="2024-10-08T00:00:00"/>
    <d v="2024-11-08T00:00:00"/>
    <n v="8280000"/>
    <n v="690000"/>
    <n v="8480000"/>
    <n v="4347000"/>
    <n v="7.56"/>
    <n v="207000"/>
    <n v="48"/>
    <n v="733"/>
    <x v="1"/>
    <x v="1"/>
    <x v="1"/>
    <n v="30"/>
    <n v="16324.67"/>
  </r>
  <r>
    <x v="191"/>
    <s v="Ritika Patel"/>
    <n v="34"/>
    <x v="1"/>
    <x v="5"/>
    <x v="4"/>
    <x v="0"/>
    <d v="2024-10-09T00:00:00"/>
    <d v="2024-11-09T00:00:00"/>
    <n v="1860000"/>
    <n v="155000"/>
    <n v="2060000"/>
    <n v="976500"/>
    <n v="7.23"/>
    <n v="46500"/>
    <n v="52"/>
    <n v="729"/>
    <x v="1"/>
    <x v="1"/>
    <x v="1"/>
    <n v="30"/>
    <n v="26125.55"/>
  </r>
  <r>
    <x v="192"/>
    <s v="Karan Sharma"/>
    <n v="50"/>
    <x v="0"/>
    <x v="5"/>
    <x v="2"/>
    <x v="0"/>
    <d v="2024-10-10T00:00:00"/>
    <d v="2024-11-10T00:00:00"/>
    <n v="5592000"/>
    <n v="466000"/>
    <n v="5792000"/>
    <n v="2935800"/>
    <n v="7.13"/>
    <n v="139800"/>
    <n v="48"/>
    <n v="815"/>
    <x v="1"/>
    <x v="1"/>
    <x v="1"/>
    <n v="30"/>
    <n v="20217"/>
  </r>
  <r>
    <x v="193"/>
    <s v="Neha Singh"/>
    <n v="49"/>
    <x v="1"/>
    <x v="3"/>
    <x v="4"/>
    <x v="0"/>
    <d v="2024-10-11T00:00:00"/>
    <d v="2024-11-11T00:00:00"/>
    <n v="7884000"/>
    <n v="657000"/>
    <n v="8084000"/>
    <n v="4139100"/>
    <n v="9.49"/>
    <n v="197100"/>
    <n v="50"/>
    <n v="813"/>
    <x v="1"/>
    <x v="1"/>
    <x v="1"/>
    <n v="30"/>
    <n v="41054.5"/>
  </r>
  <r>
    <x v="194"/>
    <s v="Arjun Patel"/>
    <n v="40"/>
    <x v="0"/>
    <x v="3"/>
    <x v="2"/>
    <x v="0"/>
    <d v="2024-10-12T00:00:00"/>
    <d v="2024-11-12T00:00:00"/>
    <n v="7032000"/>
    <n v="586000"/>
    <n v="7232000"/>
    <n v="3691800"/>
    <n v="5.36"/>
    <n v="175800"/>
    <n v="46"/>
    <n v="645"/>
    <x v="1"/>
    <x v="1"/>
    <x v="1"/>
    <n v="30"/>
    <n v="23403.93"/>
  </r>
  <r>
    <x v="195"/>
    <s v="Pooja Gupta"/>
    <n v="47"/>
    <x v="0"/>
    <x v="5"/>
    <x v="1"/>
    <x v="0"/>
    <d v="2024-10-13T00:00:00"/>
    <d v="2024-11-13T00:00:00"/>
    <n v="7368000"/>
    <n v="614000"/>
    <n v="7568000"/>
    <n v="3868200"/>
    <n v="8.33"/>
    <n v="184200"/>
    <n v="49"/>
    <n v="650"/>
    <x v="1"/>
    <x v="1"/>
    <x v="1"/>
    <n v="30"/>
    <n v="17306.419999999998"/>
  </r>
  <r>
    <x v="196"/>
    <s v="Neha Kumar"/>
    <n v="60"/>
    <x v="0"/>
    <x v="2"/>
    <x v="2"/>
    <x v="0"/>
    <d v="2024-10-14T00:00:00"/>
    <d v="2024-11-14T00:00:00"/>
    <n v="2028000"/>
    <n v="169000"/>
    <n v="2228000"/>
    <n v="1064700"/>
    <n v="5.18"/>
    <n v="50700"/>
    <n v="49"/>
    <n v="604"/>
    <x v="1"/>
    <x v="1"/>
    <x v="1"/>
    <n v="30"/>
    <n v="8594.4"/>
  </r>
  <r>
    <x v="197"/>
    <s v="Rahul Verma"/>
    <n v="58"/>
    <x v="1"/>
    <x v="3"/>
    <x v="2"/>
    <x v="0"/>
    <d v="2024-10-15T00:00:00"/>
    <d v="2024-11-15T00:00:00"/>
    <n v="6360000"/>
    <n v="530000"/>
    <n v="6560000"/>
    <n v="3339000"/>
    <n v="8.57"/>
    <n v="159000"/>
    <n v="50"/>
    <n v="712"/>
    <x v="0"/>
    <x v="0"/>
    <x v="0"/>
    <n v="30"/>
    <n v="30857.5"/>
  </r>
  <r>
    <x v="198"/>
    <s v="Kavya Verma"/>
    <n v="43"/>
    <x v="0"/>
    <x v="2"/>
    <x v="3"/>
    <x v="0"/>
    <d v="2024-10-16T00:00:00"/>
    <d v="2024-11-16T00:00:00"/>
    <n v="3288000"/>
    <n v="274000"/>
    <n v="3488000"/>
    <n v="1726200"/>
    <n v="8.1300000000000008"/>
    <n v="82200"/>
    <n v="51"/>
    <n v="803"/>
    <x v="0"/>
    <x v="0"/>
    <x v="0"/>
    <n v="30"/>
    <n v="20394.46"/>
  </r>
  <r>
    <x v="199"/>
    <s v="Diya Verma"/>
    <n v="34"/>
    <x v="0"/>
    <x v="3"/>
    <x v="4"/>
    <x v="0"/>
    <d v="2024-10-17T00:00:00"/>
    <d v="2024-11-17T00:00:00"/>
    <n v="744000"/>
    <n v="62000"/>
    <n v="944000"/>
    <n v="390600"/>
    <n v="8.7100000000000009"/>
    <n v="18600"/>
    <n v="64"/>
    <n v="740"/>
    <x v="0"/>
    <x v="0"/>
    <x v="0"/>
    <n v="30"/>
    <n v="35146.68"/>
  </r>
  <r>
    <x v="200"/>
    <s v="Aarav Patel"/>
    <n v="50"/>
    <x v="0"/>
    <x v="5"/>
    <x v="3"/>
    <x v="0"/>
    <d v="2024-10-18T00:00:00"/>
    <d v="2024-11-18T00:00:00"/>
    <n v="6144000"/>
    <n v="512000"/>
    <n v="6344000"/>
    <n v="3225600"/>
    <n v="5.77"/>
    <n v="153600"/>
    <n v="47"/>
    <n v="813"/>
    <x v="1"/>
    <x v="1"/>
    <x v="1"/>
    <n v="30"/>
    <n v="18986.16"/>
  </r>
  <r>
    <x v="201"/>
    <s v="Kavya Patel"/>
    <n v="39"/>
    <x v="0"/>
    <x v="3"/>
    <x v="4"/>
    <x v="0"/>
    <d v="2024-10-19T00:00:00"/>
    <d v="2024-11-19T00:00:00"/>
    <n v="6792000"/>
    <n v="566000"/>
    <n v="6992000"/>
    <n v="3565800"/>
    <n v="9.6199999999999992"/>
    <n v="169800"/>
    <n v="51"/>
    <n v="684"/>
    <x v="0"/>
    <x v="0"/>
    <x v="0"/>
    <n v="30"/>
    <n v="40679.71"/>
  </r>
  <r>
    <x v="202"/>
    <s v="Pooja Mehta"/>
    <n v="36"/>
    <x v="0"/>
    <x v="0"/>
    <x v="3"/>
    <x v="0"/>
    <d v="2024-10-20T00:00:00"/>
    <d v="2024-11-20T00:00:00"/>
    <n v="4344000"/>
    <n v="362000"/>
    <n v="4544000"/>
    <n v="2280600"/>
    <n v="5.48"/>
    <n v="108600"/>
    <n v="47"/>
    <n v="637"/>
    <x v="1"/>
    <x v="1"/>
    <x v="1"/>
    <n v="30"/>
    <n v="17795.07"/>
  </r>
  <r>
    <x v="203"/>
    <s v="Rohan Patel"/>
    <n v="24"/>
    <x v="1"/>
    <x v="3"/>
    <x v="1"/>
    <x v="0"/>
    <d v="2024-10-21T00:00:00"/>
    <d v="2024-11-21T00:00:00"/>
    <n v="4776000"/>
    <n v="398000"/>
    <n v="4976000"/>
    <n v="2507400"/>
    <n v="5"/>
    <n v="119400"/>
    <n v="46"/>
    <n v="766"/>
    <x v="1"/>
    <x v="1"/>
    <x v="1"/>
    <n v="30"/>
    <n v="16302.26"/>
  </r>
  <r>
    <x v="204"/>
    <s v="Aryan Verma"/>
    <n v="22"/>
    <x v="1"/>
    <x v="4"/>
    <x v="3"/>
    <x v="0"/>
    <d v="2024-10-22T00:00:00"/>
    <d v="2024-11-22T00:00:00"/>
    <n v="6288000"/>
    <n v="524000"/>
    <n v="6488000"/>
    <n v="3301200"/>
    <n v="9.6999999999999993"/>
    <n v="157200"/>
    <n v="51"/>
    <n v="752"/>
    <x v="1"/>
    <x v="1"/>
    <x v="1"/>
    <n v="30"/>
    <n v="27137.65"/>
  </r>
  <r>
    <x v="205"/>
    <s v="Meera Singh"/>
    <n v="60"/>
    <x v="1"/>
    <x v="1"/>
    <x v="2"/>
    <x v="0"/>
    <d v="2024-10-23T00:00:00"/>
    <d v="2024-11-23T00:00:00"/>
    <n v="6636000"/>
    <n v="553000"/>
    <n v="6836000"/>
    <n v="3483900"/>
    <n v="6.6"/>
    <n v="165900"/>
    <n v="47"/>
    <n v="685"/>
    <x v="1"/>
    <x v="1"/>
    <x v="1"/>
    <n v="30"/>
    <n v="19179.38"/>
  </r>
  <r>
    <x v="206"/>
    <s v="Vivaan Singh"/>
    <n v="32"/>
    <x v="1"/>
    <x v="4"/>
    <x v="2"/>
    <x v="0"/>
    <d v="2024-10-24T00:00:00"/>
    <d v="2024-11-24T00:00:00"/>
    <n v="7608000"/>
    <n v="634000"/>
    <n v="7808000"/>
    <n v="3994200"/>
    <n v="8.6999999999999993"/>
    <n v="190200"/>
    <n v="49"/>
    <n v="649"/>
    <x v="1"/>
    <x v="1"/>
    <x v="1"/>
    <n v="30"/>
    <n v="33533.800000000003"/>
  </r>
  <r>
    <x v="207"/>
    <s v="Neha Verma"/>
    <n v="50"/>
    <x v="0"/>
    <x v="0"/>
    <x v="4"/>
    <x v="0"/>
    <d v="2024-10-25T00:00:00"/>
    <d v="2024-11-25T00:00:00"/>
    <n v="804000"/>
    <n v="67000"/>
    <n v="1004000"/>
    <n v="422100"/>
    <n v="7.48"/>
    <n v="20100"/>
    <n v="61"/>
    <n v="741"/>
    <x v="1"/>
    <x v="1"/>
    <x v="1"/>
    <n v="30"/>
    <n v="28370.34"/>
  </r>
  <r>
    <x v="208"/>
    <s v="Diya Verma"/>
    <n v="48"/>
    <x v="0"/>
    <x v="5"/>
    <x v="2"/>
    <x v="0"/>
    <d v="2024-10-26T00:00:00"/>
    <d v="2024-11-26T00:00:00"/>
    <n v="1884000"/>
    <n v="157000"/>
    <n v="2084000"/>
    <n v="989100"/>
    <n v="7.57"/>
    <n v="47100"/>
    <n v="53"/>
    <n v="764"/>
    <x v="1"/>
    <x v="1"/>
    <x v="1"/>
    <n v="30"/>
    <n v="12084.82"/>
  </r>
  <r>
    <x v="209"/>
    <s v="Kavya Patel"/>
    <n v="59"/>
    <x v="0"/>
    <x v="4"/>
    <x v="0"/>
    <x v="0"/>
    <d v="2024-10-27T00:00:00"/>
    <d v="2024-11-27T00:00:00"/>
    <n v="4416000"/>
    <n v="368000"/>
    <n v="4616000"/>
    <n v="2318400"/>
    <n v="9.7899999999999991"/>
    <n v="110400"/>
    <n v="52"/>
    <n v="828"/>
    <x v="1"/>
    <x v="1"/>
    <x v="1"/>
    <n v="30"/>
    <n v="40919.01"/>
  </r>
  <r>
    <x v="210"/>
    <s v="Vivaan Nair"/>
    <n v="36"/>
    <x v="0"/>
    <x v="4"/>
    <x v="2"/>
    <x v="0"/>
    <d v="2024-10-28T00:00:00"/>
    <d v="2024-11-28T00:00:00"/>
    <n v="2604000"/>
    <n v="217000"/>
    <n v="2804000"/>
    <n v="1367100"/>
    <n v="7.76"/>
    <n v="65100"/>
    <n v="51"/>
    <n v="804"/>
    <x v="1"/>
    <x v="1"/>
    <x v="1"/>
    <n v="30"/>
    <n v="10867.43"/>
  </r>
  <r>
    <x v="211"/>
    <s v="Kavya Nair"/>
    <n v="21"/>
    <x v="1"/>
    <x v="2"/>
    <x v="2"/>
    <x v="0"/>
    <d v="2024-10-29T00:00:00"/>
    <d v="2024-11-29T00:00:00"/>
    <n v="5376000"/>
    <n v="448000"/>
    <n v="5576000"/>
    <n v="2822400"/>
    <n v="8.93"/>
    <n v="134400"/>
    <n v="50"/>
    <n v="776"/>
    <x v="0"/>
    <x v="0"/>
    <x v="0"/>
    <n v="30"/>
    <n v="37865.199999999997"/>
  </r>
  <r>
    <x v="212"/>
    <s v="Vivaan Nair"/>
    <n v="29"/>
    <x v="1"/>
    <x v="4"/>
    <x v="2"/>
    <x v="0"/>
    <d v="2024-10-30T00:00:00"/>
    <d v="2024-11-30T00:00:00"/>
    <n v="5736000"/>
    <n v="478000"/>
    <n v="5936000"/>
    <n v="3011400"/>
    <n v="6.96"/>
    <n v="143400"/>
    <n v="48"/>
    <n v="610"/>
    <x v="1"/>
    <x v="1"/>
    <x v="1"/>
    <n v="30"/>
    <n v="25394.87"/>
  </r>
  <r>
    <x v="213"/>
    <s v="Rohan Sharma"/>
    <n v="53"/>
    <x v="0"/>
    <x v="3"/>
    <x v="3"/>
    <x v="0"/>
    <d v="2024-10-31T00:00:00"/>
    <d v="2024-11-30T00:00:00"/>
    <n v="8364000"/>
    <n v="697000"/>
    <n v="8564000"/>
    <n v="4391100"/>
    <n v="6.94"/>
    <n v="209100"/>
    <n v="47"/>
    <n v="661"/>
    <x v="0"/>
    <x v="0"/>
    <x v="0"/>
    <n v="30"/>
    <n v="5968.9"/>
  </r>
  <r>
    <x v="214"/>
    <s v="Neha Joshi"/>
    <n v="30"/>
    <x v="0"/>
    <x v="1"/>
    <x v="3"/>
    <x v="0"/>
    <d v="2024-11-01T00:00:00"/>
    <d v="2024-12-01T00:00:00"/>
    <n v="7404000"/>
    <n v="617000"/>
    <n v="7604000"/>
    <m/>
    <n v="7.9"/>
    <n v="185100"/>
    <n v="49"/>
    <n v="655"/>
    <x v="0"/>
    <x v="0"/>
    <x v="0"/>
    <n v="30"/>
    <n v="27841.18"/>
  </r>
  <r>
    <x v="215"/>
    <s v="Arjun Singh"/>
    <n v="38"/>
    <x v="0"/>
    <x v="2"/>
    <x v="0"/>
    <x v="0"/>
    <d v="2024-11-02T00:00:00"/>
    <d v="2024-12-02T00:00:00"/>
    <n v="5640000"/>
    <n v="470000"/>
    <n v="5840000"/>
    <m/>
    <n v="8.65"/>
    <n v="141000"/>
    <n v="50"/>
    <n v="713"/>
    <x v="1"/>
    <x v="1"/>
    <x v="1"/>
    <n v="30"/>
    <n v="31383.07"/>
  </r>
  <r>
    <x v="216"/>
    <s v="Ritika Patel"/>
    <n v="50"/>
    <x v="1"/>
    <x v="0"/>
    <x v="2"/>
    <x v="0"/>
    <d v="2024-11-03T00:00:00"/>
    <d v="2024-12-03T00:00:00"/>
    <n v="7848000"/>
    <n v="654000"/>
    <n v="8048000"/>
    <m/>
    <n v="8.4600000000000009"/>
    <n v="196200"/>
    <n v="49"/>
    <n v="847"/>
    <x v="1"/>
    <x v="1"/>
    <x v="1"/>
    <n v="30"/>
    <n v="23390"/>
  </r>
  <r>
    <x v="217"/>
    <s v="Pooja Singh"/>
    <n v="24"/>
    <x v="0"/>
    <x v="5"/>
    <x v="4"/>
    <x v="0"/>
    <d v="2024-11-04T00:00:00"/>
    <d v="2024-12-04T00:00:00"/>
    <n v="612000"/>
    <n v="51000"/>
    <n v="812000"/>
    <m/>
    <n v="8.75"/>
    <n v="15300"/>
    <n v="68"/>
    <n v="755"/>
    <x v="1"/>
    <x v="1"/>
    <x v="1"/>
    <n v="30"/>
    <n v="20566.53"/>
  </r>
  <r>
    <x v="218"/>
    <s v="Arjun Verma"/>
    <n v="25"/>
    <x v="0"/>
    <x v="0"/>
    <x v="4"/>
    <x v="0"/>
    <d v="2024-11-05T00:00:00"/>
    <d v="2024-12-05T00:00:00"/>
    <n v="972000"/>
    <n v="81000"/>
    <n v="1172000"/>
    <n v="486000"/>
    <n v="6.34"/>
    <n v="24300"/>
    <n v="56"/>
    <n v="654"/>
    <x v="1"/>
    <x v="1"/>
    <x v="1"/>
    <n v="30"/>
    <n v="26870.95"/>
  </r>
  <r>
    <x v="219"/>
    <s v="Aarav Verma"/>
    <n v="53"/>
    <x v="1"/>
    <x v="5"/>
    <x v="2"/>
    <x v="0"/>
    <d v="2024-11-06T00:00:00"/>
    <d v="2024-12-06T00:00:00"/>
    <n v="8712000"/>
    <n v="726000"/>
    <n v="8912000"/>
    <n v="4356000"/>
    <n v="8.43"/>
    <n v="217800"/>
    <n v="49"/>
    <n v="846"/>
    <x v="1"/>
    <x v="1"/>
    <x v="1"/>
    <n v="30"/>
    <n v="31009.33"/>
  </r>
  <r>
    <x v="220"/>
    <s v="Ananya Patel"/>
    <n v="25"/>
    <x v="0"/>
    <x v="2"/>
    <x v="2"/>
    <x v="0"/>
    <d v="2024-11-07T00:00:00"/>
    <d v="2024-12-07T00:00:00"/>
    <n v="4356000"/>
    <n v="363000"/>
    <n v="4556000"/>
    <n v="2178000"/>
    <n v="5.12"/>
    <n v="108900"/>
    <n v="47"/>
    <n v="680"/>
    <x v="0"/>
    <x v="0"/>
    <x v="0"/>
    <n v="30"/>
    <n v="15509.56"/>
  </r>
  <r>
    <x v="221"/>
    <s v="Vivaan Sharma"/>
    <n v="28"/>
    <x v="0"/>
    <x v="1"/>
    <x v="3"/>
    <x v="0"/>
    <d v="2024-11-08T00:00:00"/>
    <d v="2024-12-08T00:00:00"/>
    <n v="8304000"/>
    <n v="692000"/>
    <n v="8504000"/>
    <n v="4152000"/>
    <n v="5.29"/>
    <n v="207600"/>
    <n v="46"/>
    <n v="667"/>
    <x v="1"/>
    <x v="1"/>
    <x v="1"/>
    <n v="30"/>
    <n v="21372.080000000002"/>
  </r>
  <r>
    <x v="222"/>
    <s v="Ishaan Sharma"/>
    <n v="28"/>
    <x v="1"/>
    <x v="0"/>
    <x v="4"/>
    <x v="0"/>
    <d v="2024-11-09T00:00:00"/>
    <d v="2024-12-09T00:00:00"/>
    <n v="8796000"/>
    <n v="733000"/>
    <n v="8996000"/>
    <n v="4398000"/>
    <n v="6.3"/>
    <n v="219900"/>
    <n v="47"/>
    <n v="650"/>
    <x v="1"/>
    <x v="1"/>
    <x v="1"/>
    <n v="30"/>
    <n v="29648.69"/>
  </r>
  <r>
    <x v="223"/>
    <s v="Sanya Nair"/>
    <n v="30"/>
    <x v="0"/>
    <x v="2"/>
    <x v="2"/>
    <x v="0"/>
    <d v="2024-11-10T00:00:00"/>
    <d v="2024-12-10T00:00:00"/>
    <n v="5712000"/>
    <n v="476000"/>
    <n v="5912000"/>
    <n v="2856000"/>
    <n v="8.66"/>
    <n v="142800"/>
    <n v="50"/>
    <n v="696"/>
    <x v="0"/>
    <x v="0"/>
    <x v="0"/>
    <n v="30"/>
    <n v="24105.06"/>
  </r>
  <r>
    <x v="224"/>
    <s v="Ishaan Singh"/>
    <n v="41"/>
    <x v="1"/>
    <x v="1"/>
    <x v="0"/>
    <x v="0"/>
    <d v="2024-11-11T00:00:00"/>
    <d v="2024-12-11T00:00:00"/>
    <n v="4464000"/>
    <n v="372000"/>
    <n v="4664000"/>
    <n v="2232000"/>
    <n v="6.22"/>
    <n v="111600"/>
    <n v="48"/>
    <n v="795"/>
    <x v="1"/>
    <x v="1"/>
    <x v="1"/>
    <n v="30"/>
    <n v="14076.54"/>
  </r>
  <r>
    <x v="225"/>
    <s v="Kavya Nair"/>
    <n v="40"/>
    <x v="1"/>
    <x v="4"/>
    <x v="3"/>
    <x v="0"/>
    <d v="2024-11-12T00:00:00"/>
    <d v="2024-12-12T00:00:00"/>
    <n v="5016000"/>
    <n v="418000"/>
    <n v="5216000"/>
    <n v="2508000"/>
    <n v="6.75"/>
    <n v="125400"/>
    <n v="48"/>
    <n v="717"/>
    <x v="0"/>
    <x v="0"/>
    <x v="0"/>
    <n v="30"/>
    <n v="11695.08"/>
  </r>
  <r>
    <x v="226"/>
    <s v="Sanya Gupta"/>
    <n v="53"/>
    <x v="1"/>
    <x v="2"/>
    <x v="3"/>
    <x v="0"/>
    <d v="2024-11-13T00:00:00"/>
    <d v="2024-12-13T00:00:00"/>
    <n v="8688000"/>
    <n v="724000"/>
    <n v="8888000"/>
    <n v="4344000"/>
    <n v="8.66"/>
    <n v="217200"/>
    <n v="49"/>
    <n v="827"/>
    <x v="1"/>
    <x v="1"/>
    <x v="1"/>
    <n v="30"/>
    <n v="6854.06"/>
  </r>
  <r>
    <x v="227"/>
    <s v="Ritika Singh"/>
    <n v="45"/>
    <x v="1"/>
    <x v="5"/>
    <x v="3"/>
    <x v="0"/>
    <d v="2024-11-14T00:00:00"/>
    <d v="2024-12-14T00:00:00"/>
    <n v="8892000"/>
    <n v="741000"/>
    <n v="9092000"/>
    <n v="4446000"/>
    <n v="7.14"/>
    <n v="222300"/>
    <n v="48"/>
    <n v="795"/>
    <x v="1"/>
    <x v="1"/>
    <x v="1"/>
    <n v="30"/>
    <n v="21982.52"/>
  </r>
  <r>
    <x v="228"/>
    <s v="Aarav Kumar"/>
    <n v="51"/>
    <x v="1"/>
    <x v="2"/>
    <x v="2"/>
    <x v="0"/>
    <d v="2024-11-15T00:00:00"/>
    <d v="2024-12-15T00:00:00"/>
    <n v="4056000"/>
    <n v="338000"/>
    <n v="4256000"/>
    <n v="2028000"/>
    <n v="7.36"/>
    <n v="101400"/>
    <n v="49"/>
    <n v="742"/>
    <x v="1"/>
    <x v="1"/>
    <x v="1"/>
    <n v="30"/>
    <n v="33182.71"/>
  </r>
  <r>
    <x v="229"/>
    <s v="Aryan Joshi"/>
    <n v="56"/>
    <x v="0"/>
    <x v="3"/>
    <x v="3"/>
    <x v="0"/>
    <d v="2024-11-16T00:00:00"/>
    <d v="2024-12-16T00:00:00"/>
    <n v="1716000"/>
    <n v="143000"/>
    <n v="1916000"/>
    <n v="858000"/>
    <n v="6.2"/>
    <n v="42900"/>
    <n v="51"/>
    <n v="752"/>
    <x v="1"/>
    <x v="1"/>
    <x v="1"/>
    <n v="30"/>
    <n v="22244.94"/>
  </r>
  <r>
    <x v="230"/>
    <s v="Arjun Joshi"/>
    <n v="31"/>
    <x v="0"/>
    <x v="5"/>
    <x v="4"/>
    <x v="0"/>
    <d v="2024-11-17T00:00:00"/>
    <d v="2024-12-17T00:00:00"/>
    <n v="7104000"/>
    <n v="592000"/>
    <n v="7304000"/>
    <n v="3552000"/>
    <n v="6.07"/>
    <n v="177600"/>
    <n v="47"/>
    <n v="798"/>
    <x v="1"/>
    <x v="1"/>
    <x v="1"/>
    <n v="30"/>
    <n v="17135.78"/>
  </r>
  <r>
    <x v="231"/>
    <s v="Priya Singh"/>
    <n v="57"/>
    <x v="1"/>
    <x v="4"/>
    <x v="1"/>
    <x v="0"/>
    <d v="2024-11-18T00:00:00"/>
    <d v="2024-12-18T00:00:00"/>
    <n v="6984000"/>
    <n v="582000"/>
    <n v="7184000"/>
    <n v="3492000"/>
    <n v="8.15"/>
    <n v="174600"/>
    <n v="49"/>
    <n v="828"/>
    <x v="1"/>
    <x v="1"/>
    <x v="1"/>
    <n v="30"/>
    <n v="36439.660000000003"/>
  </r>
  <r>
    <x v="232"/>
    <s v="Sneha Kumar"/>
    <n v="53"/>
    <x v="1"/>
    <x v="1"/>
    <x v="0"/>
    <x v="0"/>
    <d v="2024-11-19T00:00:00"/>
    <d v="2024-12-19T00:00:00"/>
    <n v="5412000"/>
    <n v="451000"/>
    <n v="5612000"/>
    <n v="2706000"/>
    <n v="8.16"/>
    <n v="135300"/>
    <n v="49"/>
    <n v="836"/>
    <x v="1"/>
    <x v="1"/>
    <x v="1"/>
    <n v="30"/>
    <n v="18291.830000000002"/>
  </r>
  <r>
    <x v="233"/>
    <s v="Aarav Verma"/>
    <n v="35"/>
    <x v="0"/>
    <x v="5"/>
    <x v="0"/>
    <x v="0"/>
    <d v="2024-11-20T00:00:00"/>
    <d v="2024-12-20T00:00:00"/>
    <n v="6336000"/>
    <n v="528000"/>
    <n v="6536000"/>
    <n v="3168000"/>
    <n v="10"/>
    <n v="158400"/>
    <n v="51"/>
    <n v="722"/>
    <x v="1"/>
    <x v="1"/>
    <x v="1"/>
    <n v="30"/>
    <n v="20213.86"/>
  </r>
  <r>
    <x v="234"/>
    <s v="Aryan Joshi"/>
    <n v="58"/>
    <x v="1"/>
    <x v="2"/>
    <x v="2"/>
    <x v="0"/>
    <d v="2024-11-21T00:00:00"/>
    <d v="2024-12-21T00:00:00"/>
    <n v="2220000"/>
    <n v="185000"/>
    <n v="2420000"/>
    <n v="1110000"/>
    <n v="8.57"/>
    <n v="55500"/>
    <n v="53"/>
    <n v="707"/>
    <x v="1"/>
    <x v="1"/>
    <x v="1"/>
    <n v="30"/>
    <n v="34418.129999999997"/>
  </r>
  <r>
    <x v="235"/>
    <s v="Aryan Joshi"/>
    <n v="53"/>
    <x v="0"/>
    <x v="4"/>
    <x v="4"/>
    <x v="0"/>
    <d v="2024-11-22T00:00:00"/>
    <d v="2024-12-22T00:00:00"/>
    <n v="4248000"/>
    <n v="354000"/>
    <n v="4448000"/>
    <n v="2124000"/>
    <n v="9.91"/>
    <n v="106200"/>
    <n v="52"/>
    <n v="760"/>
    <x v="1"/>
    <x v="1"/>
    <x v="1"/>
    <n v="30"/>
    <n v="18191.53"/>
  </r>
  <r>
    <x v="236"/>
    <s v="Sanya Nair"/>
    <n v="48"/>
    <x v="0"/>
    <x v="0"/>
    <x v="2"/>
    <x v="0"/>
    <d v="2024-11-23T00:00:00"/>
    <d v="2024-12-23T00:00:00"/>
    <n v="8340000"/>
    <n v="695000"/>
    <n v="8540000"/>
    <n v="4170000"/>
    <n v="6.03"/>
    <n v="208500"/>
    <n v="46"/>
    <n v="640"/>
    <x v="1"/>
    <x v="1"/>
    <x v="1"/>
    <n v="30"/>
    <n v="18667.07"/>
  </r>
  <r>
    <x v="237"/>
    <s v="Karan Sharma"/>
    <n v="24"/>
    <x v="1"/>
    <x v="4"/>
    <x v="1"/>
    <x v="0"/>
    <d v="2024-11-24T00:00:00"/>
    <d v="2024-12-24T00:00:00"/>
    <n v="8676000"/>
    <n v="723000"/>
    <n v="8876000"/>
    <n v="4338000"/>
    <n v="8.74"/>
    <n v="216900"/>
    <n v="49"/>
    <n v="630"/>
    <x v="1"/>
    <x v="1"/>
    <x v="1"/>
    <n v="30"/>
    <n v="34987.25"/>
  </r>
  <r>
    <x v="238"/>
    <s v="Karan Gupta"/>
    <n v="49"/>
    <x v="1"/>
    <x v="2"/>
    <x v="1"/>
    <x v="0"/>
    <d v="2024-11-25T00:00:00"/>
    <d v="2024-12-25T00:00:00"/>
    <n v="7668000"/>
    <n v="639000"/>
    <n v="7868000"/>
    <n v="3834000"/>
    <n v="6.69"/>
    <n v="191700"/>
    <n v="47"/>
    <n v="676"/>
    <x v="1"/>
    <x v="1"/>
    <x v="1"/>
    <n v="30"/>
    <n v="7278.47"/>
  </r>
  <r>
    <x v="239"/>
    <s v="Pooja Gupta"/>
    <n v="58"/>
    <x v="0"/>
    <x v="1"/>
    <x v="4"/>
    <x v="0"/>
    <d v="2024-11-26T00:00:00"/>
    <d v="2024-12-26T00:00:00"/>
    <n v="8868000"/>
    <n v="739000"/>
    <n v="9068000"/>
    <n v="4434000"/>
    <n v="7.77"/>
    <n v="221700"/>
    <n v="48"/>
    <n v="718"/>
    <x v="0"/>
    <x v="0"/>
    <x v="0"/>
    <n v="30"/>
    <n v="14478.23"/>
  </r>
  <r>
    <x v="240"/>
    <s v="Kavya Patel"/>
    <n v="25"/>
    <x v="0"/>
    <x v="0"/>
    <x v="3"/>
    <x v="0"/>
    <d v="2024-11-27T00:00:00"/>
    <d v="2024-12-27T00:00:00"/>
    <n v="3492000"/>
    <n v="291000"/>
    <n v="3692000"/>
    <n v="1746000"/>
    <n v="6.19"/>
    <n v="87300"/>
    <n v="48"/>
    <n v="836"/>
    <x v="0"/>
    <x v="0"/>
    <x v="0"/>
    <n v="30"/>
    <n v="19906.310000000001"/>
  </r>
  <r>
    <x v="241"/>
    <s v="Neha Patel"/>
    <n v="24"/>
    <x v="0"/>
    <x v="3"/>
    <x v="1"/>
    <x v="0"/>
    <d v="2024-11-28T00:00:00"/>
    <d v="2024-12-28T00:00:00"/>
    <n v="3948000"/>
    <n v="329000"/>
    <n v="4148000"/>
    <n v="1974000"/>
    <n v="6.54"/>
    <n v="98700"/>
    <n v="48"/>
    <n v="707"/>
    <x v="1"/>
    <x v="1"/>
    <x v="1"/>
    <n v="30"/>
    <n v="18907.919999999998"/>
  </r>
  <r>
    <x v="242"/>
    <s v="Aditya Singh"/>
    <n v="31"/>
    <x v="1"/>
    <x v="2"/>
    <x v="0"/>
    <x v="0"/>
    <d v="2024-11-29T00:00:00"/>
    <d v="2024-12-29T00:00:00"/>
    <n v="4272000"/>
    <n v="356000"/>
    <n v="4472000"/>
    <n v="2136000"/>
    <n v="8.4600000000000009"/>
    <n v="106800"/>
    <n v="50"/>
    <n v="637"/>
    <x v="1"/>
    <x v="1"/>
    <x v="1"/>
    <n v="30"/>
    <n v="24910.57"/>
  </r>
  <r>
    <x v="243"/>
    <s v="Aditya Sharma"/>
    <n v="50"/>
    <x v="1"/>
    <x v="1"/>
    <x v="1"/>
    <x v="0"/>
    <d v="2024-11-30T00:00:00"/>
    <d v="2024-12-30T00:00:00"/>
    <n v="5952000"/>
    <n v="496000"/>
    <n v="6152000"/>
    <n v="2976000"/>
    <n v="6.61"/>
    <n v="148800"/>
    <n v="48"/>
    <n v="714"/>
    <x v="1"/>
    <x v="1"/>
    <x v="1"/>
    <n v="30"/>
    <n v="16622.169999999998"/>
  </r>
  <r>
    <x v="244"/>
    <s v="Pooja Joshi"/>
    <n v="37"/>
    <x v="1"/>
    <x v="1"/>
    <x v="2"/>
    <x v="0"/>
    <d v="2024-12-01T00:00:00"/>
    <d v="2025-01-01T00:00:00"/>
    <n v="4824000"/>
    <n v="402000"/>
    <n v="5024000"/>
    <n v="2291400"/>
    <n v="5.07"/>
    <n v="120600"/>
    <n v="46"/>
    <n v="785"/>
    <x v="1"/>
    <x v="1"/>
    <x v="1"/>
    <n v="30"/>
    <n v="5837.2"/>
  </r>
  <r>
    <x v="245"/>
    <s v="Sanya Yadav"/>
    <n v="56"/>
    <x v="0"/>
    <x v="4"/>
    <x v="0"/>
    <x v="0"/>
    <d v="2024-12-02T00:00:00"/>
    <d v="2025-01-02T00:00:00"/>
    <n v="4080000"/>
    <n v="340000"/>
    <n v="4280000"/>
    <n v="1938000"/>
    <n v="7.55"/>
    <n v="102000"/>
    <n v="49"/>
    <n v="740"/>
    <x v="1"/>
    <x v="1"/>
    <x v="1"/>
    <n v="30"/>
    <n v="30749.25"/>
  </r>
  <r>
    <x v="246"/>
    <s v="Meera Yadav"/>
    <n v="33"/>
    <x v="1"/>
    <x v="1"/>
    <x v="2"/>
    <x v="0"/>
    <d v="2024-12-03T00:00:00"/>
    <d v="2025-01-03T00:00:00"/>
    <n v="5316000"/>
    <n v="443000"/>
    <n v="5516000"/>
    <n v="2525100"/>
    <n v="5.58"/>
    <n v="132900"/>
    <n v="47"/>
    <n v="781"/>
    <x v="1"/>
    <x v="1"/>
    <x v="1"/>
    <n v="30"/>
    <n v="12118.87"/>
  </r>
  <r>
    <x v="247"/>
    <s v="Pooja Verma"/>
    <n v="26"/>
    <x v="1"/>
    <x v="1"/>
    <x v="0"/>
    <x v="0"/>
    <d v="2024-12-04T00:00:00"/>
    <d v="2025-01-04T00:00:00"/>
    <n v="7356000"/>
    <n v="613000"/>
    <n v="7556000"/>
    <n v="3494100"/>
    <n v="9.68"/>
    <n v="183900"/>
    <n v="51"/>
    <n v="719"/>
    <x v="1"/>
    <x v="1"/>
    <x v="1"/>
    <n v="30"/>
    <n v="22220.17"/>
  </r>
  <r>
    <x v="248"/>
    <s v="Kavya Gupta"/>
    <n v="41"/>
    <x v="1"/>
    <x v="3"/>
    <x v="1"/>
    <x v="0"/>
    <d v="2024-12-05T00:00:00"/>
    <d v="2025-01-05T00:00:00"/>
    <n v="3360000"/>
    <n v="280000"/>
    <n v="3560000"/>
    <n v="1596000"/>
    <n v="6.15"/>
    <n v="84000"/>
    <n v="48"/>
    <n v="608"/>
    <x v="1"/>
    <x v="1"/>
    <x v="1"/>
    <n v="30"/>
    <n v="16377.07"/>
  </r>
  <r>
    <x v="249"/>
    <s v="Priya Yadav"/>
    <n v="24"/>
    <x v="1"/>
    <x v="5"/>
    <x v="3"/>
    <x v="0"/>
    <d v="2024-12-06T00:00:00"/>
    <d v="2025-01-06T00:00:00"/>
    <n v="2832000"/>
    <n v="236000"/>
    <n v="3032000"/>
    <n v="1345200"/>
    <n v="6.9"/>
    <n v="70800"/>
    <n v="50"/>
    <n v="686"/>
    <x v="1"/>
    <x v="1"/>
    <x v="1"/>
    <n v="30"/>
    <n v="19390.310000000001"/>
  </r>
  <r>
    <x v="250"/>
    <s v="Ananya Verma"/>
    <n v="23"/>
    <x v="0"/>
    <x v="5"/>
    <x v="3"/>
    <x v="0"/>
    <d v="2024-12-07T00:00:00"/>
    <d v="2025-01-07T00:00:00"/>
    <n v="6684000"/>
    <n v="557000"/>
    <n v="6884000"/>
    <n v="3174900"/>
    <n v="8.57"/>
    <n v="167100"/>
    <n v="49"/>
    <n v="743"/>
    <x v="1"/>
    <x v="1"/>
    <x v="1"/>
    <n v="30"/>
    <n v="20954.28"/>
  </r>
  <r>
    <x v="251"/>
    <s v="Ritika Gupta"/>
    <n v="28"/>
    <x v="1"/>
    <x v="3"/>
    <x v="1"/>
    <x v="0"/>
    <d v="2024-12-08T00:00:00"/>
    <d v="2025-01-08T00:00:00"/>
    <n v="2064000"/>
    <n v="172000"/>
    <n v="2264000"/>
    <n v="980400"/>
    <n v="5.85"/>
    <n v="51600"/>
    <n v="50"/>
    <n v="722"/>
    <x v="1"/>
    <x v="1"/>
    <x v="1"/>
    <n v="30"/>
    <n v="15758.99"/>
  </r>
  <r>
    <x v="252"/>
    <s v="Sanya Nair"/>
    <n v="30"/>
    <x v="1"/>
    <x v="3"/>
    <x v="2"/>
    <x v="0"/>
    <d v="2024-12-09T00:00:00"/>
    <d v="2025-01-09T00:00:00"/>
    <n v="2244000"/>
    <n v="187000"/>
    <n v="2444000"/>
    <n v="1065900"/>
    <n v="8.98"/>
    <n v="56100"/>
    <n v="53"/>
    <n v="661"/>
    <x v="0"/>
    <x v="0"/>
    <x v="0"/>
    <n v="30"/>
    <n v="37729.78"/>
  </r>
  <r>
    <x v="253"/>
    <s v="Aditya Kumar"/>
    <n v="41"/>
    <x v="0"/>
    <x v="1"/>
    <x v="0"/>
    <x v="0"/>
    <d v="2024-12-10T00:00:00"/>
    <d v="2025-01-10T00:00:00"/>
    <n v="3336000"/>
    <n v="278000"/>
    <n v="3536000"/>
    <n v="1584600"/>
    <n v="8.49"/>
    <n v="83400"/>
    <n v="51"/>
    <n v="750"/>
    <x v="0"/>
    <x v="0"/>
    <x v="0"/>
    <n v="30"/>
    <n v="19486.330000000002"/>
  </r>
  <r>
    <x v="254"/>
    <s v="Rahul Patel"/>
    <n v="58"/>
    <x v="0"/>
    <x v="5"/>
    <x v="3"/>
    <x v="0"/>
    <d v="2024-12-11T00:00:00"/>
    <d v="2025-01-11T00:00:00"/>
    <n v="4092000"/>
    <n v="341000"/>
    <n v="4292000"/>
    <n v="1943700"/>
    <n v="7.84"/>
    <n v="102300"/>
    <n v="50"/>
    <n v="777"/>
    <x v="0"/>
    <x v="0"/>
    <x v="0"/>
    <n v="30"/>
    <n v="18822.27"/>
  </r>
  <r>
    <x v="255"/>
    <s v="Sanya Verma"/>
    <n v="38"/>
    <x v="0"/>
    <x v="1"/>
    <x v="3"/>
    <x v="0"/>
    <d v="2024-12-12T00:00:00"/>
    <d v="2025-01-12T00:00:00"/>
    <n v="8964000"/>
    <n v="747000"/>
    <n v="9164000"/>
    <n v="4257900"/>
    <n v="6.9"/>
    <n v="224100"/>
    <n v="47"/>
    <n v="675"/>
    <x v="1"/>
    <x v="1"/>
    <x v="1"/>
    <n v="30"/>
    <n v="23780.27"/>
  </r>
  <r>
    <x v="256"/>
    <s v="Sanya Kumar"/>
    <n v="54"/>
    <x v="0"/>
    <x v="1"/>
    <x v="4"/>
    <x v="0"/>
    <d v="2024-12-13T00:00:00"/>
    <d v="2025-01-13T00:00:00"/>
    <n v="5292000"/>
    <n v="441000"/>
    <n v="5492000"/>
    <n v="2513700"/>
    <n v="8.34"/>
    <n v="132300"/>
    <n v="50"/>
    <n v="715"/>
    <x v="1"/>
    <x v="1"/>
    <x v="1"/>
    <n v="30"/>
    <n v="31550.14"/>
  </r>
  <r>
    <x v="257"/>
    <s v="Kavya Verma"/>
    <n v="53"/>
    <x v="1"/>
    <x v="0"/>
    <x v="1"/>
    <x v="0"/>
    <d v="2024-12-14T00:00:00"/>
    <d v="2025-01-14T00:00:00"/>
    <n v="7812000"/>
    <n v="651000"/>
    <n v="8012000"/>
    <n v="3710700"/>
    <n v="6.05"/>
    <n v="195300"/>
    <n v="47"/>
    <n v="646"/>
    <x v="0"/>
    <x v="0"/>
    <x v="0"/>
    <n v="30"/>
    <n v="6069.9"/>
  </r>
  <r>
    <x v="258"/>
    <s v="Priya Sharma"/>
    <n v="49"/>
    <x v="0"/>
    <x v="3"/>
    <x v="0"/>
    <x v="0"/>
    <d v="2024-12-15T00:00:00"/>
    <d v="2025-01-15T00:00:00"/>
    <n v="1908000"/>
    <n v="159000"/>
    <n v="2108000"/>
    <n v="906300"/>
    <n v="6.02"/>
    <n v="47700"/>
    <n v="51"/>
    <n v="622"/>
    <x v="1"/>
    <x v="1"/>
    <x v="1"/>
    <n v="30"/>
    <n v="26704.73"/>
  </r>
  <r>
    <x v="259"/>
    <s v="Neha Sharma"/>
    <n v="34"/>
    <x v="0"/>
    <x v="1"/>
    <x v="4"/>
    <x v="0"/>
    <d v="2024-12-16T00:00:00"/>
    <d v="2025-01-16T00:00:00"/>
    <n v="5448000"/>
    <n v="454000"/>
    <n v="5648000"/>
    <n v="2587800"/>
    <n v="5.28"/>
    <n v="136200"/>
    <n v="46"/>
    <n v="695"/>
    <x v="1"/>
    <x v="1"/>
    <x v="1"/>
    <n v="30"/>
    <n v="18871.009999999998"/>
  </r>
  <r>
    <x v="260"/>
    <s v="Aisha Joshi"/>
    <n v="25"/>
    <x v="1"/>
    <x v="0"/>
    <x v="0"/>
    <x v="0"/>
    <d v="2024-12-17T00:00:00"/>
    <d v="2025-01-17T00:00:00"/>
    <n v="2496000"/>
    <n v="208000"/>
    <n v="2696000"/>
    <n v="1185600"/>
    <n v="5.54"/>
    <n v="62400"/>
    <n v="49"/>
    <n v="843"/>
    <x v="1"/>
    <x v="1"/>
    <x v="1"/>
    <n v="30"/>
    <n v="26857.52"/>
  </r>
  <r>
    <x v="261"/>
    <s v="Karan Sharma"/>
    <n v="22"/>
    <x v="0"/>
    <x v="5"/>
    <x v="3"/>
    <x v="0"/>
    <d v="2024-12-18T00:00:00"/>
    <d v="2025-01-18T00:00:00"/>
    <n v="1464000"/>
    <n v="122000"/>
    <n v="1664000"/>
    <n v="695400"/>
    <n v="9.94"/>
    <n v="36600"/>
    <n v="58"/>
    <n v="714"/>
    <x v="0"/>
    <x v="0"/>
    <x v="0"/>
    <n v="30"/>
    <n v="46232.49"/>
  </r>
  <r>
    <x v="262"/>
    <s v="Meera Gupta"/>
    <n v="43"/>
    <x v="1"/>
    <x v="1"/>
    <x v="2"/>
    <x v="0"/>
    <d v="2024-12-19T00:00:00"/>
    <d v="2025-01-19T00:00:00"/>
    <n v="1764000"/>
    <n v="147000"/>
    <n v="1964000"/>
    <n v="837900"/>
    <n v="9.92"/>
    <n v="44100"/>
    <n v="56"/>
    <n v="759"/>
    <x v="1"/>
    <x v="1"/>
    <x v="1"/>
    <n v="30"/>
    <n v="47850.51"/>
  </r>
  <r>
    <x v="263"/>
    <s v="Karan Kumar"/>
    <n v="43"/>
    <x v="1"/>
    <x v="2"/>
    <x v="1"/>
    <x v="0"/>
    <d v="2024-12-20T00:00:00"/>
    <d v="2025-01-20T00:00:00"/>
    <n v="1416000"/>
    <n v="118000"/>
    <n v="1616000"/>
    <n v="672600"/>
    <n v="6.75"/>
    <n v="35400"/>
    <n v="53"/>
    <n v="805"/>
    <x v="1"/>
    <x v="1"/>
    <x v="1"/>
    <n v="30"/>
    <n v="15078.11"/>
  </r>
  <r>
    <x v="264"/>
    <s v="Vivaan Sharma"/>
    <n v="51"/>
    <x v="0"/>
    <x v="2"/>
    <x v="2"/>
    <x v="0"/>
    <d v="2024-12-21T00:00:00"/>
    <d v="2025-01-21T00:00:00"/>
    <n v="7020000"/>
    <n v="585000"/>
    <n v="7220000"/>
    <n v="3334500"/>
    <n v="5.01"/>
    <n v="175500"/>
    <n v="46"/>
    <n v="715"/>
    <x v="1"/>
    <x v="1"/>
    <x v="1"/>
    <n v="30"/>
    <n v="22809.03"/>
  </r>
  <r>
    <x v="265"/>
    <s v="Neha Mehta"/>
    <n v="54"/>
    <x v="0"/>
    <x v="3"/>
    <x v="1"/>
    <x v="0"/>
    <d v="2024-12-22T00:00:00"/>
    <d v="2025-01-22T00:00:00"/>
    <n v="3912000"/>
    <n v="326000"/>
    <n v="4112000"/>
    <n v="1858200"/>
    <n v="5.69"/>
    <n v="97800"/>
    <n v="48"/>
    <n v="681"/>
    <x v="1"/>
    <x v="1"/>
    <x v="1"/>
    <n v="30"/>
    <n v="27921.03"/>
  </r>
  <r>
    <x v="266"/>
    <s v="Ritika Verma"/>
    <n v="58"/>
    <x v="0"/>
    <x v="5"/>
    <x v="2"/>
    <x v="0"/>
    <d v="2024-12-23T00:00:00"/>
    <d v="2025-01-23T00:00:00"/>
    <n v="4176000"/>
    <n v="348000"/>
    <n v="4376000"/>
    <n v="1983600"/>
    <n v="7.06"/>
    <n v="104400"/>
    <n v="49"/>
    <n v="711"/>
    <x v="1"/>
    <x v="1"/>
    <x v="1"/>
    <n v="30"/>
    <n v="24686.35"/>
  </r>
  <r>
    <x v="267"/>
    <s v="Aisha Verma"/>
    <n v="51"/>
    <x v="0"/>
    <x v="5"/>
    <x v="3"/>
    <x v="0"/>
    <d v="2024-12-24T00:00:00"/>
    <d v="2025-01-24T00:00:00"/>
    <n v="3612000"/>
    <n v="301000"/>
    <n v="3812000"/>
    <n v="1715700"/>
    <n v="6.28"/>
    <n v="90300"/>
    <n v="48"/>
    <n v="635"/>
    <x v="1"/>
    <x v="1"/>
    <x v="1"/>
    <n v="30"/>
    <n v="26497.93"/>
  </r>
  <r>
    <x v="268"/>
    <s v="Arjun Nair"/>
    <n v="45"/>
    <x v="0"/>
    <x v="3"/>
    <x v="1"/>
    <x v="0"/>
    <d v="2024-12-25T00:00:00"/>
    <d v="2025-01-25T00:00:00"/>
    <n v="7692000"/>
    <n v="641000"/>
    <n v="7892000"/>
    <n v="3653700"/>
    <n v="6.92"/>
    <n v="192300"/>
    <n v="47"/>
    <n v="706"/>
    <x v="1"/>
    <x v="1"/>
    <x v="1"/>
    <n v="30"/>
    <n v="31815.14"/>
  </r>
  <r>
    <x v="269"/>
    <s v="Priya Patel"/>
    <n v="35"/>
    <x v="0"/>
    <x v="3"/>
    <x v="0"/>
    <x v="0"/>
    <d v="2024-12-26T00:00:00"/>
    <d v="2025-01-26T00:00:00"/>
    <n v="6120000"/>
    <n v="510000"/>
    <n v="6320000"/>
    <n v="2907000"/>
    <n v="8.81"/>
    <n v="153000"/>
    <n v="50"/>
    <n v="718"/>
    <x v="1"/>
    <x v="1"/>
    <x v="1"/>
    <n v="30"/>
    <n v="27040.23"/>
  </r>
  <r>
    <x v="270"/>
    <s v="Rahul Singh"/>
    <n v="39"/>
    <x v="1"/>
    <x v="5"/>
    <x v="2"/>
    <x v="0"/>
    <d v="2024-12-27T00:00:00"/>
    <d v="2025-01-27T00:00:00"/>
    <n v="2052000"/>
    <n v="171000"/>
    <n v="2252000"/>
    <n v="974700"/>
    <n v="5.81"/>
    <n v="51300"/>
    <n v="50"/>
    <n v="802"/>
    <x v="0"/>
    <x v="0"/>
    <x v="0"/>
    <n v="30"/>
    <n v="28036.33"/>
  </r>
  <r>
    <x v="271"/>
    <s v="Arjun Nair"/>
    <n v="49"/>
    <x v="1"/>
    <x v="2"/>
    <x v="3"/>
    <x v="0"/>
    <d v="2024-12-28T00:00:00"/>
    <d v="2025-01-28T00:00:00"/>
    <n v="7920000"/>
    <n v="660000"/>
    <n v="8120000"/>
    <n v="3762000"/>
    <n v="6.61"/>
    <n v="198000"/>
    <n v="47"/>
    <n v="842"/>
    <x v="0"/>
    <x v="0"/>
    <x v="0"/>
    <n v="30"/>
    <n v="10302.76"/>
  </r>
  <r>
    <x v="272"/>
    <s v="Rohan Sharma"/>
    <n v="49"/>
    <x v="0"/>
    <x v="1"/>
    <x v="1"/>
    <x v="0"/>
    <d v="2024-12-29T00:00:00"/>
    <d v="2025-01-29T00:00:00"/>
    <n v="684000"/>
    <n v="57000"/>
    <n v="884000"/>
    <n v="324900"/>
    <n v="8.51"/>
    <n v="17100"/>
    <n v="65"/>
    <n v="635"/>
    <x v="1"/>
    <x v="1"/>
    <x v="1"/>
    <n v="30"/>
    <n v="15346.56"/>
  </r>
  <r>
    <x v="273"/>
    <s v="Meera Yadav"/>
    <n v="54"/>
    <x v="0"/>
    <x v="0"/>
    <x v="1"/>
    <x v="0"/>
    <d v="2024-12-30T00:00:00"/>
    <d v="2025-01-30T00:00:00"/>
    <n v="4020000"/>
    <n v="335000"/>
    <n v="4220000"/>
    <n v="1909500"/>
    <n v="6.24"/>
    <n v="100500"/>
    <n v="48"/>
    <n v="638"/>
    <x v="1"/>
    <x v="1"/>
    <x v="1"/>
    <n v="30"/>
    <n v="13624.08"/>
  </r>
  <r>
    <x v="274"/>
    <s v="Ritika Joshi"/>
    <n v="52"/>
    <x v="1"/>
    <x v="1"/>
    <x v="4"/>
    <x v="0"/>
    <d v="2024-12-31T00:00:00"/>
    <d v="2025-01-31T00:00:00"/>
    <n v="3720000"/>
    <n v="310000"/>
    <n v="3920000"/>
    <n v="1767000"/>
    <n v="9.42"/>
    <n v="93000"/>
    <n v="52"/>
    <n v="659"/>
    <x v="0"/>
    <x v="0"/>
    <x v="0"/>
    <n v="30"/>
    <n v="42974.06"/>
  </r>
  <r>
    <x v="275"/>
    <s v="Sanya Singh"/>
    <n v="58"/>
    <x v="0"/>
    <x v="2"/>
    <x v="0"/>
    <x v="1"/>
    <d v="2025-01-01T00:00:00"/>
    <d v="2025-02-01T00:00:00"/>
    <n v="3240000"/>
    <n v="270000"/>
    <n v="3440000"/>
    <n v="1458000"/>
    <n v="8.6199999999999992"/>
    <n v="81000"/>
    <n v="51"/>
    <n v="835"/>
    <x v="1"/>
    <x v="1"/>
    <x v="1"/>
    <n v="30"/>
    <n v="30736.82"/>
  </r>
  <r>
    <x v="276"/>
    <s v="Rohan Verma"/>
    <n v="59"/>
    <x v="1"/>
    <x v="0"/>
    <x v="2"/>
    <x v="1"/>
    <d v="2025-01-02T00:00:00"/>
    <d v="2025-02-02T00:00:00"/>
    <n v="4260000"/>
    <n v="355000"/>
    <n v="4460000"/>
    <n v="1917000"/>
    <n v="8.2899999999999991"/>
    <n v="106500"/>
    <n v="50"/>
    <n v="699"/>
    <x v="0"/>
    <x v="0"/>
    <x v="0"/>
    <n v="30"/>
    <n v="25597.759999999998"/>
  </r>
  <r>
    <x v="277"/>
    <s v="Aisha Patel"/>
    <n v="55"/>
    <x v="0"/>
    <x v="3"/>
    <x v="1"/>
    <x v="1"/>
    <d v="2025-01-03T00:00:00"/>
    <d v="2025-02-03T00:00:00"/>
    <n v="8328000"/>
    <n v="694000"/>
    <n v="8528000"/>
    <n v="3747600"/>
    <n v="6.31"/>
    <n v="208200"/>
    <n v="47"/>
    <n v="687"/>
    <x v="0"/>
    <x v="0"/>
    <x v="0"/>
    <n v="30"/>
    <n v="22882.799999999999"/>
  </r>
  <r>
    <x v="278"/>
    <s v="Neha Joshi"/>
    <n v="39"/>
    <x v="0"/>
    <x v="0"/>
    <x v="3"/>
    <x v="1"/>
    <d v="2025-01-04T00:00:00"/>
    <d v="2025-02-04T00:00:00"/>
    <n v="5868000"/>
    <n v="489000"/>
    <n v="6068000"/>
    <n v="2640600"/>
    <n v="7.73"/>
    <n v="146700"/>
    <n v="49"/>
    <n v="678"/>
    <x v="1"/>
    <x v="1"/>
    <x v="1"/>
    <n v="30"/>
    <n v="30770.9"/>
  </r>
  <r>
    <x v="279"/>
    <s v="Aisha Singh"/>
    <n v="23"/>
    <x v="0"/>
    <x v="5"/>
    <x v="2"/>
    <x v="1"/>
    <d v="2025-01-05T00:00:00"/>
    <d v="2025-02-05T00:00:00"/>
    <n v="3996000"/>
    <n v="333000"/>
    <n v="4196000"/>
    <n v="1798200"/>
    <n v="9.11"/>
    <n v="99900"/>
    <n v="51"/>
    <n v="812"/>
    <x v="1"/>
    <x v="1"/>
    <x v="1"/>
    <n v="30"/>
    <n v="34684.339999999997"/>
  </r>
  <r>
    <x v="280"/>
    <s v="Sanya Mehta"/>
    <n v="49"/>
    <x v="1"/>
    <x v="0"/>
    <x v="4"/>
    <x v="1"/>
    <d v="2025-01-06T00:00:00"/>
    <d v="2025-02-06T00:00:00"/>
    <n v="3396000"/>
    <n v="283000"/>
    <n v="3596000"/>
    <n v="1528200"/>
    <n v="7.69"/>
    <n v="84900"/>
    <n v="50"/>
    <n v="610"/>
    <x v="1"/>
    <x v="1"/>
    <x v="1"/>
    <n v="30"/>
    <n v="25689.52"/>
  </r>
  <r>
    <x v="281"/>
    <s v="Rohan Nair"/>
    <n v="34"/>
    <x v="0"/>
    <x v="2"/>
    <x v="4"/>
    <x v="1"/>
    <d v="2025-01-07T00:00:00"/>
    <d v="2025-02-07T00:00:00"/>
    <n v="8784000"/>
    <n v="732000"/>
    <n v="8984000"/>
    <n v="3952800"/>
    <n v="8.2799999999999994"/>
    <n v="219600"/>
    <n v="49"/>
    <n v="850"/>
    <x v="1"/>
    <x v="1"/>
    <x v="1"/>
    <n v="30"/>
    <n v="30462.57"/>
  </r>
  <r>
    <x v="282"/>
    <s v="Aditya Kumar"/>
    <n v="37"/>
    <x v="1"/>
    <x v="1"/>
    <x v="1"/>
    <x v="1"/>
    <d v="2025-01-08T00:00:00"/>
    <d v="2025-02-08T00:00:00"/>
    <n v="5076000"/>
    <n v="423000"/>
    <n v="5276000"/>
    <n v="2284200"/>
    <n v="8.61"/>
    <n v="126900"/>
    <n v="50"/>
    <n v="693"/>
    <x v="1"/>
    <x v="1"/>
    <x v="1"/>
    <n v="30"/>
    <n v="31713.87"/>
  </r>
  <r>
    <x v="283"/>
    <s v="Aarav Nair"/>
    <n v="27"/>
    <x v="0"/>
    <x v="2"/>
    <x v="2"/>
    <x v="1"/>
    <d v="2025-01-09T00:00:00"/>
    <d v="2025-02-09T00:00:00"/>
    <n v="1212000"/>
    <n v="101000"/>
    <n v="1412000"/>
    <n v="545400"/>
    <n v="5.7"/>
    <n v="30300"/>
    <n v="53"/>
    <n v="834"/>
    <x v="1"/>
    <x v="1"/>
    <x v="1"/>
    <n v="30"/>
    <n v="19476.23"/>
  </r>
  <r>
    <x v="284"/>
    <s v="Arjun Nair"/>
    <n v="41"/>
    <x v="0"/>
    <x v="3"/>
    <x v="2"/>
    <x v="1"/>
    <d v="2025-01-10T00:00:00"/>
    <d v="2025-02-10T00:00:00"/>
    <n v="2316000"/>
    <n v="193000"/>
    <n v="2516000"/>
    <n v="1042200"/>
    <n v="8.7200000000000006"/>
    <n v="57900"/>
    <n v="53"/>
    <n v="706"/>
    <x v="1"/>
    <x v="1"/>
    <x v="1"/>
    <n v="30"/>
    <n v="19376.07"/>
  </r>
  <r>
    <x v="285"/>
    <s v="Kavya Sharma"/>
    <n v="60"/>
    <x v="1"/>
    <x v="3"/>
    <x v="2"/>
    <x v="1"/>
    <d v="2025-01-11T00:00:00"/>
    <d v="2025-02-11T00:00:00"/>
    <n v="6504000"/>
    <n v="542000"/>
    <n v="6704000"/>
    <n v="2926800"/>
    <n v="6.29"/>
    <n v="162600"/>
    <n v="47"/>
    <n v="681"/>
    <x v="1"/>
    <x v="1"/>
    <x v="1"/>
    <n v="30"/>
    <n v="6259.56"/>
  </r>
  <r>
    <x v="286"/>
    <s v="Priya Singh"/>
    <n v="30"/>
    <x v="0"/>
    <x v="3"/>
    <x v="2"/>
    <x v="1"/>
    <d v="2025-01-12T00:00:00"/>
    <d v="2025-02-12T00:00:00"/>
    <n v="6936000"/>
    <n v="578000"/>
    <n v="7136000"/>
    <n v="3121200"/>
    <n v="5.82"/>
    <n v="173400"/>
    <n v="47"/>
    <n v="749"/>
    <x v="1"/>
    <x v="1"/>
    <x v="1"/>
    <n v="30"/>
    <n v="22715.98"/>
  </r>
  <r>
    <x v="287"/>
    <s v="Ananya Patel"/>
    <n v="37"/>
    <x v="0"/>
    <x v="0"/>
    <x v="0"/>
    <x v="1"/>
    <d v="2025-01-13T00:00:00"/>
    <d v="2025-02-13T00:00:00"/>
    <n v="8124000"/>
    <n v="677000"/>
    <n v="8324000"/>
    <n v="3655800"/>
    <n v="8.85"/>
    <n v="203100"/>
    <n v="49"/>
    <n v="653"/>
    <x v="1"/>
    <x v="1"/>
    <x v="1"/>
    <n v="30"/>
    <n v="10372.09"/>
  </r>
  <r>
    <x v="288"/>
    <s v="Meera Joshi"/>
    <n v="42"/>
    <x v="0"/>
    <x v="1"/>
    <x v="2"/>
    <x v="1"/>
    <d v="2025-01-14T00:00:00"/>
    <d v="2025-02-14T00:00:00"/>
    <n v="6096000"/>
    <n v="508000"/>
    <n v="6296000"/>
    <n v="2743200"/>
    <n v="9.99"/>
    <n v="152400"/>
    <n v="51"/>
    <n v="735"/>
    <x v="0"/>
    <x v="0"/>
    <x v="0"/>
    <n v="30"/>
    <n v="44892.54"/>
  </r>
  <r>
    <x v="289"/>
    <s v="Diya Patel"/>
    <n v="51"/>
    <x v="0"/>
    <x v="5"/>
    <x v="0"/>
    <x v="1"/>
    <d v="2025-01-15T00:00:00"/>
    <d v="2025-02-15T00:00:00"/>
    <n v="2784000"/>
    <n v="232000"/>
    <n v="2984000"/>
    <n v="1252800"/>
    <n v="6.33"/>
    <n v="69600"/>
    <n v="49"/>
    <n v="795"/>
    <x v="1"/>
    <x v="1"/>
    <x v="1"/>
    <n v="30"/>
    <n v="5820.65"/>
  </r>
  <r>
    <x v="290"/>
    <s v="Sanya Mehta"/>
    <n v="43"/>
    <x v="0"/>
    <x v="3"/>
    <x v="4"/>
    <x v="1"/>
    <d v="2025-01-16T00:00:00"/>
    <d v="2025-02-16T00:00:00"/>
    <n v="7908000"/>
    <n v="659000"/>
    <n v="8108000"/>
    <n v="3558600"/>
    <n v="5.85"/>
    <n v="197700"/>
    <n v="46"/>
    <n v="612"/>
    <x v="1"/>
    <x v="1"/>
    <x v="1"/>
    <n v="30"/>
    <n v="22663.46"/>
  </r>
  <r>
    <x v="291"/>
    <s v="Neha Mehta"/>
    <n v="32"/>
    <x v="0"/>
    <x v="2"/>
    <x v="4"/>
    <x v="1"/>
    <d v="2025-01-17T00:00:00"/>
    <d v="2025-02-17T00:00:00"/>
    <n v="7596000"/>
    <n v="633000"/>
    <n v="7796000"/>
    <n v="3418200"/>
    <n v="9.17"/>
    <n v="189900"/>
    <n v="50"/>
    <n v="694"/>
    <x v="0"/>
    <x v="0"/>
    <x v="0"/>
    <n v="30"/>
    <n v="14974.04"/>
  </r>
  <r>
    <x v="292"/>
    <s v="Sanya Verma"/>
    <n v="30"/>
    <x v="1"/>
    <x v="3"/>
    <x v="2"/>
    <x v="1"/>
    <d v="2025-01-18T00:00:00"/>
    <d v="2025-02-18T00:00:00"/>
    <n v="780000"/>
    <n v="65000"/>
    <n v="980000"/>
    <n v="351000"/>
    <n v="7.79"/>
    <n v="19500"/>
    <n v="62"/>
    <n v="845"/>
    <x v="0"/>
    <x v="0"/>
    <x v="0"/>
    <n v="30"/>
    <n v="26045.38"/>
  </r>
  <r>
    <x v="293"/>
    <s v="Rahul Singh"/>
    <n v="59"/>
    <x v="1"/>
    <x v="5"/>
    <x v="0"/>
    <x v="1"/>
    <d v="2025-01-19T00:00:00"/>
    <d v="2025-02-19T00:00:00"/>
    <n v="4548000"/>
    <n v="379000"/>
    <n v="4748000"/>
    <n v="2046600"/>
    <n v="8.34"/>
    <n v="113700"/>
    <n v="50"/>
    <n v="800"/>
    <x v="1"/>
    <x v="1"/>
    <x v="1"/>
    <n v="30"/>
    <n v="37248.36"/>
  </r>
  <r>
    <x v="294"/>
    <s v="Aisha Sharma"/>
    <n v="48"/>
    <x v="0"/>
    <x v="2"/>
    <x v="1"/>
    <x v="1"/>
    <d v="2025-01-20T00:00:00"/>
    <d v="2025-02-20T00:00:00"/>
    <n v="2460000"/>
    <n v="205000"/>
    <n v="2660000"/>
    <n v="1107000"/>
    <n v="8.68"/>
    <n v="61500"/>
    <n v="53"/>
    <n v="738"/>
    <x v="0"/>
    <x v="0"/>
    <x v="0"/>
    <n v="30"/>
    <n v="6758.54"/>
  </r>
  <r>
    <x v="295"/>
    <s v="Kavya Singh"/>
    <n v="33"/>
    <x v="0"/>
    <x v="3"/>
    <x v="1"/>
    <x v="1"/>
    <d v="2025-01-21T00:00:00"/>
    <d v="2025-02-21T00:00:00"/>
    <n v="6324000"/>
    <n v="527000"/>
    <n v="6524000"/>
    <n v="2845800"/>
    <n v="7.55"/>
    <n v="158100"/>
    <n v="48"/>
    <n v="669"/>
    <x v="0"/>
    <x v="0"/>
    <x v="0"/>
    <n v="30"/>
    <n v="10932.11"/>
  </r>
  <r>
    <x v="296"/>
    <s v="Kavya Gupta"/>
    <n v="36"/>
    <x v="0"/>
    <x v="5"/>
    <x v="1"/>
    <x v="1"/>
    <d v="2025-01-22T00:00:00"/>
    <d v="2025-02-22T00:00:00"/>
    <n v="7968000"/>
    <n v="664000"/>
    <n v="8168000"/>
    <n v="3585600"/>
    <n v="8.4499999999999993"/>
    <n v="199200"/>
    <n v="49"/>
    <n v="819"/>
    <x v="0"/>
    <x v="0"/>
    <x v="0"/>
    <n v="30"/>
    <n v="27803.39"/>
  </r>
  <r>
    <x v="297"/>
    <s v="Ritika Kumar"/>
    <n v="51"/>
    <x v="0"/>
    <x v="2"/>
    <x v="1"/>
    <x v="1"/>
    <d v="2025-01-23T00:00:00"/>
    <d v="2025-02-23T00:00:00"/>
    <n v="6408000"/>
    <n v="534000"/>
    <n v="6608000"/>
    <n v="2883600"/>
    <n v="7.14"/>
    <n v="160200"/>
    <n v="48"/>
    <n v="644"/>
    <x v="0"/>
    <x v="0"/>
    <x v="0"/>
    <n v="30"/>
    <n v="18131.87"/>
  </r>
  <r>
    <x v="298"/>
    <s v="Priya Patel"/>
    <n v="30"/>
    <x v="1"/>
    <x v="2"/>
    <x v="0"/>
    <x v="1"/>
    <d v="2025-01-24T00:00:00"/>
    <d v="2025-02-24T00:00:00"/>
    <n v="6828000"/>
    <n v="569000"/>
    <n v="7028000"/>
    <n v="3072600"/>
    <n v="7.24"/>
    <n v="170700"/>
    <n v="48"/>
    <n v="835"/>
    <x v="1"/>
    <x v="1"/>
    <x v="1"/>
    <n v="30"/>
    <n v="21400.93"/>
  </r>
  <r>
    <x v="299"/>
    <s v="Aisha Nair"/>
    <n v="50"/>
    <x v="0"/>
    <x v="1"/>
    <x v="4"/>
    <x v="1"/>
    <d v="2025-01-25T00:00:00"/>
    <d v="2025-02-25T00:00:00"/>
    <n v="3984000"/>
    <n v="332000"/>
    <n v="4184000"/>
    <n v="1792800"/>
    <n v="5.56"/>
    <n v="99600"/>
    <n v="47"/>
    <n v="675"/>
    <x v="0"/>
    <x v="0"/>
    <x v="0"/>
    <n v="30"/>
    <n v="10008.81"/>
  </r>
  <r>
    <x v="300"/>
    <s v="Sneha Mehta"/>
    <n v="28"/>
    <x v="0"/>
    <x v="1"/>
    <x v="3"/>
    <x v="1"/>
    <d v="2025-01-26T00:00:00"/>
    <d v="2025-02-26T00:00:00"/>
    <n v="3000000"/>
    <n v="250000"/>
    <n v="3200000"/>
    <n v="1350000"/>
    <n v="6.77"/>
    <n v="75000"/>
    <n v="49"/>
    <n v="737"/>
    <x v="1"/>
    <x v="1"/>
    <x v="1"/>
    <n v="30"/>
    <n v="16705.52"/>
  </r>
  <r>
    <x v="301"/>
    <s v="Aarav Verma"/>
    <n v="58"/>
    <x v="1"/>
    <x v="5"/>
    <x v="4"/>
    <x v="1"/>
    <d v="2025-01-27T00:00:00"/>
    <d v="2025-02-27T00:00:00"/>
    <n v="6648000"/>
    <n v="554000"/>
    <n v="6848000"/>
    <n v="2991600"/>
    <n v="8.81"/>
    <n v="166200"/>
    <n v="50"/>
    <n v="798"/>
    <x v="1"/>
    <x v="1"/>
    <x v="1"/>
    <n v="30"/>
    <n v="30988.66"/>
  </r>
  <r>
    <x v="302"/>
    <s v="Pooja Verma"/>
    <n v="35"/>
    <x v="1"/>
    <x v="1"/>
    <x v="4"/>
    <x v="1"/>
    <d v="2025-01-28T00:00:00"/>
    <d v="2025-02-28T00:00:00"/>
    <n v="7044000"/>
    <n v="587000"/>
    <n v="7244000"/>
    <n v="3169800"/>
    <n v="8.14"/>
    <n v="176100"/>
    <n v="49"/>
    <n v="848"/>
    <x v="1"/>
    <x v="1"/>
    <x v="1"/>
    <n v="30"/>
    <n v="9214.01"/>
  </r>
  <r>
    <x v="303"/>
    <s v="Ananya Kumar"/>
    <n v="50"/>
    <x v="0"/>
    <x v="2"/>
    <x v="1"/>
    <x v="1"/>
    <d v="2025-01-29T00:00:00"/>
    <d v="2025-02-28T00:00:00"/>
    <n v="4680000"/>
    <n v="390000"/>
    <n v="4880000"/>
    <n v="2106000"/>
    <n v="6.98"/>
    <n v="117000"/>
    <n v="48"/>
    <n v="718"/>
    <x v="1"/>
    <x v="1"/>
    <x v="1"/>
    <n v="30"/>
    <n v="17348.89"/>
  </r>
  <r>
    <x v="304"/>
    <s v="Aisha Patel"/>
    <n v="44"/>
    <x v="0"/>
    <x v="3"/>
    <x v="2"/>
    <x v="1"/>
    <d v="2025-01-30T00:00:00"/>
    <d v="2025-02-28T00:00:00"/>
    <n v="1584000"/>
    <n v="132000"/>
    <n v="1784000"/>
    <n v="712800"/>
    <n v="7.92"/>
    <n v="39600"/>
    <n v="54"/>
    <n v="646"/>
    <x v="1"/>
    <x v="1"/>
    <x v="1"/>
    <n v="30"/>
    <n v="8335.17"/>
  </r>
  <r>
    <x v="305"/>
    <s v="Aryan Yadav"/>
    <n v="26"/>
    <x v="1"/>
    <x v="3"/>
    <x v="0"/>
    <x v="1"/>
    <d v="2025-01-31T00:00:00"/>
    <d v="2025-02-28T00:00:00"/>
    <n v="4692000"/>
    <n v="391000"/>
    <n v="4892000"/>
    <n v="2111400"/>
    <n v="7.63"/>
    <n v="117300"/>
    <n v="49"/>
    <n v="643"/>
    <x v="1"/>
    <x v="1"/>
    <x v="1"/>
    <n v="30"/>
    <n v="15758.99"/>
  </r>
  <r>
    <x v="306"/>
    <s v="Aryan Joshi"/>
    <n v="49"/>
    <x v="1"/>
    <x v="1"/>
    <x v="1"/>
    <x v="1"/>
    <d v="2025-02-01T00:00:00"/>
    <d v="2025-03-01T00:00:00"/>
    <n v="7980000"/>
    <n v="665000"/>
    <n v="8180000"/>
    <n v="3391500"/>
    <n v="5.44"/>
    <n v="199500"/>
    <n v="46"/>
    <n v="691"/>
    <x v="0"/>
    <x v="0"/>
    <x v="0"/>
    <n v="30"/>
    <n v="7801.69"/>
  </r>
  <r>
    <x v="307"/>
    <s v="Rohan Yadav"/>
    <n v="34"/>
    <x v="1"/>
    <x v="5"/>
    <x v="4"/>
    <x v="1"/>
    <d v="2025-02-02T00:00:00"/>
    <d v="2025-03-02T00:00:00"/>
    <n v="1020000"/>
    <n v="85000"/>
    <n v="1220000"/>
    <n v="433500"/>
    <n v="5.25"/>
    <n v="25500"/>
    <n v="54"/>
    <n v="824"/>
    <x v="1"/>
    <x v="1"/>
    <x v="1"/>
    <n v="30"/>
    <n v="11730.26"/>
  </r>
  <r>
    <x v="308"/>
    <s v="Priya Singh"/>
    <n v="26"/>
    <x v="1"/>
    <x v="2"/>
    <x v="0"/>
    <x v="1"/>
    <d v="2025-02-03T00:00:00"/>
    <d v="2025-03-03T00:00:00"/>
    <n v="4320000"/>
    <n v="360000"/>
    <n v="4520000"/>
    <n v="1836000"/>
    <n v="7.4"/>
    <n v="108000"/>
    <n v="49"/>
    <n v="697"/>
    <x v="1"/>
    <x v="1"/>
    <x v="1"/>
    <n v="30"/>
    <n v="22415.41"/>
  </r>
  <r>
    <x v="309"/>
    <s v="Priya Singh"/>
    <n v="54"/>
    <x v="1"/>
    <x v="5"/>
    <x v="3"/>
    <x v="1"/>
    <d v="2025-02-04T00:00:00"/>
    <d v="2025-03-04T00:00:00"/>
    <n v="3348000"/>
    <n v="279000"/>
    <n v="3548000"/>
    <n v="1422900"/>
    <n v="9.49"/>
    <n v="83700"/>
    <n v="52"/>
    <n v="833"/>
    <x v="0"/>
    <x v="0"/>
    <x v="0"/>
    <n v="30"/>
    <n v="35253.339999999997"/>
  </r>
  <r>
    <x v="310"/>
    <s v="Aditya Joshi"/>
    <n v="47"/>
    <x v="1"/>
    <x v="1"/>
    <x v="2"/>
    <x v="1"/>
    <d v="2025-02-05T00:00:00"/>
    <d v="2025-03-05T00:00:00"/>
    <n v="3600000"/>
    <n v="300000"/>
    <n v="3800000"/>
    <n v="1530000"/>
    <n v="5.03"/>
    <n v="90000"/>
    <n v="47"/>
    <n v="627"/>
    <x v="0"/>
    <x v="0"/>
    <x v="0"/>
    <n v="30"/>
    <n v="20796.79"/>
  </r>
  <r>
    <x v="311"/>
    <s v="Aisha Kumar"/>
    <n v="34"/>
    <x v="0"/>
    <x v="1"/>
    <x v="4"/>
    <x v="1"/>
    <d v="2025-02-06T00:00:00"/>
    <d v="2025-03-06T00:00:00"/>
    <n v="984000"/>
    <n v="82000"/>
    <n v="1184000"/>
    <n v="418200"/>
    <n v="5.88"/>
    <n v="24600"/>
    <n v="56"/>
    <n v="766"/>
    <x v="1"/>
    <x v="1"/>
    <x v="1"/>
    <n v="30"/>
    <n v="24958.11"/>
  </r>
  <r>
    <x v="312"/>
    <s v="Kavya Sharma"/>
    <n v="36"/>
    <x v="0"/>
    <x v="2"/>
    <x v="3"/>
    <x v="1"/>
    <d v="2025-02-07T00:00:00"/>
    <d v="2025-03-07T00:00:00"/>
    <n v="1248000"/>
    <n v="104000"/>
    <n v="1448000"/>
    <n v="530400"/>
    <n v="6.1"/>
    <n v="31200"/>
    <n v="54"/>
    <n v="752"/>
    <x v="1"/>
    <x v="1"/>
    <x v="1"/>
    <n v="30"/>
    <n v="17189.009999999998"/>
  </r>
  <r>
    <x v="313"/>
    <s v="Arjun Patel"/>
    <n v="28"/>
    <x v="0"/>
    <x v="1"/>
    <x v="3"/>
    <x v="1"/>
    <d v="2025-02-08T00:00:00"/>
    <d v="2025-03-08T00:00:00"/>
    <n v="6060000"/>
    <n v="505000"/>
    <n v="6260000"/>
    <n v="2575500"/>
    <n v="7.4"/>
    <n v="151500"/>
    <n v="48"/>
    <n v="600"/>
    <x v="1"/>
    <x v="1"/>
    <x v="1"/>
    <n v="30"/>
    <n v="12480.07"/>
  </r>
  <r>
    <x v="314"/>
    <s v="Sneha Sharma"/>
    <n v="32"/>
    <x v="1"/>
    <x v="3"/>
    <x v="0"/>
    <x v="1"/>
    <d v="2025-02-09T00:00:00"/>
    <d v="2025-03-09T00:00:00"/>
    <n v="2328000"/>
    <n v="194000"/>
    <n v="2528000"/>
    <n v="989400"/>
    <n v="8.93"/>
    <n v="58200"/>
    <n v="53"/>
    <n v="667"/>
    <x v="1"/>
    <x v="1"/>
    <x v="1"/>
    <n v="30"/>
    <n v="12155.55"/>
  </r>
  <r>
    <x v="315"/>
    <s v="Pooja Gupta"/>
    <n v="47"/>
    <x v="0"/>
    <x v="4"/>
    <x v="0"/>
    <x v="1"/>
    <d v="2025-02-10T00:00:00"/>
    <d v="2025-03-10T00:00:00"/>
    <n v="2004000"/>
    <n v="167000"/>
    <n v="2204000"/>
    <n v="851700"/>
    <n v="8.8699999999999992"/>
    <n v="50100"/>
    <n v="54"/>
    <n v="753"/>
    <x v="1"/>
    <x v="1"/>
    <x v="1"/>
    <n v="30"/>
    <n v="23174.84"/>
  </r>
  <r>
    <x v="316"/>
    <s v="Diya Nair"/>
    <n v="47"/>
    <x v="1"/>
    <x v="1"/>
    <x v="0"/>
    <x v="1"/>
    <d v="2025-02-11T00:00:00"/>
    <d v="2025-03-11T00:00:00"/>
    <n v="2616000"/>
    <n v="218000"/>
    <n v="2816000"/>
    <n v="1111800"/>
    <n v="8.8800000000000008"/>
    <n v="65400"/>
    <n v="53"/>
    <n v="838"/>
    <x v="0"/>
    <x v="0"/>
    <x v="0"/>
    <n v="30"/>
    <n v="26786.29"/>
  </r>
  <r>
    <x v="317"/>
    <s v="Aisha Singh"/>
    <n v="49"/>
    <x v="1"/>
    <x v="0"/>
    <x v="2"/>
    <x v="1"/>
    <d v="2025-02-12T00:00:00"/>
    <d v="2025-03-12T00:00:00"/>
    <n v="4632000"/>
    <n v="386000"/>
    <n v="4832000"/>
    <n v="1968600"/>
    <n v="8.82"/>
    <n v="115800"/>
    <n v="51"/>
    <n v="813"/>
    <x v="0"/>
    <x v="0"/>
    <x v="0"/>
    <n v="30"/>
    <n v="36994.959999999999"/>
  </r>
  <r>
    <x v="318"/>
    <s v="Ritika Sharma"/>
    <n v="47"/>
    <x v="1"/>
    <x v="2"/>
    <x v="0"/>
    <x v="1"/>
    <d v="2025-02-13T00:00:00"/>
    <d v="2025-03-13T00:00:00"/>
    <n v="6300000"/>
    <n v="525000"/>
    <n v="6500000"/>
    <n v="2677500"/>
    <n v="6.43"/>
    <n v="157500"/>
    <n v="47"/>
    <n v="622"/>
    <x v="0"/>
    <x v="0"/>
    <x v="0"/>
    <n v="30"/>
    <n v="28850.84"/>
  </r>
  <r>
    <x v="319"/>
    <s v="Ritika Verma"/>
    <n v="36"/>
    <x v="1"/>
    <x v="4"/>
    <x v="4"/>
    <x v="1"/>
    <d v="2025-02-14T00:00:00"/>
    <d v="2025-03-14T00:00:00"/>
    <n v="7536000"/>
    <n v="628000"/>
    <n v="7736000"/>
    <n v="3202800"/>
    <n v="8.8000000000000007"/>
    <n v="188400"/>
    <n v="50"/>
    <n v="607"/>
    <x v="0"/>
    <x v="0"/>
    <x v="0"/>
    <n v="30"/>
    <n v="31230.74"/>
  </r>
  <r>
    <x v="320"/>
    <s v="Vivaan Joshi"/>
    <n v="40"/>
    <x v="1"/>
    <x v="5"/>
    <x v="1"/>
    <x v="1"/>
    <d v="2025-02-15T00:00:00"/>
    <d v="2025-03-15T00:00:00"/>
    <n v="7620000"/>
    <n v="635000"/>
    <n v="7820000"/>
    <n v="3238500"/>
    <n v="8.48"/>
    <n v="190500"/>
    <n v="49"/>
    <n v="608"/>
    <x v="0"/>
    <x v="0"/>
    <x v="0"/>
    <n v="30"/>
    <n v="13665.69"/>
  </r>
  <r>
    <x v="321"/>
    <s v="Rohan Sharma"/>
    <n v="25"/>
    <x v="1"/>
    <x v="1"/>
    <x v="1"/>
    <x v="1"/>
    <d v="2025-02-16T00:00:00"/>
    <d v="2025-03-16T00:00:00"/>
    <n v="840000"/>
    <n v="70000"/>
    <n v="1040000"/>
    <n v="357000"/>
    <n v="9.09"/>
    <n v="21000"/>
    <n v="63"/>
    <n v="733"/>
    <x v="1"/>
    <x v="1"/>
    <x v="1"/>
    <n v="30"/>
    <n v="25015.03"/>
  </r>
  <r>
    <x v="322"/>
    <s v="Vivaan Joshi"/>
    <n v="58"/>
    <x v="0"/>
    <x v="0"/>
    <x v="1"/>
    <x v="1"/>
    <d v="2025-02-17T00:00:00"/>
    <d v="2025-03-17T00:00:00"/>
    <n v="1752000"/>
    <n v="146000"/>
    <n v="1952000"/>
    <n v="744600"/>
    <n v="9.81"/>
    <n v="43800"/>
    <n v="56"/>
    <n v="726"/>
    <x v="1"/>
    <x v="1"/>
    <x v="1"/>
    <n v="30"/>
    <n v="39784.53"/>
  </r>
  <r>
    <x v="323"/>
    <s v="Ananya Verma"/>
    <n v="33"/>
    <x v="1"/>
    <x v="3"/>
    <x v="1"/>
    <x v="1"/>
    <d v="2025-02-18T00:00:00"/>
    <d v="2025-03-18T00:00:00"/>
    <n v="1308000"/>
    <n v="109000"/>
    <n v="1508000"/>
    <n v="555900"/>
    <n v="5.67"/>
    <n v="32700"/>
    <n v="53"/>
    <n v="826"/>
    <x v="0"/>
    <x v="0"/>
    <x v="0"/>
    <n v="30"/>
    <n v="18059.38"/>
  </r>
  <r>
    <x v="324"/>
    <s v="Arjun Patel"/>
    <n v="51"/>
    <x v="1"/>
    <x v="5"/>
    <x v="3"/>
    <x v="1"/>
    <d v="2025-02-19T00:00:00"/>
    <d v="2025-03-19T00:00:00"/>
    <n v="6168000"/>
    <n v="514000"/>
    <n v="6368000"/>
    <n v="2621400"/>
    <n v="5.35"/>
    <n v="154200"/>
    <n v="46"/>
    <n v="812"/>
    <x v="0"/>
    <x v="0"/>
    <x v="0"/>
    <n v="30"/>
    <n v="22140.400000000001"/>
  </r>
  <r>
    <x v="325"/>
    <s v="Meera Sharma"/>
    <n v="42"/>
    <x v="1"/>
    <x v="5"/>
    <x v="2"/>
    <x v="1"/>
    <d v="2025-02-20T00:00:00"/>
    <d v="2025-03-20T00:00:00"/>
    <n v="3204000"/>
    <n v="267000"/>
    <n v="3404000"/>
    <n v="1361700"/>
    <n v="5.79"/>
    <n v="80100"/>
    <n v="48"/>
    <n v="700"/>
    <x v="1"/>
    <x v="1"/>
    <x v="1"/>
    <n v="30"/>
    <n v="18982.23"/>
  </r>
  <r>
    <x v="326"/>
    <s v="Arjun Verma"/>
    <n v="36"/>
    <x v="1"/>
    <x v="5"/>
    <x v="1"/>
    <x v="1"/>
    <d v="2025-02-21T00:00:00"/>
    <d v="2025-03-21T00:00:00"/>
    <n v="4044000"/>
    <n v="337000"/>
    <n v="4244000"/>
    <n v="1718700"/>
    <n v="7.31"/>
    <n v="101100"/>
    <n v="49"/>
    <n v="843"/>
    <x v="1"/>
    <x v="1"/>
    <x v="1"/>
    <n v="30"/>
    <n v="25070.11"/>
  </r>
  <r>
    <x v="327"/>
    <s v="Rahul Yadav"/>
    <n v="24"/>
    <x v="1"/>
    <x v="2"/>
    <x v="1"/>
    <x v="1"/>
    <d v="2025-02-22T00:00:00"/>
    <d v="2025-03-22T00:00:00"/>
    <n v="7224000"/>
    <n v="602000"/>
    <n v="7424000"/>
    <n v="3070200"/>
    <n v="5.09"/>
    <n v="180600"/>
    <n v="46"/>
    <n v="608"/>
    <x v="1"/>
    <x v="1"/>
    <x v="1"/>
    <n v="30"/>
    <n v="12918.64"/>
  </r>
  <r>
    <x v="328"/>
    <s v="Ritika Singh"/>
    <n v="22"/>
    <x v="1"/>
    <x v="3"/>
    <x v="1"/>
    <x v="1"/>
    <d v="2025-02-23T00:00:00"/>
    <d v="2025-03-23T00:00:00"/>
    <n v="4392000"/>
    <n v="366000"/>
    <n v="4592000"/>
    <n v="1866600"/>
    <n v="8.36"/>
    <n v="109800"/>
    <n v="50"/>
    <n v="671"/>
    <x v="0"/>
    <x v="0"/>
    <x v="0"/>
    <n v="30"/>
    <n v="30275.62"/>
  </r>
  <r>
    <x v="329"/>
    <s v="Aisha Mehta"/>
    <n v="43"/>
    <x v="1"/>
    <x v="1"/>
    <x v="2"/>
    <x v="1"/>
    <d v="2025-02-24T00:00:00"/>
    <d v="2025-03-24T00:00:00"/>
    <n v="3060000"/>
    <n v="255000"/>
    <n v="3260000"/>
    <n v="1300500"/>
    <n v="8.08"/>
    <n v="76500"/>
    <n v="51"/>
    <n v="707"/>
    <x v="1"/>
    <x v="1"/>
    <x v="1"/>
    <n v="30"/>
    <n v="30166.89"/>
  </r>
  <r>
    <x v="330"/>
    <s v="Aryan Verma"/>
    <n v="24"/>
    <x v="0"/>
    <x v="2"/>
    <x v="0"/>
    <x v="1"/>
    <d v="2025-02-25T00:00:00"/>
    <d v="2025-03-25T00:00:00"/>
    <n v="5136000"/>
    <n v="428000"/>
    <n v="5336000"/>
    <n v="2182800"/>
    <n v="9.5399999999999991"/>
    <n v="128400"/>
    <n v="51"/>
    <n v="702"/>
    <x v="1"/>
    <x v="1"/>
    <x v="1"/>
    <n v="30"/>
    <n v="22804.42"/>
  </r>
  <r>
    <x v="331"/>
    <s v="Rahul Gupta"/>
    <n v="38"/>
    <x v="1"/>
    <x v="0"/>
    <x v="1"/>
    <x v="1"/>
    <d v="2025-02-26T00:00:00"/>
    <d v="2025-03-26T00:00:00"/>
    <n v="1440000"/>
    <n v="120000"/>
    <n v="1640000"/>
    <n v="612000"/>
    <n v="5.82"/>
    <n v="36000"/>
    <n v="52"/>
    <n v="737"/>
    <x v="0"/>
    <x v="0"/>
    <x v="0"/>
    <n v="30"/>
    <n v="11853.42"/>
  </r>
  <r>
    <x v="332"/>
    <s v="Karan Verma"/>
    <n v="26"/>
    <x v="0"/>
    <x v="3"/>
    <x v="2"/>
    <x v="1"/>
    <d v="2025-02-27T00:00:00"/>
    <d v="2025-03-27T00:00:00"/>
    <n v="3516000"/>
    <n v="293000"/>
    <n v="3716000"/>
    <n v="1494300"/>
    <n v="6.49"/>
    <n v="87900"/>
    <n v="49"/>
    <n v="620"/>
    <x v="0"/>
    <x v="0"/>
    <x v="0"/>
    <n v="30"/>
    <n v="11676.92"/>
  </r>
  <r>
    <x v="333"/>
    <s v="Sneha Gupta"/>
    <n v="29"/>
    <x v="0"/>
    <x v="0"/>
    <x v="0"/>
    <x v="1"/>
    <d v="2025-02-28T00:00:00"/>
    <d v="2025-03-28T00:00:00"/>
    <n v="8160000"/>
    <n v="680000"/>
    <n v="8360000"/>
    <n v="3468000"/>
    <n v="6.29"/>
    <n v="204000"/>
    <n v="47"/>
    <n v="778"/>
    <x v="0"/>
    <x v="0"/>
    <x v="0"/>
    <n v="30"/>
    <n v="15860.44"/>
  </r>
  <r>
    <x v="334"/>
    <s v="Ritika Mehta"/>
    <n v="52"/>
    <x v="0"/>
    <x v="1"/>
    <x v="2"/>
    <x v="1"/>
    <d v="2025-03-01T00:00:00"/>
    <d v="2025-04-01T00:00:00"/>
    <n v="3312000"/>
    <n v="276000"/>
    <n v="3512000"/>
    <n v="1324800"/>
    <n v="9.1199999999999992"/>
    <n v="82800"/>
    <n v="52"/>
    <n v="781"/>
    <x v="0"/>
    <x v="0"/>
    <x v="0"/>
    <n v="30"/>
    <n v="17824.84"/>
  </r>
  <r>
    <x v="335"/>
    <s v="Arjun Joshi"/>
    <n v="53"/>
    <x v="1"/>
    <x v="4"/>
    <x v="2"/>
    <x v="1"/>
    <d v="2025-03-02T00:00:00"/>
    <d v="2025-04-02T00:00:00"/>
    <n v="2088000"/>
    <n v="174000"/>
    <n v="2288000"/>
    <n v="835200"/>
    <n v="5.2"/>
    <n v="52200"/>
    <n v="49"/>
    <n v="738"/>
    <x v="1"/>
    <x v="1"/>
    <x v="1"/>
    <n v="30"/>
    <n v="9212.18"/>
  </r>
  <r>
    <x v="336"/>
    <s v="Karan Joshi"/>
    <n v="51"/>
    <x v="1"/>
    <x v="5"/>
    <x v="2"/>
    <x v="1"/>
    <d v="2025-03-03T00:00:00"/>
    <d v="2025-04-03T00:00:00"/>
    <n v="2484000"/>
    <n v="207000"/>
    <n v="2684000"/>
    <n v="993600"/>
    <n v="7.3"/>
    <n v="62100"/>
    <n v="51"/>
    <n v="812"/>
    <x v="1"/>
    <x v="1"/>
    <x v="1"/>
    <n v="30"/>
    <n v="13958.11"/>
  </r>
  <r>
    <x v="337"/>
    <s v="Meera Sharma"/>
    <n v="42"/>
    <x v="0"/>
    <x v="3"/>
    <x v="3"/>
    <x v="1"/>
    <d v="2025-03-04T00:00:00"/>
    <d v="2025-04-04T00:00:00"/>
    <n v="4620000"/>
    <n v="385000"/>
    <n v="4820000"/>
    <n v="1848000"/>
    <n v="9.83"/>
    <n v="115500"/>
    <n v="52"/>
    <n v="663"/>
    <x v="1"/>
    <x v="1"/>
    <x v="1"/>
    <n v="30"/>
    <n v="18274.849999999999"/>
  </r>
  <r>
    <x v="338"/>
    <s v="Neha Patel"/>
    <n v="50"/>
    <x v="0"/>
    <x v="5"/>
    <x v="1"/>
    <x v="1"/>
    <d v="2025-03-05T00:00:00"/>
    <d v="2025-04-05T00:00:00"/>
    <n v="7092000"/>
    <n v="591000"/>
    <n v="7292000"/>
    <n v="2836800"/>
    <n v="9.1"/>
    <n v="177300"/>
    <n v="50"/>
    <n v="756"/>
    <x v="1"/>
    <x v="1"/>
    <x v="1"/>
    <n v="30"/>
    <n v="44255.05"/>
  </r>
  <r>
    <x v="339"/>
    <s v="Rohan Nair"/>
    <n v="49"/>
    <x v="0"/>
    <x v="3"/>
    <x v="1"/>
    <x v="1"/>
    <d v="2025-03-06T00:00:00"/>
    <d v="2025-04-06T00:00:00"/>
    <n v="5988000"/>
    <n v="499000"/>
    <n v="6188000"/>
    <n v="2395200"/>
    <n v="9.67"/>
    <n v="149700"/>
    <n v="51"/>
    <n v="775"/>
    <x v="0"/>
    <x v="0"/>
    <x v="0"/>
    <n v="30"/>
    <n v="24534.59"/>
  </r>
  <r>
    <x v="340"/>
    <s v="Neha Nair"/>
    <n v="30"/>
    <x v="1"/>
    <x v="3"/>
    <x v="3"/>
    <x v="1"/>
    <d v="2025-03-07T00:00:00"/>
    <d v="2025-04-07T00:00:00"/>
    <n v="3096000"/>
    <n v="258000"/>
    <n v="3296000"/>
    <n v="1238400"/>
    <n v="9.1199999999999992"/>
    <n v="77400"/>
    <n v="52"/>
    <n v="764"/>
    <x v="0"/>
    <x v="0"/>
    <x v="0"/>
    <n v="30"/>
    <n v="19418.599999999999"/>
  </r>
  <r>
    <x v="341"/>
    <s v="Kavya Sharma"/>
    <n v="47"/>
    <x v="1"/>
    <x v="5"/>
    <x v="1"/>
    <x v="1"/>
    <d v="2025-03-08T00:00:00"/>
    <d v="2025-04-08T00:00:00"/>
    <n v="8988000"/>
    <n v="749000"/>
    <n v="9188000"/>
    <n v="3595200"/>
    <n v="9.92"/>
    <n v="224700"/>
    <n v="51"/>
    <n v="638"/>
    <x v="1"/>
    <x v="1"/>
    <x v="1"/>
    <n v="30"/>
    <n v="20401.43"/>
  </r>
  <r>
    <x v="342"/>
    <s v="Aditya Patel"/>
    <n v="33"/>
    <x v="0"/>
    <x v="4"/>
    <x v="3"/>
    <x v="1"/>
    <d v="2025-03-09T00:00:00"/>
    <d v="2025-04-09T00:00:00"/>
    <n v="1848000"/>
    <n v="154000"/>
    <n v="2048000"/>
    <n v="739200"/>
    <n v="9.94"/>
    <n v="46200"/>
    <n v="56"/>
    <n v="624"/>
    <x v="0"/>
    <x v="0"/>
    <x v="0"/>
    <n v="30"/>
    <n v="21085.09"/>
  </r>
  <r>
    <x v="343"/>
    <s v="Neha Patel"/>
    <n v="40"/>
    <x v="0"/>
    <x v="3"/>
    <x v="3"/>
    <x v="1"/>
    <d v="2025-03-10T00:00:00"/>
    <d v="2025-04-10T00:00:00"/>
    <n v="4188000"/>
    <n v="349000"/>
    <n v="4388000"/>
    <n v="1675200"/>
    <n v="7.65"/>
    <n v="104700"/>
    <n v="49"/>
    <n v="765"/>
    <x v="0"/>
    <x v="0"/>
    <x v="0"/>
    <n v="30"/>
    <n v="9212.74"/>
  </r>
  <r>
    <x v="344"/>
    <s v="Ritika Yadav"/>
    <n v="59"/>
    <x v="0"/>
    <x v="0"/>
    <x v="0"/>
    <x v="1"/>
    <d v="2025-03-11T00:00:00"/>
    <d v="2025-04-11T00:00:00"/>
    <n v="7572000"/>
    <n v="631000"/>
    <n v="7772000"/>
    <n v="3028800"/>
    <n v="9.16"/>
    <n v="189300"/>
    <n v="50"/>
    <n v="794"/>
    <x v="1"/>
    <x v="1"/>
    <x v="1"/>
    <n v="30"/>
    <n v="19796.52"/>
  </r>
  <r>
    <x v="345"/>
    <s v="Sanya Kumar"/>
    <n v="25"/>
    <x v="0"/>
    <x v="0"/>
    <x v="1"/>
    <x v="1"/>
    <d v="2025-03-12T00:00:00"/>
    <d v="2025-04-12T00:00:00"/>
    <n v="7872000"/>
    <n v="656000"/>
    <n v="8072000"/>
    <n v="3148800"/>
    <n v="8.86"/>
    <n v="196800"/>
    <n v="50"/>
    <n v="741"/>
    <x v="1"/>
    <x v="1"/>
    <x v="1"/>
    <n v="30"/>
    <n v="36110.6"/>
  </r>
  <r>
    <x v="346"/>
    <s v="Aisha Verma"/>
    <n v="40"/>
    <x v="0"/>
    <x v="3"/>
    <x v="0"/>
    <x v="1"/>
    <d v="2025-03-13T00:00:00"/>
    <d v="2025-04-13T00:00:00"/>
    <n v="4212000"/>
    <n v="351000"/>
    <n v="4412000"/>
    <n v="1684800"/>
    <n v="5.41"/>
    <n v="105300"/>
    <n v="47"/>
    <n v="752"/>
    <x v="1"/>
    <x v="1"/>
    <x v="1"/>
    <n v="30"/>
    <n v="10714.45"/>
  </r>
  <r>
    <x v="347"/>
    <s v="Aarav Sharma"/>
    <n v="48"/>
    <x v="0"/>
    <x v="5"/>
    <x v="3"/>
    <x v="1"/>
    <d v="2025-03-14T00:00:00"/>
    <d v="2025-04-14T00:00:00"/>
    <n v="8004000"/>
    <n v="667000"/>
    <n v="8204000"/>
    <n v="3201600"/>
    <n v="5.87"/>
    <n v="200100"/>
    <n v="46"/>
    <n v="626"/>
    <x v="1"/>
    <x v="1"/>
    <x v="1"/>
    <n v="30"/>
    <n v="23016.87"/>
  </r>
  <r>
    <x v="348"/>
    <s v="Kavya Sharma"/>
    <n v="22"/>
    <x v="1"/>
    <x v="5"/>
    <x v="3"/>
    <x v="1"/>
    <d v="2025-03-15T00:00:00"/>
    <d v="2025-04-15T00:00:00"/>
    <n v="6768000"/>
    <n v="564000"/>
    <n v="6968000"/>
    <n v="2707200"/>
    <n v="8.16"/>
    <n v="169200"/>
    <n v="49"/>
    <n v="809"/>
    <x v="1"/>
    <x v="1"/>
    <x v="1"/>
    <n v="30"/>
    <n v="31954.02"/>
  </r>
  <r>
    <x v="349"/>
    <s v="Diya Singh"/>
    <n v="50"/>
    <x v="0"/>
    <x v="2"/>
    <x v="1"/>
    <x v="1"/>
    <d v="2025-03-16T00:00:00"/>
    <d v="2025-04-16T00:00:00"/>
    <n v="7248000"/>
    <n v="604000"/>
    <n v="7448000"/>
    <n v="2899200"/>
    <n v="8.2200000000000006"/>
    <n v="181200"/>
    <n v="49"/>
    <n v="782"/>
    <x v="1"/>
    <x v="1"/>
    <x v="1"/>
    <n v="30"/>
    <n v="30344.2"/>
  </r>
  <r>
    <x v="350"/>
    <s v="Ishaan Verma"/>
    <n v="29"/>
    <x v="0"/>
    <x v="4"/>
    <x v="3"/>
    <x v="1"/>
    <d v="2025-03-17T00:00:00"/>
    <d v="2025-04-17T00:00:00"/>
    <n v="1548000"/>
    <n v="129000"/>
    <n v="1748000"/>
    <n v="619200"/>
    <n v="5.98"/>
    <n v="38700"/>
    <n v="52"/>
    <n v="611"/>
    <x v="1"/>
    <x v="1"/>
    <x v="1"/>
    <n v="30"/>
    <n v="18068.900000000001"/>
  </r>
  <r>
    <x v="351"/>
    <s v="Vivaan Kumar"/>
    <n v="42"/>
    <x v="1"/>
    <x v="1"/>
    <x v="0"/>
    <x v="1"/>
    <d v="2025-03-18T00:00:00"/>
    <d v="2025-04-18T00:00:00"/>
    <n v="3300000"/>
    <n v="275000"/>
    <n v="3500000"/>
    <n v="1320000"/>
    <n v="8.7899999999999991"/>
    <n v="82500"/>
    <n v="51"/>
    <n v="690"/>
    <x v="0"/>
    <x v="0"/>
    <x v="0"/>
    <n v="30"/>
    <n v="14705.92"/>
  </r>
  <r>
    <x v="352"/>
    <s v="Meera Mehta"/>
    <n v="22"/>
    <x v="0"/>
    <x v="1"/>
    <x v="2"/>
    <x v="1"/>
    <d v="2025-03-19T00:00:00"/>
    <d v="2025-04-19T00:00:00"/>
    <n v="2160000"/>
    <n v="180000"/>
    <n v="2360000"/>
    <n v="864000"/>
    <n v="7.86"/>
    <n v="54000"/>
    <n v="52"/>
    <n v="814"/>
    <x v="1"/>
    <x v="1"/>
    <x v="1"/>
    <n v="30"/>
    <n v="32223.61"/>
  </r>
  <r>
    <x v="353"/>
    <s v="Priya Sharma"/>
    <n v="55"/>
    <x v="1"/>
    <x v="0"/>
    <x v="0"/>
    <x v="1"/>
    <d v="2025-03-20T00:00:00"/>
    <d v="2025-04-20T00:00:00"/>
    <n v="1476000"/>
    <n v="123000"/>
    <n v="1676000"/>
    <n v="590400"/>
    <n v="8.25"/>
    <n v="36900"/>
    <n v="55"/>
    <n v="754"/>
    <x v="1"/>
    <x v="1"/>
    <x v="1"/>
    <n v="30"/>
    <n v="12188.83"/>
  </r>
  <r>
    <x v="354"/>
    <s v="Aryan Nair"/>
    <n v="45"/>
    <x v="0"/>
    <x v="4"/>
    <x v="1"/>
    <x v="1"/>
    <d v="2025-03-21T00:00:00"/>
    <d v="2025-04-21T00:00:00"/>
    <n v="6756000"/>
    <n v="563000"/>
    <n v="6956000"/>
    <n v="2702400"/>
    <n v="8.8000000000000007"/>
    <n v="168900"/>
    <n v="50"/>
    <n v="691"/>
    <x v="1"/>
    <x v="1"/>
    <x v="1"/>
    <n v="30"/>
    <n v="25274.3"/>
  </r>
  <r>
    <x v="355"/>
    <s v="Ananya Singh"/>
    <n v="26"/>
    <x v="1"/>
    <x v="3"/>
    <x v="1"/>
    <x v="1"/>
    <d v="2025-03-22T00:00:00"/>
    <d v="2025-04-22T00:00:00"/>
    <n v="3756000"/>
    <n v="313000"/>
    <n v="3956000"/>
    <n v="1502400"/>
    <n v="5.24"/>
    <n v="93900"/>
    <n v="47"/>
    <n v="777"/>
    <x v="1"/>
    <x v="1"/>
    <x v="1"/>
    <n v="30"/>
    <n v="11745.67"/>
  </r>
  <r>
    <x v="356"/>
    <s v="Priya Nair"/>
    <n v="45"/>
    <x v="0"/>
    <x v="5"/>
    <x v="1"/>
    <x v="1"/>
    <d v="2025-03-23T00:00:00"/>
    <d v="2025-04-23T00:00:00"/>
    <n v="5172000"/>
    <n v="431000"/>
    <n v="5372000"/>
    <n v="2068800"/>
    <n v="8.0399999999999991"/>
    <n v="129300"/>
    <n v="49"/>
    <n v="684"/>
    <x v="1"/>
    <x v="1"/>
    <x v="1"/>
    <n v="30"/>
    <n v="12113.02"/>
  </r>
  <r>
    <x v="357"/>
    <s v="Aryan Sharma"/>
    <n v="50"/>
    <x v="0"/>
    <x v="3"/>
    <x v="2"/>
    <x v="1"/>
    <d v="2025-03-24T00:00:00"/>
    <d v="2025-04-24T00:00:00"/>
    <n v="1836000"/>
    <n v="153000"/>
    <n v="2036000"/>
    <n v="734400"/>
    <n v="7.56"/>
    <n v="45900"/>
    <n v="53"/>
    <n v="650"/>
    <x v="1"/>
    <x v="1"/>
    <x v="1"/>
    <n v="30"/>
    <n v="31705.67"/>
  </r>
  <r>
    <x v="358"/>
    <s v="Priya Nair"/>
    <n v="37"/>
    <x v="0"/>
    <x v="2"/>
    <x v="4"/>
    <x v="1"/>
    <d v="2025-03-25T00:00:00"/>
    <d v="2025-04-25T00:00:00"/>
    <n v="4596000"/>
    <n v="383000"/>
    <n v="4796000"/>
    <n v="1838400"/>
    <n v="7.79"/>
    <n v="114900"/>
    <n v="49"/>
    <n v="740"/>
    <x v="1"/>
    <x v="1"/>
    <x v="1"/>
    <n v="30"/>
    <n v="29185.11"/>
  </r>
  <r>
    <x v="359"/>
    <s v="Sneha Yadav"/>
    <n v="47"/>
    <x v="0"/>
    <x v="4"/>
    <x v="0"/>
    <x v="1"/>
    <d v="2025-03-26T00:00:00"/>
    <d v="2025-04-26T00:00:00"/>
    <n v="6456000"/>
    <n v="538000"/>
    <n v="6656000"/>
    <n v="2582400"/>
    <n v="8.0299999999999994"/>
    <n v="161400"/>
    <n v="49"/>
    <n v="677"/>
    <x v="1"/>
    <x v="1"/>
    <x v="1"/>
    <n v="30"/>
    <n v="9374.8799999999992"/>
  </r>
  <r>
    <x v="360"/>
    <s v="Aryan Sharma"/>
    <n v="29"/>
    <x v="0"/>
    <x v="1"/>
    <x v="3"/>
    <x v="1"/>
    <d v="2025-03-27T00:00:00"/>
    <d v="2025-04-27T00:00:00"/>
    <n v="4608000"/>
    <n v="384000"/>
    <n v="4808000"/>
    <n v="1843200"/>
    <n v="7.76"/>
    <n v="115200"/>
    <n v="49"/>
    <n v="606"/>
    <x v="0"/>
    <x v="0"/>
    <x v="0"/>
    <n v="30"/>
    <n v="26079.87"/>
  </r>
  <r>
    <x v="361"/>
    <s v="Karan Verma"/>
    <n v="55"/>
    <x v="1"/>
    <x v="4"/>
    <x v="0"/>
    <x v="1"/>
    <d v="2025-03-28T00:00:00"/>
    <d v="2025-04-28T00:00:00"/>
    <n v="4032000"/>
    <n v="336000"/>
    <n v="4232000"/>
    <n v="1612800"/>
    <n v="9.2899999999999991"/>
    <n v="100800"/>
    <n v="51"/>
    <n v="716"/>
    <x v="0"/>
    <x v="0"/>
    <x v="0"/>
    <n v="30"/>
    <n v="22958.47"/>
  </r>
  <r>
    <x v="362"/>
    <s v="Karan Nair"/>
    <n v="48"/>
    <x v="0"/>
    <x v="1"/>
    <x v="3"/>
    <x v="1"/>
    <d v="2025-03-29T00:00:00"/>
    <d v="2025-04-29T00:00:00"/>
    <n v="4728000"/>
    <n v="394000"/>
    <n v="4928000"/>
    <n v="1891200"/>
    <n v="9.3800000000000008"/>
    <n v="118200"/>
    <n v="51"/>
    <n v="632"/>
    <x v="1"/>
    <x v="1"/>
    <x v="1"/>
    <n v="30"/>
    <n v="36800.370000000003"/>
  </r>
  <r>
    <x v="363"/>
    <s v="Kavya Sharma"/>
    <n v="27"/>
    <x v="0"/>
    <x v="5"/>
    <x v="0"/>
    <x v="1"/>
    <d v="2025-03-30T00:00:00"/>
    <d v="2025-04-30T00:00:00"/>
    <n v="624000"/>
    <n v="52000"/>
    <n v="824000"/>
    <n v="249600"/>
    <n v="8.64"/>
    <n v="15600"/>
    <n v="67"/>
    <n v="798"/>
    <x v="1"/>
    <x v="1"/>
    <x v="1"/>
    <n v="30"/>
    <n v="14151.06"/>
  </r>
  <r>
    <x v="364"/>
    <s v="Ishaan Verma"/>
    <n v="30"/>
    <x v="0"/>
    <x v="4"/>
    <x v="4"/>
    <x v="1"/>
    <d v="2025-03-31T00:00:00"/>
    <d v="2025-04-30T00:00:00"/>
    <n v="5388000"/>
    <n v="449000"/>
    <n v="5588000"/>
    <n v="2155200"/>
    <n v="7.1"/>
    <n v="134700"/>
    <n v="48"/>
    <n v="663"/>
    <x v="0"/>
    <x v="0"/>
    <x v="0"/>
    <n v="30"/>
    <n v="9539.15"/>
  </r>
  <r>
    <x v="365"/>
    <s v="Ananya Gupta"/>
    <n v="54"/>
    <x v="1"/>
    <x v="0"/>
    <x v="1"/>
    <x v="1"/>
    <d v="2025-04-01T00:00:00"/>
    <d v="2025-05-01T00:00:00"/>
    <n v="5424000"/>
    <n v="452000"/>
    <n v="5624000"/>
    <n v="2034000"/>
    <n v="5.21"/>
    <n v="135600"/>
    <n v="46"/>
    <n v="766"/>
    <x v="1"/>
    <x v="1"/>
    <x v="1"/>
    <n v="30"/>
    <n v="22621.599999999999"/>
  </r>
  <r>
    <x v="366"/>
    <s v="Karan Verma"/>
    <n v="55"/>
    <x v="1"/>
    <x v="2"/>
    <x v="0"/>
    <x v="1"/>
    <d v="2025-04-02T00:00:00"/>
    <d v="2025-05-02T00:00:00"/>
    <n v="6576000"/>
    <n v="548000"/>
    <n v="6776000"/>
    <n v="2466000"/>
    <n v="8.02"/>
    <n v="164400"/>
    <n v="49"/>
    <n v="715"/>
    <x v="0"/>
    <x v="0"/>
    <x v="0"/>
    <n v="30"/>
    <n v="25943.18"/>
  </r>
  <r>
    <x v="367"/>
    <s v="Sneha Joshi"/>
    <n v="35"/>
    <x v="0"/>
    <x v="4"/>
    <x v="0"/>
    <x v="1"/>
    <d v="2025-04-03T00:00:00"/>
    <d v="2025-05-03T00:00:00"/>
    <n v="1104000"/>
    <n v="92000"/>
    <n v="1304000"/>
    <n v="414000"/>
    <n v="9.19"/>
    <n v="27600"/>
    <n v="59"/>
    <n v="788"/>
    <x v="1"/>
    <x v="1"/>
    <x v="1"/>
    <n v="30"/>
    <n v="37581.550000000003"/>
  </r>
  <r>
    <x v="368"/>
    <s v="Arjun Yadav"/>
    <n v="22"/>
    <x v="1"/>
    <x v="1"/>
    <x v="1"/>
    <x v="1"/>
    <d v="2025-04-04T00:00:00"/>
    <d v="2025-05-04T00:00:00"/>
    <n v="6432000"/>
    <n v="536000"/>
    <n v="6632000"/>
    <n v="2412000"/>
    <n v="9.15"/>
    <n v="160800"/>
    <n v="50"/>
    <n v="714"/>
    <x v="0"/>
    <x v="0"/>
    <x v="0"/>
    <n v="30"/>
    <n v="23291.31"/>
  </r>
  <r>
    <x v="369"/>
    <s v="Aryan Mehta"/>
    <n v="60"/>
    <x v="0"/>
    <x v="4"/>
    <x v="0"/>
    <x v="1"/>
    <d v="2025-04-05T00:00:00"/>
    <d v="2025-05-05T00:00:00"/>
    <n v="6840000"/>
    <n v="570000"/>
    <n v="7040000"/>
    <n v="2565000"/>
    <n v="6.94"/>
    <n v="171000"/>
    <n v="48"/>
    <n v="850"/>
    <x v="1"/>
    <x v="1"/>
    <x v="1"/>
    <n v="30"/>
    <n v="26567.279999999999"/>
  </r>
  <r>
    <x v="370"/>
    <s v="Meera Singh"/>
    <n v="53"/>
    <x v="1"/>
    <x v="2"/>
    <x v="1"/>
    <x v="1"/>
    <d v="2025-04-06T00:00:00"/>
    <d v="2025-05-06T00:00:00"/>
    <n v="1032000"/>
    <n v="86000"/>
    <n v="1232000"/>
    <n v="387000"/>
    <n v="8.18"/>
    <n v="25800"/>
    <n v="58"/>
    <n v="611"/>
    <x v="0"/>
    <x v="0"/>
    <x v="0"/>
    <n v="30"/>
    <n v="24609.74"/>
  </r>
  <r>
    <x v="371"/>
    <s v="Diya Joshi"/>
    <n v="53"/>
    <x v="0"/>
    <x v="1"/>
    <x v="2"/>
    <x v="1"/>
    <d v="2025-04-07T00:00:00"/>
    <d v="2025-05-07T00:00:00"/>
    <n v="3804000"/>
    <n v="317000"/>
    <n v="4004000"/>
    <n v="1426500"/>
    <n v="6.86"/>
    <n v="95100"/>
    <n v="49"/>
    <n v="728"/>
    <x v="1"/>
    <x v="1"/>
    <x v="1"/>
    <n v="30"/>
    <n v="22597.32"/>
  </r>
  <r>
    <x v="372"/>
    <s v="Ananya Sharma"/>
    <n v="41"/>
    <x v="1"/>
    <x v="3"/>
    <x v="0"/>
    <x v="1"/>
    <d v="2025-04-08T00:00:00"/>
    <d v="2025-05-08T00:00:00"/>
    <n v="1260000"/>
    <n v="105000"/>
    <n v="1460000"/>
    <n v="472500"/>
    <n v="6.25"/>
    <n v="31500"/>
    <n v="54"/>
    <n v="799"/>
    <x v="1"/>
    <x v="1"/>
    <x v="1"/>
    <n v="30"/>
    <n v="25556.26"/>
  </r>
  <r>
    <x v="373"/>
    <s v="Meera Nair"/>
    <n v="50"/>
    <x v="0"/>
    <x v="3"/>
    <x v="4"/>
    <x v="1"/>
    <d v="2025-04-09T00:00:00"/>
    <d v="2025-05-09T00:00:00"/>
    <n v="5484000"/>
    <n v="457000"/>
    <n v="5684000"/>
    <n v="2056500"/>
    <n v="6.28"/>
    <n v="137100"/>
    <n v="47"/>
    <n v="775"/>
    <x v="1"/>
    <x v="1"/>
    <x v="1"/>
    <n v="30"/>
    <n v="20613.36"/>
  </r>
  <r>
    <x v="374"/>
    <s v="Diya Mehta"/>
    <n v="43"/>
    <x v="1"/>
    <x v="3"/>
    <x v="2"/>
    <x v="1"/>
    <d v="2025-04-10T00:00:00"/>
    <d v="2025-05-10T00:00:00"/>
    <n v="2544000"/>
    <n v="212000"/>
    <n v="2744000"/>
    <n v="954000"/>
    <n v="5.18"/>
    <n v="63600"/>
    <n v="48"/>
    <n v="716"/>
    <x v="0"/>
    <x v="0"/>
    <x v="0"/>
    <n v="30"/>
    <n v="15143.95"/>
  </r>
  <r>
    <x v="375"/>
    <s v="Sneha Verma"/>
    <n v="34"/>
    <x v="1"/>
    <x v="3"/>
    <x v="1"/>
    <x v="1"/>
    <d v="2025-04-11T00:00:00"/>
    <d v="2025-05-11T00:00:00"/>
    <n v="5976000"/>
    <n v="498000"/>
    <n v="6176000"/>
    <n v="2241000"/>
    <n v="5.84"/>
    <n v="149400"/>
    <n v="47"/>
    <n v="701"/>
    <x v="1"/>
    <x v="1"/>
    <x v="1"/>
    <n v="30"/>
    <n v="11372.06"/>
  </r>
  <r>
    <x v="376"/>
    <s v="Neha Patel"/>
    <n v="45"/>
    <x v="0"/>
    <x v="4"/>
    <x v="0"/>
    <x v="1"/>
    <d v="2025-04-12T00:00:00"/>
    <d v="2025-05-12T00:00:00"/>
    <n v="1596000"/>
    <n v="133000"/>
    <n v="1796000"/>
    <n v="598500"/>
    <n v="7.07"/>
    <n v="39900"/>
    <n v="53"/>
    <n v="704"/>
    <x v="0"/>
    <x v="0"/>
    <x v="0"/>
    <n v="30"/>
    <n v="20284.75"/>
  </r>
  <r>
    <x v="377"/>
    <s v="Diya Singh"/>
    <n v="28"/>
    <x v="0"/>
    <x v="5"/>
    <x v="4"/>
    <x v="1"/>
    <d v="2025-04-13T00:00:00"/>
    <d v="2025-05-13T00:00:00"/>
    <n v="4296000"/>
    <n v="358000"/>
    <n v="4496000"/>
    <n v="1611000"/>
    <n v="9.2100000000000009"/>
    <n v="107400"/>
    <n v="51"/>
    <n v="761"/>
    <x v="1"/>
    <x v="1"/>
    <x v="1"/>
    <n v="30"/>
    <n v="29351.53"/>
  </r>
  <r>
    <x v="378"/>
    <s v="Rahul Singh"/>
    <n v="36"/>
    <x v="0"/>
    <x v="1"/>
    <x v="2"/>
    <x v="1"/>
    <d v="2025-04-14T00:00:00"/>
    <d v="2025-05-14T00:00:00"/>
    <n v="7164000"/>
    <n v="597000"/>
    <n v="7364000"/>
    <n v="2686500"/>
    <n v="9.75"/>
    <n v="179100"/>
    <n v="51"/>
    <n v="736"/>
    <x v="1"/>
    <x v="1"/>
    <x v="1"/>
    <n v="30"/>
    <n v="26331.98"/>
  </r>
  <r>
    <x v="379"/>
    <s v="Aarav Verma"/>
    <n v="39"/>
    <x v="1"/>
    <x v="1"/>
    <x v="3"/>
    <x v="1"/>
    <d v="2025-04-15T00:00:00"/>
    <d v="2025-05-15T00:00:00"/>
    <n v="8028000"/>
    <n v="669000"/>
    <n v="8228000"/>
    <n v="3010500"/>
    <n v="6.77"/>
    <n v="200700"/>
    <n v="47"/>
    <n v="745"/>
    <x v="0"/>
    <x v="0"/>
    <x v="0"/>
    <n v="30"/>
    <n v="20523.07"/>
  </r>
  <r>
    <x v="380"/>
    <s v="Pooja Joshi"/>
    <n v="56"/>
    <x v="1"/>
    <x v="4"/>
    <x v="0"/>
    <x v="1"/>
    <d v="2025-04-16T00:00:00"/>
    <d v="2025-05-16T00:00:00"/>
    <n v="8544000"/>
    <n v="712000"/>
    <n v="8744000"/>
    <n v="3204000"/>
    <n v="5.13"/>
    <n v="213600"/>
    <n v="46"/>
    <n v="664"/>
    <x v="0"/>
    <x v="0"/>
    <x v="0"/>
    <n v="30"/>
    <n v="11250.88"/>
  </r>
  <r>
    <x v="381"/>
    <s v="Arjun Singh"/>
    <n v="49"/>
    <x v="0"/>
    <x v="5"/>
    <x v="1"/>
    <x v="1"/>
    <d v="2025-04-17T00:00:00"/>
    <d v="2025-05-17T00:00:00"/>
    <n v="6084000"/>
    <n v="507000"/>
    <n v="6284000"/>
    <n v="2281500"/>
    <n v="6.91"/>
    <n v="152100"/>
    <n v="48"/>
    <n v="651"/>
    <x v="1"/>
    <x v="1"/>
    <x v="1"/>
    <n v="30"/>
    <n v="18667.66"/>
  </r>
  <r>
    <x v="382"/>
    <s v="Kavya Kumar"/>
    <n v="32"/>
    <x v="1"/>
    <x v="5"/>
    <x v="3"/>
    <x v="1"/>
    <d v="2025-04-18T00:00:00"/>
    <d v="2025-05-18T00:00:00"/>
    <n v="7284000"/>
    <n v="607000"/>
    <n v="7484000"/>
    <n v="2731500"/>
    <n v="9.57"/>
    <n v="182100"/>
    <n v="50"/>
    <n v="601"/>
    <x v="1"/>
    <x v="1"/>
    <x v="1"/>
    <n v="30"/>
    <n v="12371.45"/>
  </r>
  <r>
    <x v="383"/>
    <s v="Diya Singh"/>
    <n v="51"/>
    <x v="1"/>
    <x v="2"/>
    <x v="1"/>
    <x v="1"/>
    <d v="2025-04-19T00:00:00"/>
    <d v="2025-05-19T00:00:00"/>
    <n v="5280000"/>
    <n v="440000"/>
    <n v="5480000"/>
    <n v="1980000"/>
    <n v="7.16"/>
    <n v="132000"/>
    <n v="48"/>
    <n v="611"/>
    <x v="1"/>
    <x v="1"/>
    <x v="1"/>
    <n v="30"/>
    <n v="9543.19"/>
  </r>
  <r>
    <x v="384"/>
    <s v="Sneha Patel"/>
    <n v="23"/>
    <x v="0"/>
    <x v="0"/>
    <x v="1"/>
    <x v="1"/>
    <d v="2025-04-20T00:00:00"/>
    <d v="2025-05-20T00:00:00"/>
    <n v="7704000"/>
    <n v="642000"/>
    <n v="7904000"/>
    <n v="2889000"/>
    <n v="6.47"/>
    <n v="192600"/>
    <n v="47"/>
    <n v="726"/>
    <x v="0"/>
    <x v="0"/>
    <x v="0"/>
    <n v="30"/>
    <n v="19766.29"/>
  </r>
  <r>
    <x v="385"/>
    <s v="Meera Kumar"/>
    <n v="32"/>
    <x v="0"/>
    <x v="2"/>
    <x v="3"/>
    <x v="1"/>
    <d v="2025-04-21T00:00:00"/>
    <d v="2025-05-21T00:00:00"/>
    <n v="5556000"/>
    <n v="463000"/>
    <n v="5756000"/>
    <n v="2083500"/>
    <n v="8.36"/>
    <n v="138900"/>
    <n v="50"/>
    <n v="672"/>
    <x v="0"/>
    <x v="0"/>
    <x v="0"/>
    <n v="30"/>
    <n v="17397.009999999998"/>
  </r>
  <r>
    <x v="386"/>
    <s v="Meera Patel"/>
    <n v="59"/>
    <x v="1"/>
    <x v="1"/>
    <x v="3"/>
    <x v="1"/>
    <d v="2025-04-22T00:00:00"/>
    <d v="2025-05-22T00:00:00"/>
    <n v="2076000"/>
    <n v="173000"/>
    <n v="2276000"/>
    <n v="778500"/>
    <n v="7.86"/>
    <n v="51900"/>
    <n v="52"/>
    <n v="789"/>
    <x v="1"/>
    <x v="1"/>
    <x v="1"/>
    <n v="30"/>
    <n v="14549.13"/>
  </r>
  <r>
    <x v="387"/>
    <s v="Diya Patel"/>
    <n v="41"/>
    <x v="0"/>
    <x v="2"/>
    <x v="1"/>
    <x v="1"/>
    <d v="2025-04-23T00:00:00"/>
    <d v="2025-05-23T00:00:00"/>
    <n v="3084000"/>
    <n v="257000"/>
    <n v="3284000"/>
    <n v="1156500"/>
    <n v="6.07"/>
    <n v="77100"/>
    <n v="49"/>
    <n v="760"/>
    <x v="1"/>
    <x v="1"/>
    <x v="1"/>
    <n v="30"/>
    <n v="12383.59"/>
  </r>
  <r>
    <x v="388"/>
    <s v="Arjun Yadav"/>
    <n v="43"/>
    <x v="0"/>
    <x v="1"/>
    <x v="4"/>
    <x v="1"/>
    <d v="2025-04-24T00:00:00"/>
    <d v="2025-05-24T00:00:00"/>
    <n v="8484000"/>
    <n v="707000"/>
    <n v="8684000"/>
    <n v="3181500"/>
    <n v="8.51"/>
    <n v="212100"/>
    <n v="49"/>
    <n v="805"/>
    <x v="0"/>
    <x v="0"/>
    <x v="0"/>
    <n v="30"/>
    <n v="33337.480000000003"/>
  </r>
  <r>
    <x v="389"/>
    <s v="Ishaan Kumar"/>
    <n v="30"/>
    <x v="0"/>
    <x v="4"/>
    <x v="2"/>
    <x v="1"/>
    <d v="2025-04-25T00:00:00"/>
    <d v="2025-05-25T00:00:00"/>
    <n v="8184000"/>
    <n v="682000"/>
    <n v="8384000"/>
    <n v="3069000"/>
    <n v="5.94"/>
    <n v="204600"/>
    <n v="46"/>
    <n v="690"/>
    <x v="0"/>
    <x v="0"/>
    <x v="0"/>
    <n v="30"/>
    <n v="10806.13"/>
  </r>
  <r>
    <x v="390"/>
    <s v="Meera Sharma"/>
    <n v="36"/>
    <x v="0"/>
    <x v="2"/>
    <x v="2"/>
    <x v="1"/>
    <d v="2025-04-26T00:00:00"/>
    <d v="2025-05-26T00:00:00"/>
    <n v="2508000"/>
    <n v="209000"/>
    <n v="2708000"/>
    <n v="940500"/>
    <n v="6.05"/>
    <n v="62700"/>
    <n v="49"/>
    <n v="729"/>
    <x v="1"/>
    <x v="1"/>
    <x v="1"/>
    <n v="30"/>
    <n v="24467.23"/>
  </r>
  <r>
    <x v="391"/>
    <s v="Ritika Singh"/>
    <n v="24"/>
    <x v="1"/>
    <x v="1"/>
    <x v="2"/>
    <x v="1"/>
    <d v="2025-04-27T00:00:00"/>
    <d v="2025-05-27T00:00:00"/>
    <n v="2280000"/>
    <n v="190000"/>
    <n v="2480000"/>
    <n v="855000"/>
    <n v="7.36"/>
    <n v="57000"/>
    <n v="51"/>
    <n v="663"/>
    <x v="0"/>
    <x v="0"/>
    <x v="0"/>
    <n v="30"/>
    <n v="22666.95"/>
  </r>
  <r>
    <x v="392"/>
    <s v="Kavya Yadav"/>
    <n v="54"/>
    <x v="1"/>
    <x v="4"/>
    <x v="3"/>
    <x v="1"/>
    <d v="2025-04-28T00:00:00"/>
    <d v="2025-05-28T00:00:00"/>
    <n v="7680000"/>
    <n v="640000"/>
    <n v="7880000"/>
    <n v="2880000"/>
    <n v="6.23"/>
    <n v="192000"/>
    <n v="47"/>
    <n v="734"/>
    <x v="1"/>
    <x v="1"/>
    <x v="1"/>
    <n v="30"/>
    <n v="6205.37"/>
  </r>
  <r>
    <x v="393"/>
    <s v="Rahul Mehta"/>
    <n v="46"/>
    <x v="1"/>
    <x v="2"/>
    <x v="4"/>
    <x v="1"/>
    <d v="2025-04-29T00:00:00"/>
    <d v="2025-05-29T00:00:00"/>
    <n v="3024000"/>
    <n v="252000"/>
    <n v="3224000"/>
    <n v="1134000"/>
    <n v="9.9"/>
    <n v="75600"/>
    <n v="53"/>
    <n v="791"/>
    <x v="1"/>
    <x v="1"/>
    <x v="1"/>
    <n v="30"/>
    <n v="33194.36"/>
  </r>
  <r>
    <x v="394"/>
    <s v="Karan Kumar"/>
    <n v="23"/>
    <x v="1"/>
    <x v="4"/>
    <x v="3"/>
    <x v="1"/>
    <d v="2025-04-30T00:00:00"/>
    <d v="2025-05-30T00:00:00"/>
    <n v="936000"/>
    <n v="78000"/>
    <n v="1136000"/>
    <n v="351000"/>
    <n v="5.52"/>
    <n v="23400"/>
    <n v="56"/>
    <n v="794"/>
    <x v="1"/>
    <x v="1"/>
    <x v="1"/>
    <n v="30"/>
    <n v="21108.36"/>
  </r>
  <r>
    <x v="395"/>
    <s v="Ritika Singh"/>
    <n v="59"/>
    <x v="0"/>
    <x v="1"/>
    <x v="4"/>
    <x v="1"/>
    <d v="2025-05-01T00:00:00"/>
    <d v="2025-06-01T00:00:00"/>
    <n v="2712000"/>
    <n v="226000"/>
    <n v="2912000"/>
    <n v="949200"/>
    <n v="5.94"/>
    <n v="67800"/>
    <n v="49"/>
    <n v="698"/>
    <x v="0"/>
    <x v="0"/>
    <x v="0"/>
    <n v="30"/>
    <n v="16196.97"/>
  </r>
  <r>
    <x v="396"/>
    <s v="Karan Joshi"/>
    <n v="57"/>
    <x v="1"/>
    <x v="3"/>
    <x v="2"/>
    <x v="1"/>
    <d v="2025-05-02T00:00:00"/>
    <d v="2025-06-02T00:00:00"/>
    <n v="8040000"/>
    <n v="670000"/>
    <n v="8240000"/>
    <n v="2814000"/>
    <n v="6.34"/>
    <n v="201000"/>
    <n v="47"/>
    <n v="637"/>
    <x v="0"/>
    <x v="0"/>
    <x v="0"/>
    <n v="30"/>
    <n v="23673.59"/>
  </r>
  <r>
    <x v="397"/>
    <s v="Sanya Joshi"/>
    <n v="32"/>
    <x v="1"/>
    <x v="2"/>
    <x v="0"/>
    <x v="1"/>
    <d v="2025-05-03T00:00:00"/>
    <d v="2025-06-03T00:00:00"/>
    <n v="4944000"/>
    <n v="412000"/>
    <n v="5144000"/>
    <n v="1730400"/>
    <n v="6.37"/>
    <n v="123600"/>
    <n v="48"/>
    <n v="741"/>
    <x v="0"/>
    <x v="0"/>
    <x v="0"/>
    <n v="30"/>
    <n v="8252.18"/>
  </r>
  <r>
    <x v="398"/>
    <s v="Rahul Yadav"/>
    <n v="45"/>
    <x v="1"/>
    <x v="3"/>
    <x v="1"/>
    <x v="1"/>
    <d v="2025-05-04T00:00:00"/>
    <d v="2025-06-04T00:00:00"/>
    <n v="4644000"/>
    <n v="387000"/>
    <n v="4844000"/>
    <n v="1625400"/>
    <n v="7.42"/>
    <n v="116100"/>
    <n v="49"/>
    <n v="792"/>
    <x v="1"/>
    <x v="1"/>
    <x v="1"/>
    <n v="30"/>
    <n v="18722.03"/>
  </r>
  <r>
    <x v="399"/>
    <s v="Neha Patel"/>
    <n v="27"/>
    <x v="1"/>
    <x v="4"/>
    <x v="2"/>
    <x v="1"/>
    <d v="2025-05-05T00:00:00"/>
    <d v="2025-06-05T00:00:00"/>
    <n v="6732000"/>
    <n v="561000"/>
    <n v="6932000"/>
    <n v="2356200"/>
    <n v="7.04"/>
    <n v="168300"/>
    <n v="48"/>
    <n v="809"/>
    <x v="1"/>
    <x v="1"/>
    <x v="1"/>
    <n v="30"/>
    <n v="21425.49"/>
  </r>
  <r>
    <x v="400"/>
    <s v="Aditya Patel"/>
    <n v="31"/>
    <x v="1"/>
    <x v="3"/>
    <x v="1"/>
    <x v="1"/>
    <d v="2025-05-06T00:00:00"/>
    <d v="2025-06-06T00:00:00"/>
    <n v="7512000"/>
    <n v="626000"/>
    <n v="7712000"/>
    <n v="2629200"/>
    <n v="9.36"/>
    <n v="187800"/>
    <n v="50"/>
    <n v="700"/>
    <x v="1"/>
    <x v="1"/>
    <x v="1"/>
    <n v="30"/>
    <n v="29684.75"/>
  </r>
  <r>
    <x v="401"/>
    <s v="Aryan Mehta"/>
    <n v="31"/>
    <x v="0"/>
    <x v="2"/>
    <x v="0"/>
    <x v="1"/>
    <d v="2025-05-07T00:00:00"/>
    <d v="2025-06-07T00:00:00"/>
    <n v="2352000"/>
    <n v="196000"/>
    <n v="2552000"/>
    <n v="823200"/>
    <n v="7.32"/>
    <n v="58800"/>
    <n v="51"/>
    <n v="782"/>
    <x v="1"/>
    <x v="1"/>
    <x v="1"/>
    <n v="30"/>
    <n v="23208.02"/>
  </r>
  <r>
    <x v="402"/>
    <s v="Aryan Joshi"/>
    <n v="51"/>
    <x v="1"/>
    <x v="0"/>
    <x v="4"/>
    <x v="1"/>
    <d v="2025-05-08T00:00:00"/>
    <d v="2025-06-08T00:00:00"/>
    <n v="7860000"/>
    <n v="655000"/>
    <n v="8060000"/>
    <n v="2751000"/>
    <n v="5.21"/>
    <n v="196500"/>
    <n v="46"/>
    <n v="717"/>
    <x v="1"/>
    <x v="1"/>
    <x v="1"/>
    <n v="30"/>
    <n v="16848.84"/>
  </r>
  <r>
    <x v="403"/>
    <s v="Sneha Nair"/>
    <n v="27"/>
    <x v="0"/>
    <x v="3"/>
    <x v="0"/>
    <x v="1"/>
    <d v="2025-05-09T00:00:00"/>
    <d v="2025-06-09T00:00:00"/>
    <n v="4704000"/>
    <n v="392000"/>
    <n v="4904000"/>
    <n v="1646400"/>
    <n v="8.3699999999999992"/>
    <n v="117600"/>
    <n v="50"/>
    <n v="815"/>
    <x v="1"/>
    <x v="1"/>
    <x v="1"/>
    <n v="30"/>
    <n v="31600.38"/>
  </r>
  <r>
    <x v="404"/>
    <s v="Arjun Verma"/>
    <n v="29"/>
    <x v="0"/>
    <x v="2"/>
    <x v="1"/>
    <x v="1"/>
    <d v="2025-05-10T00:00:00"/>
    <d v="2025-06-10T00:00:00"/>
    <n v="2172000"/>
    <n v="181000"/>
    <n v="2372000"/>
    <n v="760200"/>
    <n v="5.28"/>
    <n v="54300"/>
    <n v="49"/>
    <n v="620"/>
    <x v="1"/>
    <x v="1"/>
    <x v="1"/>
    <n v="30"/>
    <n v="20708.16"/>
  </r>
  <r>
    <x v="405"/>
    <s v="Vivaan Singh"/>
    <n v="41"/>
    <x v="1"/>
    <x v="0"/>
    <x v="2"/>
    <x v="1"/>
    <d v="2025-05-11T00:00:00"/>
    <d v="2025-06-11T00:00:00"/>
    <n v="7212000"/>
    <n v="601000"/>
    <n v="7412000"/>
    <n v="2524200"/>
    <n v="8.81"/>
    <n v="180300"/>
    <n v="50"/>
    <n v="805"/>
    <x v="1"/>
    <x v="1"/>
    <x v="1"/>
    <n v="30"/>
    <n v="28808.47"/>
  </r>
  <r>
    <x v="406"/>
    <s v="Diya Mehta"/>
    <n v="24"/>
    <x v="0"/>
    <x v="3"/>
    <x v="0"/>
    <x v="1"/>
    <d v="2025-05-12T00:00:00"/>
    <d v="2025-06-12T00:00:00"/>
    <n v="5880000"/>
    <n v="490000"/>
    <n v="6080000"/>
    <n v="2058000"/>
    <n v="5.35"/>
    <n v="147000"/>
    <n v="46"/>
    <n v="830"/>
    <x v="1"/>
    <x v="1"/>
    <x v="1"/>
    <n v="30"/>
    <n v="5679.37"/>
  </r>
  <r>
    <x v="407"/>
    <s v="Sanya Yadav"/>
    <n v="58"/>
    <x v="0"/>
    <x v="4"/>
    <x v="3"/>
    <x v="1"/>
    <d v="2025-05-13T00:00:00"/>
    <d v="2025-06-13T00:00:00"/>
    <n v="7308000"/>
    <n v="609000"/>
    <n v="7508000"/>
    <n v="2557800"/>
    <n v="6.29"/>
    <n v="182700"/>
    <n v="47"/>
    <n v="703"/>
    <x v="1"/>
    <x v="1"/>
    <x v="1"/>
    <n v="30"/>
    <n v="8343.5499999999993"/>
  </r>
  <r>
    <x v="408"/>
    <s v="Neha Kumar"/>
    <n v="44"/>
    <x v="1"/>
    <x v="5"/>
    <x v="3"/>
    <x v="1"/>
    <d v="2025-05-14T00:00:00"/>
    <d v="2025-06-14T00:00:00"/>
    <n v="7836000"/>
    <n v="653000"/>
    <n v="8036000"/>
    <n v="2742600"/>
    <n v="8.67"/>
    <n v="195900"/>
    <n v="49"/>
    <n v="638"/>
    <x v="1"/>
    <x v="1"/>
    <x v="1"/>
    <n v="30"/>
    <n v="9004.25"/>
  </r>
  <r>
    <x v="409"/>
    <s v="Aarav Nair"/>
    <n v="30"/>
    <x v="0"/>
    <x v="0"/>
    <x v="1"/>
    <x v="1"/>
    <d v="2025-05-15T00:00:00"/>
    <d v="2025-06-15T00:00:00"/>
    <n v="924000"/>
    <n v="77000"/>
    <n v="1124000"/>
    <n v="323400"/>
    <n v="5.0599999999999996"/>
    <n v="23100"/>
    <n v="55"/>
    <n v="830"/>
    <x v="0"/>
    <x v="0"/>
    <x v="0"/>
    <n v="30"/>
    <n v="17274.47"/>
  </r>
  <r>
    <x v="410"/>
    <s v="Aditya Patel"/>
    <n v="24"/>
    <x v="0"/>
    <x v="5"/>
    <x v="4"/>
    <x v="1"/>
    <d v="2025-05-16T00:00:00"/>
    <d v="2025-06-16T00:00:00"/>
    <n v="1056000"/>
    <n v="88000"/>
    <n v="1256000"/>
    <n v="369600"/>
    <n v="5.63"/>
    <n v="26400"/>
    <n v="54"/>
    <n v="660"/>
    <x v="0"/>
    <x v="0"/>
    <x v="0"/>
    <n v="30"/>
    <n v="23385.86"/>
  </r>
  <r>
    <x v="411"/>
    <s v="Pooja Kumar"/>
    <n v="27"/>
    <x v="1"/>
    <x v="5"/>
    <x v="0"/>
    <x v="1"/>
    <d v="2025-05-17T00:00:00"/>
    <d v="2025-06-17T00:00:00"/>
    <n v="5808000"/>
    <n v="484000"/>
    <n v="6008000"/>
    <n v="2032800"/>
    <n v="9.0399999999999991"/>
    <n v="145200"/>
    <n v="50"/>
    <n v="806"/>
    <x v="1"/>
    <x v="1"/>
    <x v="1"/>
    <n v="30"/>
    <n v="18445.759999999998"/>
  </r>
  <r>
    <x v="412"/>
    <s v="Karan Yadav"/>
    <n v="52"/>
    <x v="0"/>
    <x v="0"/>
    <x v="0"/>
    <x v="1"/>
    <d v="2025-05-18T00:00:00"/>
    <d v="2025-06-18T00:00:00"/>
    <n v="3732000"/>
    <n v="311000"/>
    <n v="3932000"/>
    <n v="1306200"/>
    <n v="7.03"/>
    <n v="93300"/>
    <n v="49"/>
    <n v="770"/>
    <x v="1"/>
    <x v="1"/>
    <x v="1"/>
    <n v="30"/>
    <n v="11063.03"/>
  </r>
  <r>
    <x v="413"/>
    <s v="Aarav Gupta"/>
    <n v="41"/>
    <x v="1"/>
    <x v="0"/>
    <x v="3"/>
    <x v="1"/>
    <d v="2025-05-19T00:00:00"/>
    <d v="2025-06-19T00:00:00"/>
    <n v="876000"/>
    <n v="73000"/>
    <n v="1076000"/>
    <n v="306600"/>
    <n v="7.72"/>
    <n v="21900"/>
    <n v="60"/>
    <n v="824"/>
    <x v="1"/>
    <x v="1"/>
    <x v="1"/>
    <n v="30"/>
    <n v="30109.14"/>
  </r>
  <r>
    <x v="414"/>
    <s v="Diya Singh"/>
    <n v="32"/>
    <x v="1"/>
    <x v="5"/>
    <x v="3"/>
    <x v="1"/>
    <d v="2025-05-20T00:00:00"/>
    <d v="2025-06-20T00:00:00"/>
    <n v="3384000"/>
    <n v="282000"/>
    <n v="3584000"/>
    <n v="1184400"/>
    <n v="7.91"/>
    <n v="84600"/>
    <n v="50"/>
    <n v="753"/>
    <x v="0"/>
    <x v="0"/>
    <x v="0"/>
    <n v="30"/>
    <n v="12084.53"/>
  </r>
  <r>
    <x v="415"/>
    <s v="Aisha Sharma"/>
    <n v="49"/>
    <x v="1"/>
    <x v="5"/>
    <x v="2"/>
    <x v="1"/>
    <d v="2025-05-21T00:00:00"/>
    <d v="2025-06-21T00:00:00"/>
    <n v="3408000"/>
    <n v="284000"/>
    <n v="3608000"/>
    <n v="1192800"/>
    <n v="5.31"/>
    <n v="85200"/>
    <n v="47"/>
    <n v="844"/>
    <x v="1"/>
    <x v="1"/>
    <x v="1"/>
    <n v="30"/>
    <n v="9637.02"/>
  </r>
  <r>
    <x v="416"/>
    <s v="Rohan Singh"/>
    <n v="58"/>
    <x v="0"/>
    <x v="5"/>
    <x v="1"/>
    <x v="1"/>
    <d v="2025-05-22T00:00:00"/>
    <d v="2025-06-22T00:00:00"/>
    <n v="3924000"/>
    <n v="327000"/>
    <n v="4124000"/>
    <n v="1373400"/>
    <n v="5.01"/>
    <n v="98100"/>
    <n v="47"/>
    <n v="728"/>
    <x v="1"/>
    <x v="1"/>
    <x v="1"/>
    <n v="30"/>
    <n v="18504.349999999999"/>
  </r>
  <r>
    <x v="417"/>
    <s v="Neha Nair"/>
    <n v="34"/>
    <x v="1"/>
    <x v="1"/>
    <x v="0"/>
    <x v="1"/>
    <d v="2025-05-23T00:00:00"/>
    <d v="2025-06-23T00:00:00"/>
    <n v="8916000"/>
    <n v="743000"/>
    <n v="9116000"/>
    <n v="3120600"/>
    <n v="7.33"/>
    <n v="222900"/>
    <n v="48"/>
    <n v="743"/>
    <x v="0"/>
    <x v="0"/>
    <x v="0"/>
    <n v="30"/>
    <n v="22867.47"/>
  </r>
  <r>
    <x v="418"/>
    <s v="Diya Gupta"/>
    <n v="34"/>
    <x v="0"/>
    <x v="2"/>
    <x v="2"/>
    <x v="1"/>
    <d v="2025-05-24T00:00:00"/>
    <d v="2025-06-24T00:00:00"/>
    <n v="5844000"/>
    <n v="487000"/>
    <n v="6044000"/>
    <n v="2045400"/>
    <n v="9.33"/>
    <n v="146100"/>
    <n v="51"/>
    <n v="752"/>
    <x v="0"/>
    <x v="0"/>
    <x v="0"/>
    <n v="30"/>
    <n v="19172.12"/>
  </r>
  <r>
    <x v="419"/>
    <s v="Kavya Mehta"/>
    <n v="28"/>
    <x v="0"/>
    <x v="0"/>
    <x v="1"/>
    <x v="1"/>
    <d v="2025-05-25T00:00:00"/>
    <d v="2025-06-25T00:00:00"/>
    <n v="4860000"/>
    <n v="405000"/>
    <n v="5060000"/>
    <n v="1701000"/>
    <n v="9.81"/>
    <n v="121500"/>
    <n v="52"/>
    <n v="840"/>
    <x v="1"/>
    <x v="1"/>
    <x v="1"/>
    <n v="30"/>
    <n v="25845.27"/>
  </r>
  <r>
    <x v="420"/>
    <s v="Aryan Gupta"/>
    <n v="56"/>
    <x v="1"/>
    <x v="2"/>
    <x v="1"/>
    <x v="1"/>
    <d v="2025-05-26T00:00:00"/>
    <d v="2025-06-26T00:00:00"/>
    <n v="4956000"/>
    <n v="413000"/>
    <n v="5156000"/>
    <n v="1734600"/>
    <n v="5.79"/>
    <n v="123900"/>
    <n v="47"/>
    <n v="824"/>
    <x v="0"/>
    <x v="0"/>
    <x v="0"/>
    <n v="30"/>
    <n v="20856.12"/>
  </r>
  <r>
    <x v="421"/>
    <s v="Diya Patel"/>
    <n v="51"/>
    <x v="0"/>
    <x v="0"/>
    <x v="0"/>
    <x v="1"/>
    <d v="2025-05-27T00:00:00"/>
    <d v="2025-06-27T00:00:00"/>
    <n v="6216000"/>
    <n v="518000"/>
    <n v="6416000"/>
    <n v="2175600"/>
    <n v="7.1"/>
    <n v="155400"/>
    <n v="48"/>
    <n v="646"/>
    <x v="1"/>
    <x v="1"/>
    <x v="1"/>
    <n v="30"/>
    <n v="17689.650000000001"/>
  </r>
  <r>
    <x v="422"/>
    <s v="Pooja Sharma"/>
    <n v="39"/>
    <x v="0"/>
    <x v="5"/>
    <x v="2"/>
    <x v="1"/>
    <d v="2025-05-28T00:00:00"/>
    <d v="2025-06-28T00:00:00"/>
    <n v="600000"/>
    <n v="50000"/>
    <n v="800000"/>
    <n v="210000"/>
    <n v="6.4"/>
    <n v="15000"/>
    <n v="63"/>
    <n v="677"/>
    <x v="1"/>
    <x v="1"/>
    <x v="1"/>
    <n v="30"/>
    <n v="24813.03"/>
  </r>
  <r>
    <x v="423"/>
    <s v="Ananya Mehta"/>
    <n v="30"/>
    <x v="0"/>
    <x v="5"/>
    <x v="1"/>
    <x v="1"/>
    <d v="2025-05-29T00:00:00"/>
    <d v="2025-06-29T00:00:00"/>
    <n v="1320000"/>
    <n v="110000"/>
    <n v="1520000"/>
    <n v="462000"/>
    <n v="8.3800000000000008"/>
    <n v="33000"/>
    <n v="56"/>
    <n v="704"/>
    <x v="1"/>
    <x v="1"/>
    <x v="1"/>
    <n v="30"/>
    <n v="11843.54"/>
  </r>
  <r>
    <x v="424"/>
    <s v="Ritika Verma"/>
    <n v="24"/>
    <x v="1"/>
    <x v="5"/>
    <x v="0"/>
    <x v="1"/>
    <d v="2025-05-30T00:00:00"/>
    <d v="2025-06-30T00:00:00"/>
    <n v="6540000"/>
    <n v="545000"/>
    <n v="6740000"/>
    <n v="2289000"/>
    <n v="8.0500000000000007"/>
    <n v="163500"/>
    <n v="49"/>
    <n v="805"/>
    <x v="0"/>
    <x v="0"/>
    <x v="0"/>
    <n v="30"/>
    <n v="21483.87"/>
  </r>
  <r>
    <x v="425"/>
    <s v="Aisha Patel"/>
    <n v="49"/>
    <x v="0"/>
    <x v="4"/>
    <x v="0"/>
    <x v="1"/>
    <d v="2025-05-31T00:00:00"/>
    <d v="2025-06-30T00:00:00"/>
    <n v="708000"/>
    <n v="59000"/>
    <n v="908000"/>
    <n v="247800"/>
    <n v="7.96"/>
    <n v="17700"/>
    <n v="63"/>
    <n v="750"/>
    <x v="0"/>
    <x v="0"/>
    <x v="0"/>
    <n v="30"/>
    <n v="19100.8"/>
  </r>
  <r>
    <x v="426"/>
    <s v="Pooja Patel"/>
    <n v="57"/>
    <x v="1"/>
    <x v="3"/>
    <x v="0"/>
    <x v="1"/>
    <d v="2025-06-01T00:00:00"/>
    <d v="2025-07-01T00:00:00"/>
    <n v="720000"/>
    <n v="60000"/>
    <n v="920000"/>
    <n v="234000"/>
    <n v="6.69"/>
    <n v="18000"/>
    <n v="61"/>
    <n v="834"/>
    <x v="1"/>
    <x v="1"/>
    <x v="1"/>
    <n v="30"/>
    <n v="25559.56"/>
  </r>
  <r>
    <x v="427"/>
    <s v="Rahul Yadav"/>
    <n v="55"/>
    <x v="1"/>
    <x v="5"/>
    <x v="2"/>
    <x v="1"/>
    <d v="2025-06-02T00:00:00"/>
    <d v="2025-07-02T00:00:00"/>
    <n v="2964000"/>
    <n v="247000"/>
    <n v="3164000"/>
    <n v="963300"/>
    <n v="7.29"/>
    <n v="74100"/>
    <n v="50"/>
    <n v="676"/>
    <x v="1"/>
    <x v="1"/>
    <x v="1"/>
    <n v="30"/>
    <n v="11302.75"/>
  </r>
  <r>
    <x v="428"/>
    <s v="Priya Singh"/>
    <n v="48"/>
    <x v="1"/>
    <x v="4"/>
    <x v="3"/>
    <x v="1"/>
    <d v="2025-06-03T00:00:00"/>
    <d v="2025-07-03T00:00:00"/>
    <n v="7548000"/>
    <n v="629000"/>
    <n v="7748000"/>
    <n v="2453100"/>
    <n v="8.0500000000000007"/>
    <n v="188700"/>
    <n v="49"/>
    <n v="798"/>
    <x v="1"/>
    <x v="1"/>
    <x v="1"/>
    <n v="30"/>
    <n v="24511.360000000001"/>
  </r>
  <r>
    <x v="429"/>
    <s v="Priya Yadav"/>
    <n v="27"/>
    <x v="1"/>
    <x v="2"/>
    <x v="0"/>
    <x v="1"/>
    <d v="2025-06-04T00:00:00"/>
    <d v="2025-07-04T00:00:00"/>
    <n v="3588000"/>
    <n v="299000"/>
    <n v="3788000"/>
    <n v="1166100"/>
    <n v="7.98"/>
    <n v="89700"/>
    <n v="50"/>
    <n v="726"/>
    <x v="1"/>
    <x v="1"/>
    <x v="1"/>
    <n v="30"/>
    <n v="31293.23"/>
  </r>
  <r>
    <x v="430"/>
    <s v="Priya Mehta"/>
    <n v="47"/>
    <x v="1"/>
    <x v="1"/>
    <x v="4"/>
    <x v="1"/>
    <d v="2025-06-05T00:00:00"/>
    <d v="2025-07-05T00:00:00"/>
    <n v="8760000"/>
    <n v="730000"/>
    <n v="8960000"/>
    <n v="2847000"/>
    <n v="6.24"/>
    <n v="219000"/>
    <n v="47"/>
    <n v="700"/>
    <x v="1"/>
    <x v="1"/>
    <x v="1"/>
    <n v="30"/>
    <n v="25522.66"/>
  </r>
  <r>
    <x v="431"/>
    <s v="Aditya Kumar"/>
    <n v="31"/>
    <x v="0"/>
    <x v="4"/>
    <x v="4"/>
    <x v="1"/>
    <d v="2025-06-06T00:00:00"/>
    <d v="2025-07-06T00:00:00"/>
    <n v="8640000"/>
    <n v="720000"/>
    <n v="8840000"/>
    <n v="2808000"/>
    <n v="9.81"/>
    <n v="216000"/>
    <n v="51"/>
    <n v="601"/>
    <x v="1"/>
    <x v="1"/>
    <x v="1"/>
    <n v="30"/>
    <n v="19321.560000000001"/>
  </r>
  <r>
    <x v="432"/>
    <s v="Rahul Verma"/>
    <n v="38"/>
    <x v="0"/>
    <x v="1"/>
    <x v="0"/>
    <x v="1"/>
    <d v="2025-06-07T00:00:00"/>
    <d v="2025-07-07T00:00:00"/>
    <n v="3276000"/>
    <n v="273000"/>
    <n v="3476000"/>
    <n v="1064700"/>
    <n v="6.83"/>
    <n v="81900"/>
    <n v="49"/>
    <n v="730"/>
    <x v="0"/>
    <x v="0"/>
    <x v="0"/>
    <n v="30"/>
    <n v="16645.5"/>
  </r>
  <r>
    <x v="433"/>
    <s v="Aisha Gupta"/>
    <n v="22"/>
    <x v="0"/>
    <x v="3"/>
    <x v="1"/>
    <x v="1"/>
    <d v="2025-06-08T00:00:00"/>
    <d v="2025-07-08T00:00:00"/>
    <n v="8196000"/>
    <n v="683000"/>
    <n v="8396000"/>
    <n v="2663700"/>
    <n v="9.9600000000000009"/>
    <n v="204900"/>
    <n v="51"/>
    <n v="705"/>
    <x v="0"/>
    <x v="0"/>
    <x v="0"/>
    <n v="30"/>
    <n v="13959.52"/>
  </r>
  <r>
    <x v="434"/>
    <s v="Sanya Gupta"/>
    <n v="21"/>
    <x v="0"/>
    <x v="0"/>
    <x v="2"/>
    <x v="1"/>
    <d v="2025-06-09T00:00:00"/>
    <d v="2025-07-09T00:00:00"/>
    <n v="5520000"/>
    <n v="460000"/>
    <n v="5720000"/>
    <n v="1794000"/>
    <n v="6.72"/>
    <n v="138000"/>
    <n v="48"/>
    <n v="678"/>
    <x v="1"/>
    <x v="1"/>
    <x v="1"/>
    <n v="30"/>
    <n v="17322.490000000002"/>
  </r>
  <r>
    <x v="435"/>
    <s v="Sanya Kumar"/>
    <n v="55"/>
    <x v="0"/>
    <x v="2"/>
    <x v="1"/>
    <x v="1"/>
    <d v="2025-06-10T00:00:00"/>
    <d v="2025-07-10T00:00:00"/>
    <n v="1068000"/>
    <n v="89000"/>
    <n v="1268000"/>
    <n v="347100"/>
    <n v="9.0500000000000007"/>
    <n v="26700"/>
    <n v="60"/>
    <n v="680"/>
    <x v="0"/>
    <x v="0"/>
    <x v="0"/>
    <n v="30"/>
    <n v="32504.6"/>
  </r>
  <r>
    <x v="436"/>
    <s v="Aditya Patel"/>
    <n v="43"/>
    <x v="0"/>
    <x v="0"/>
    <x v="4"/>
    <x v="1"/>
    <d v="2025-06-11T00:00:00"/>
    <d v="2025-07-11T00:00:00"/>
    <n v="3960000"/>
    <n v="330000"/>
    <n v="4160000"/>
    <n v="1287000"/>
    <n v="9.01"/>
    <n v="99000"/>
    <n v="51"/>
    <n v="754"/>
    <x v="1"/>
    <x v="1"/>
    <x v="1"/>
    <n v="30"/>
    <n v="37857.769999999997"/>
  </r>
  <r>
    <x v="437"/>
    <s v="Arjun Joshi"/>
    <n v="53"/>
    <x v="0"/>
    <x v="1"/>
    <x v="2"/>
    <x v="1"/>
    <d v="2025-06-12T00:00:00"/>
    <d v="2025-07-12T00:00:00"/>
    <n v="8568000"/>
    <n v="714000"/>
    <n v="8768000"/>
    <n v="2784600"/>
    <n v="10"/>
    <n v="214200"/>
    <n v="51"/>
    <n v="698"/>
    <x v="1"/>
    <x v="1"/>
    <x v="1"/>
    <n v="30"/>
    <n v="15584.06"/>
  </r>
  <r>
    <x v="438"/>
    <s v="Ishaan Sharma"/>
    <n v="52"/>
    <x v="1"/>
    <x v="5"/>
    <x v="1"/>
    <x v="1"/>
    <d v="2025-06-13T00:00:00"/>
    <d v="2025-07-13T00:00:00"/>
    <n v="672000"/>
    <n v="56000"/>
    <n v="872000"/>
    <n v="218400"/>
    <n v="9.02"/>
    <n v="16800"/>
    <n v="67"/>
    <n v="721"/>
    <x v="1"/>
    <x v="1"/>
    <x v="1"/>
    <n v="30"/>
    <n v="37913.410000000003"/>
  </r>
  <r>
    <x v="439"/>
    <s v="Karan Mehta"/>
    <n v="35"/>
    <x v="1"/>
    <x v="4"/>
    <x v="4"/>
    <x v="1"/>
    <d v="2025-06-14T00:00:00"/>
    <d v="2025-07-14T00:00:00"/>
    <n v="7068000"/>
    <n v="589000"/>
    <n v="7268000"/>
    <n v="2297100"/>
    <n v="7.53"/>
    <n v="176700"/>
    <n v="48"/>
    <n v="784"/>
    <x v="0"/>
    <x v="0"/>
    <x v="0"/>
    <n v="30"/>
    <n v="19758.8"/>
  </r>
  <r>
    <x v="440"/>
    <s v="Diya Sharma"/>
    <n v="21"/>
    <x v="1"/>
    <x v="5"/>
    <x v="4"/>
    <x v="1"/>
    <d v="2025-06-15T00:00:00"/>
    <d v="2025-07-15T00:00:00"/>
    <n v="5772000"/>
    <n v="481000"/>
    <n v="5972000"/>
    <n v="1875900"/>
    <n v="9"/>
    <n v="144300"/>
    <n v="50"/>
    <n v="697"/>
    <x v="0"/>
    <x v="0"/>
    <x v="0"/>
    <n v="30"/>
    <n v="24513.1"/>
  </r>
  <r>
    <x v="441"/>
    <s v="Rohan Nair"/>
    <n v="57"/>
    <x v="1"/>
    <x v="0"/>
    <x v="0"/>
    <x v="1"/>
    <d v="2025-06-16T00:00:00"/>
    <d v="2025-07-16T00:00:00"/>
    <n v="1824000"/>
    <n v="152000"/>
    <n v="2024000"/>
    <n v="592800"/>
    <n v="6.52"/>
    <n v="45600"/>
    <n v="51"/>
    <n v="686"/>
    <x v="0"/>
    <x v="0"/>
    <x v="0"/>
    <n v="30"/>
    <n v="29899.05"/>
  </r>
  <r>
    <x v="442"/>
    <s v="Ishaan Singh"/>
    <n v="39"/>
    <x v="1"/>
    <x v="0"/>
    <x v="4"/>
    <x v="1"/>
    <d v="2025-06-17T00:00:00"/>
    <d v="2025-07-17T00:00:00"/>
    <n v="5340000"/>
    <n v="445000"/>
    <n v="5540000"/>
    <n v="1735500"/>
    <n v="5.23"/>
    <n v="133500"/>
    <n v="46"/>
    <n v="842"/>
    <x v="1"/>
    <x v="1"/>
    <x v="1"/>
    <n v="30"/>
    <n v="11760.26"/>
  </r>
  <r>
    <x v="443"/>
    <s v="Vivaan Sharma"/>
    <n v="53"/>
    <x v="0"/>
    <x v="1"/>
    <x v="2"/>
    <x v="1"/>
    <d v="2025-06-18T00:00:00"/>
    <d v="2025-07-18T00:00:00"/>
    <n v="6816000"/>
    <n v="568000"/>
    <n v="7016000"/>
    <n v="2215200"/>
    <n v="7.29"/>
    <n v="170400"/>
    <n v="48"/>
    <n v="680"/>
    <x v="1"/>
    <x v="1"/>
    <x v="1"/>
    <n v="30"/>
    <n v="30283.01"/>
  </r>
  <r>
    <x v="444"/>
    <s v="Meera Yadav"/>
    <n v="44"/>
    <x v="0"/>
    <x v="2"/>
    <x v="1"/>
    <x v="1"/>
    <d v="2025-06-19T00:00:00"/>
    <d v="2025-07-19T00:00:00"/>
    <n v="4560000"/>
    <n v="380000"/>
    <n v="4760000"/>
    <n v="1482000"/>
    <n v="5.57"/>
    <n v="114000"/>
    <n v="47"/>
    <n v="603"/>
    <x v="0"/>
    <x v="0"/>
    <x v="0"/>
    <n v="30"/>
    <n v="17797.52"/>
  </r>
  <r>
    <x v="445"/>
    <s v="Neha Patel"/>
    <n v="26"/>
    <x v="1"/>
    <x v="3"/>
    <x v="4"/>
    <x v="1"/>
    <d v="2025-06-20T00:00:00"/>
    <d v="2025-07-20T00:00:00"/>
    <n v="1428000"/>
    <n v="119000"/>
    <n v="1628000"/>
    <n v="464100"/>
    <n v="9.31"/>
    <n v="35700"/>
    <n v="57"/>
    <n v="850"/>
    <x v="1"/>
    <x v="1"/>
    <x v="1"/>
    <n v="30"/>
    <n v="17212.07"/>
  </r>
  <r>
    <x v="446"/>
    <s v="Arjun Patel"/>
    <n v="32"/>
    <x v="1"/>
    <x v="2"/>
    <x v="3"/>
    <x v="1"/>
    <d v="2025-06-21T00:00:00"/>
    <d v="2025-07-21T00:00:00"/>
    <n v="3708000"/>
    <n v="309000"/>
    <n v="3908000"/>
    <n v="1205100"/>
    <n v="7.25"/>
    <n v="92700"/>
    <n v="49"/>
    <n v="691"/>
    <x v="1"/>
    <x v="1"/>
    <x v="1"/>
    <n v="30"/>
    <n v="20389.52"/>
  </r>
  <r>
    <x v="447"/>
    <s v="Priya Yadav"/>
    <n v="29"/>
    <x v="1"/>
    <x v="4"/>
    <x v="0"/>
    <x v="1"/>
    <d v="2025-06-22T00:00:00"/>
    <d v="2025-07-22T00:00:00"/>
    <n v="7452000"/>
    <n v="621000"/>
    <n v="7652000"/>
    <n v="2421900"/>
    <n v="7.54"/>
    <n v="186300"/>
    <n v="48"/>
    <n v="726"/>
    <x v="1"/>
    <x v="1"/>
    <x v="1"/>
    <n v="30"/>
    <n v="28206.3"/>
  </r>
  <r>
    <x v="448"/>
    <s v="Meera Patel"/>
    <n v="57"/>
    <x v="1"/>
    <x v="0"/>
    <x v="3"/>
    <x v="1"/>
    <d v="2025-06-23T00:00:00"/>
    <d v="2025-07-23T00:00:00"/>
    <n v="3876000"/>
    <n v="323000"/>
    <n v="4076000"/>
    <n v="1259700"/>
    <n v="7.34"/>
    <n v="96900"/>
    <n v="49"/>
    <n v="670"/>
    <x v="1"/>
    <x v="1"/>
    <x v="1"/>
    <n v="30"/>
    <n v="26560.38"/>
  </r>
  <r>
    <x v="449"/>
    <s v="Neha Gupta"/>
    <n v="44"/>
    <x v="0"/>
    <x v="2"/>
    <x v="3"/>
    <x v="1"/>
    <d v="2025-06-24T00:00:00"/>
    <d v="2025-07-24T00:00:00"/>
    <n v="1368000"/>
    <n v="114000"/>
    <n v="1568000"/>
    <n v="444600"/>
    <n v="8.58"/>
    <n v="34200"/>
    <n v="56"/>
    <n v="668"/>
    <x v="0"/>
    <x v="0"/>
    <x v="0"/>
    <n v="30"/>
    <n v="33898.17"/>
  </r>
  <r>
    <x v="450"/>
    <s v="Priya Kumar"/>
    <n v="31"/>
    <x v="1"/>
    <x v="4"/>
    <x v="4"/>
    <x v="1"/>
    <d v="2025-06-25T00:00:00"/>
    <d v="2025-07-25T00:00:00"/>
    <n v="7440000"/>
    <n v="620000"/>
    <n v="7640000"/>
    <n v="2418000"/>
    <n v="8.7899999999999991"/>
    <n v="186000"/>
    <n v="50"/>
    <n v="664"/>
    <x v="0"/>
    <x v="0"/>
    <x v="0"/>
    <n v="30"/>
    <n v="18532.63"/>
  </r>
  <r>
    <x v="451"/>
    <s v="Rohan Yadav"/>
    <n v="30"/>
    <x v="1"/>
    <x v="1"/>
    <x v="0"/>
    <x v="1"/>
    <d v="2025-06-26T00:00:00"/>
    <d v="2025-07-26T00:00:00"/>
    <n v="1344000"/>
    <n v="112000"/>
    <n v="1544000"/>
    <n v="436800"/>
    <n v="8.67"/>
    <n v="33600"/>
    <n v="57"/>
    <n v="641"/>
    <x v="0"/>
    <x v="0"/>
    <x v="0"/>
    <n v="30"/>
    <n v="11840.6"/>
  </r>
  <r>
    <x v="452"/>
    <s v="Ritika Sharma"/>
    <n v="43"/>
    <x v="0"/>
    <x v="5"/>
    <x v="4"/>
    <x v="1"/>
    <d v="2025-06-27T00:00:00"/>
    <d v="2025-07-27T00:00:00"/>
    <n v="5964000"/>
    <n v="497000"/>
    <n v="6164000"/>
    <n v="1938300"/>
    <n v="6.07"/>
    <n v="149100"/>
    <n v="47"/>
    <n v="751"/>
    <x v="1"/>
    <x v="1"/>
    <x v="1"/>
    <n v="30"/>
    <n v="20444.28"/>
  </r>
  <r>
    <x v="453"/>
    <s v="Ishaan Patel"/>
    <n v="52"/>
    <x v="0"/>
    <x v="0"/>
    <x v="2"/>
    <x v="1"/>
    <d v="2025-06-28T00:00:00"/>
    <d v="2025-07-28T00:00:00"/>
    <n v="6600000"/>
    <n v="550000"/>
    <n v="6800000"/>
    <n v="2145000"/>
    <n v="5.22"/>
    <n v="165000"/>
    <n v="46"/>
    <n v="608"/>
    <x v="1"/>
    <x v="1"/>
    <x v="1"/>
    <n v="30"/>
    <n v="10739.36"/>
  </r>
  <r>
    <x v="454"/>
    <s v="Aisha Gupta"/>
    <n v="32"/>
    <x v="0"/>
    <x v="4"/>
    <x v="0"/>
    <x v="1"/>
    <d v="2025-06-29T00:00:00"/>
    <d v="2025-07-29T00:00:00"/>
    <n v="5160000"/>
    <n v="430000"/>
    <n v="5360000"/>
    <n v="1677000"/>
    <n v="8.06"/>
    <n v="129000"/>
    <n v="49"/>
    <n v="814"/>
    <x v="1"/>
    <x v="1"/>
    <x v="1"/>
    <n v="30"/>
    <n v="25837.599999999999"/>
  </r>
  <r>
    <x v="455"/>
    <s v="Rahul Verma"/>
    <n v="30"/>
    <x v="1"/>
    <x v="0"/>
    <x v="4"/>
    <x v="1"/>
    <d v="2025-06-30T00:00:00"/>
    <d v="2025-07-30T00:00:00"/>
    <n v="6108000"/>
    <n v="509000"/>
    <n v="6308000"/>
    <n v="1985100"/>
    <n v="8.32"/>
    <n v="152700"/>
    <n v="49"/>
    <n v="627"/>
    <x v="1"/>
    <x v="1"/>
    <x v="1"/>
    <n v="30"/>
    <n v="12208.37"/>
  </r>
  <r>
    <x v="456"/>
    <s v="Aarav Yadav"/>
    <n v="27"/>
    <x v="1"/>
    <x v="3"/>
    <x v="2"/>
    <x v="1"/>
    <d v="2025-07-01T00:00:00"/>
    <d v="2025-08-01T00:00:00"/>
    <n v="5748000"/>
    <n v="479000"/>
    <n v="5948000"/>
    <n v="1724400"/>
    <n v="9.7200000000000006"/>
    <n v="143700"/>
    <n v="51"/>
    <n v="845"/>
    <x v="0"/>
    <x v="0"/>
    <x v="0"/>
    <n v="30"/>
    <n v="33517.629999999997"/>
  </r>
  <r>
    <x v="457"/>
    <s v="Diya Sharma"/>
    <n v="34"/>
    <x v="0"/>
    <x v="0"/>
    <x v="0"/>
    <x v="1"/>
    <d v="2025-07-02T00:00:00"/>
    <d v="2025-08-02T00:00:00"/>
    <n v="4932000"/>
    <n v="411000"/>
    <n v="5132000"/>
    <n v="1479600"/>
    <n v="9.07"/>
    <n v="123300"/>
    <n v="51"/>
    <n v="651"/>
    <x v="0"/>
    <x v="0"/>
    <x v="0"/>
    <n v="30"/>
    <n v="26992.94"/>
  </r>
  <r>
    <x v="458"/>
    <s v="Rahul Sharma"/>
    <n v="54"/>
    <x v="1"/>
    <x v="1"/>
    <x v="1"/>
    <x v="1"/>
    <d v="2025-07-03T00:00:00"/>
    <d v="2025-08-03T00:00:00"/>
    <n v="6444000"/>
    <n v="537000"/>
    <n v="6644000"/>
    <n v="1933200"/>
    <n v="6.88"/>
    <n v="161100"/>
    <n v="48"/>
    <n v="679"/>
    <x v="0"/>
    <x v="0"/>
    <x v="0"/>
    <n v="30"/>
    <n v="32205.200000000001"/>
  </r>
  <r>
    <x v="459"/>
    <s v="Karan Yadav"/>
    <n v="31"/>
    <x v="0"/>
    <x v="0"/>
    <x v="4"/>
    <x v="1"/>
    <d v="2025-07-04T00:00:00"/>
    <d v="2025-08-04T00:00:00"/>
    <n v="3540000"/>
    <n v="295000"/>
    <n v="3740000"/>
    <n v="1062000"/>
    <n v="8.7799999999999994"/>
    <n v="88500"/>
    <n v="51"/>
    <n v="757"/>
    <x v="0"/>
    <x v="0"/>
    <x v="0"/>
    <n v="30"/>
    <n v="32353.23"/>
  </r>
  <r>
    <x v="460"/>
    <s v="Aisha Sharma"/>
    <n v="60"/>
    <x v="1"/>
    <x v="3"/>
    <x v="2"/>
    <x v="1"/>
    <d v="2025-07-05T00:00:00"/>
    <d v="2025-08-05T00:00:00"/>
    <n v="7764000"/>
    <n v="647000"/>
    <n v="7964000"/>
    <n v="2329200"/>
    <n v="7.37"/>
    <n v="194100"/>
    <n v="48"/>
    <n v="698"/>
    <x v="1"/>
    <x v="1"/>
    <x v="1"/>
    <n v="30"/>
    <n v="24913.119999999999"/>
  </r>
  <r>
    <x v="461"/>
    <s v="Sneha Kumar"/>
    <n v="27"/>
    <x v="0"/>
    <x v="0"/>
    <x v="3"/>
    <x v="1"/>
    <d v="2025-07-06T00:00:00"/>
    <d v="2025-08-06T00:00:00"/>
    <n v="2904000"/>
    <n v="242000"/>
    <n v="3104000"/>
    <n v="871200"/>
    <n v="7.65"/>
    <n v="72600"/>
    <n v="51"/>
    <n v="748"/>
    <x v="1"/>
    <x v="1"/>
    <x v="1"/>
    <n v="30"/>
    <n v="22532.49"/>
  </r>
  <r>
    <x v="462"/>
    <s v="Sanya Nair"/>
    <n v="29"/>
    <x v="1"/>
    <x v="3"/>
    <x v="2"/>
    <x v="1"/>
    <d v="2025-07-07T00:00:00"/>
    <d v="2025-08-07T00:00:00"/>
    <n v="768000"/>
    <n v="64000"/>
    <n v="968000"/>
    <n v="230400"/>
    <n v="6.72"/>
    <n v="19200"/>
    <n v="60"/>
    <n v="731"/>
    <x v="1"/>
    <x v="1"/>
    <x v="1"/>
    <n v="30"/>
    <n v="5753.74"/>
  </r>
  <r>
    <x v="463"/>
    <s v="Kavya Sharma"/>
    <n v="59"/>
    <x v="1"/>
    <x v="2"/>
    <x v="0"/>
    <x v="1"/>
    <d v="2025-07-08T00:00:00"/>
    <d v="2025-08-08T00:00:00"/>
    <n v="7188000"/>
    <n v="599000"/>
    <n v="7388000"/>
    <n v="2156400"/>
    <n v="6.02"/>
    <n v="179700"/>
    <n v="47"/>
    <n v="637"/>
    <x v="1"/>
    <x v="1"/>
    <x v="1"/>
    <n v="30"/>
    <n v="12444.07"/>
  </r>
  <r>
    <x v="464"/>
    <s v="Ishaan Kumar"/>
    <n v="49"/>
    <x v="0"/>
    <x v="3"/>
    <x v="0"/>
    <x v="1"/>
    <d v="2025-07-09T00:00:00"/>
    <d v="2025-08-09T00:00:00"/>
    <n v="7644000"/>
    <n v="637000"/>
    <n v="7844000"/>
    <n v="2293200"/>
    <n v="8.82"/>
    <n v="191100"/>
    <n v="50"/>
    <n v="651"/>
    <x v="1"/>
    <x v="1"/>
    <x v="1"/>
    <n v="30"/>
    <n v="11289.55"/>
  </r>
  <r>
    <x v="465"/>
    <s v="Ritika Singh"/>
    <n v="27"/>
    <x v="0"/>
    <x v="1"/>
    <x v="0"/>
    <x v="1"/>
    <d v="2025-07-10T00:00:00"/>
    <d v="2025-08-10T00:00:00"/>
    <n v="4836000"/>
    <n v="403000"/>
    <n v="5036000"/>
    <n v="1450800"/>
    <n v="5.91"/>
    <n v="120900"/>
    <n v="47"/>
    <n v="740"/>
    <x v="1"/>
    <x v="1"/>
    <x v="1"/>
    <n v="30"/>
    <n v="25115.919999999998"/>
  </r>
  <r>
    <x v="466"/>
    <s v="Aryan Kumar"/>
    <n v="34"/>
    <x v="1"/>
    <x v="4"/>
    <x v="3"/>
    <x v="1"/>
    <d v="2025-07-11T00:00:00"/>
    <d v="2025-08-11T00:00:00"/>
    <n v="1524000"/>
    <n v="127000"/>
    <n v="1724000"/>
    <n v="457200"/>
    <n v="6.97"/>
    <n v="38100"/>
    <n v="53"/>
    <n v="651"/>
    <x v="1"/>
    <x v="1"/>
    <x v="1"/>
    <n v="30"/>
    <n v="23434.51"/>
  </r>
  <r>
    <x v="467"/>
    <s v="Aditya Sharma"/>
    <n v="53"/>
    <x v="1"/>
    <x v="5"/>
    <x v="1"/>
    <x v="1"/>
    <d v="2025-07-12T00:00:00"/>
    <d v="2025-08-12T00:00:00"/>
    <n v="6492000"/>
    <n v="541000"/>
    <n v="6692000"/>
    <n v="1947600"/>
    <n v="6.79"/>
    <n v="162300"/>
    <n v="48"/>
    <n v="766"/>
    <x v="1"/>
    <x v="1"/>
    <x v="1"/>
    <n v="30"/>
    <n v="21923.54"/>
  </r>
  <r>
    <x v="468"/>
    <s v="Aarav Singh"/>
    <n v="24"/>
    <x v="0"/>
    <x v="0"/>
    <x v="1"/>
    <x v="1"/>
    <d v="2025-07-13T00:00:00"/>
    <d v="2025-08-13T00:00:00"/>
    <n v="4404000"/>
    <n v="367000"/>
    <n v="4604000"/>
    <n v="1321200"/>
    <n v="6.46"/>
    <n v="110100"/>
    <n v="48"/>
    <n v="799"/>
    <x v="0"/>
    <x v="0"/>
    <x v="0"/>
    <n v="30"/>
    <n v="24001.19"/>
  </r>
  <r>
    <x v="469"/>
    <s v="Aarav Sharma"/>
    <n v="35"/>
    <x v="0"/>
    <x v="2"/>
    <x v="3"/>
    <x v="1"/>
    <d v="2025-07-14T00:00:00"/>
    <d v="2025-08-14T00:00:00"/>
    <n v="7716000"/>
    <n v="643000"/>
    <n v="7916000"/>
    <n v="2314800"/>
    <n v="8.2899999999999991"/>
    <n v="192900"/>
    <n v="49"/>
    <n v="746"/>
    <x v="0"/>
    <x v="0"/>
    <x v="0"/>
    <n v="30"/>
    <n v="24708.06"/>
  </r>
  <r>
    <x v="470"/>
    <s v="Sneha Singh"/>
    <n v="55"/>
    <x v="1"/>
    <x v="3"/>
    <x v="3"/>
    <x v="1"/>
    <d v="2025-07-15T00:00:00"/>
    <d v="2025-08-15T00:00:00"/>
    <n v="6660000"/>
    <n v="555000"/>
    <n v="6860000"/>
    <n v="1998000"/>
    <n v="7.48"/>
    <n v="166500"/>
    <n v="48"/>
    <n v="823"/>
    <x v="1"/>
    <x v="1"/>
    <x v="1"/>
    <n v="30"/>
    <n v="13214.24"/>
  </r>
  <r>
    <x v="471"/>
    <s v="Ritika Nair"/>
    <n v="38"/>
    <x v="0"/>
    <x v="1"/>
    <x v="4"/>
    <x v="1"/>
    <d v="2025-07-16T00:00:00"/>
    <d v="2025-08-16T00:00:00"/>
    <n v="6672000"/>
    <n v="556000"/>
    <n v="6872000"/>
    <n v="2001600"/>
    <n v="7.2"/>
    <n v="166800"/>
    <n v="48"/>
    <n v="718"/>
    <x v="0"/>
    <x v="0"/>
    <x v="0"/>
    <n v="30"/>
    <n v="31964.33"/>
  </r>
  <r>
    <x v="472"/>
    <s v="Aryan Sharma"/>
    <n v="46"/>
    <x v="1"/>
    <x v="0"/>
    <x v="0"/>
    <x v="1"/>
    <d v="2025-07-17T00:00:00"/>
    <d v="2025-08-17T00:00:00"/>
    <n v="732000"/>
    <n v="61000"/>
    <n v="932000"/>
    <n v="219600"/>
    <n v="5.41"/>
    <n v="18300"/>
    <n v="58"/>
    <n v="771"/>
    <x v="0"/>
    <x v="0"/>
    <x v="0"/>
    <n v="30"/>
    <n v="7786.87"/>
  </r>
  <r>
    <x v="473"/>
    <s v="Kavya Mehta"/>
    <n v="49"/>
    <x v="0"/>
    <x v="3"/>
    <x v="4"/>
    <x v="1"/>
    <d v="2025-07-18T00:00:00"/>
    <d v="2025-08-18T00:00:00"/>
    <n v="7416000"/>
    <n v="618000"/>
    <n v="7616000"/>
    <n v="2224800"/>
    <n v="8.36"/>
    <n v="185400"/>
    <n v="49"/>
    <n v="743"/>
    <x v="1"/>
    <x v="1"/>
    <x v="1"/>
    <n v="30"/>
    <n v="13190.91"/>
  </r>
  <r>
    <x v="474"/>
    <s v="Vivaan Joshi"/>
    <n v="21"/>
    <x v="1"/>
    <x v="0"/>
    <x v="1"/>
    <x v="1"/>
    <d v="2025-07-19T00:00:00"/>
    <d v="2025-08-19T00:00:00"/>
    <n v="2772000"/>
    <n v="231000"/>
    <n v="2972000"/>
    <n v="831600"/>
    <n v="6.63"/>
    <n v="69300"/>
    <n v="50"/>
    <n v="652"/>
    <x v="1"/>
    <x v="1"/>
    <x v="1"/>
    <n v="30"/>
    <n v="5928.51"/>
  </r>
  <r>
    <x v="475"/>
    <s v="Karan Singh"/>
    <n v="55"/>
    <x v="1"/>
    <x v="4"/>
    <x v="3"/>
    <x v="1"/>
    <d v="2025-07-20T00:00:00"/>
    <d v="2025-08-20T00:00:00"/>
    <n v="6312000"/>
    <n v="526000"/>
    <n v="6512000"/>
    <n v="1893600"/>
    <n v="8.81"/>
    <n v="157800"/>
    <n v="50"/>
    <n v="693"/>
    <x v="1"/>
    <x v="1"/>
    <x v="1"/>
    <n v="30"/>
    <n v="16250.84"/>
  </r>
  <r>
    <x v="476"/>
    <s v="Karan Kumar"/>
    <n v="33"/>
    <x v="0"/>
    <x v="5"/>
    <x v="2"/>
    <x v="1"/>
    <d v="2025-07-21T00:00:00"/>
    <d v="2025-08-21T00:00:00"/>
    <n v="6420000"/>
    <n v="535000"/>
    <n v="6620000"/>
    <n v="1926000"/>
    <n v="7.86"/>
    <n v="160500"/>
    <n v="49"/>
    <n v="741"/>
    <x v="0"/>
    <x v="0"/>
    <x v="0"/>
    <n v="30"/>
    <n v="11938.96"/>
  </r>
  <r>
    <x v="477"/>
    <s v="Diya Yadav"/>
    <n v="55"/>
    <x v="1"/>
    <x v="2"/>
    <x v="1"/>
    <x v="1"/>
    <d v="2025-07-22T00:00:00"/>
    <d v="2025-08-22T00:00:00"/>
    <n v="5052000"/>
    <n v="421000"/>
    <n v="5252000"/>
    <n v="1515600"/>
    <n v="8.2200000000000006"/>
    <n v="126300"/>
    <n v="50"/>
    <n v="731"/>
    <x v="1"/>
    <x v="1"/>
    <x v="1"/>
    <n v="30"/>
    <n v="13910.9"/>
  </r>
  <r>
    <x v="478"/>
    <s v="Neha Singh"/>
    <n v="31"/>
    <x v="1"/>
    <x v="5"/>
    <x v="0"/>
    <x v="1"/>
    <d v="2025-07-23T00:00:00"/>
    <d v="2025-08-23T00:00:00"/>
    <n v="2040000"/>
    <n v="170000"/>
    <n v="2240000"/>
    <n v="612000"/>
    <n v="8.2100000000000009"/>
    <n v="51000"/>
    <n v="53"/>
    <n v="703"/>
    <x v="0"/>
    <x v="0"/>
    <x v="0"/>
    <n v="30"/>
    <n v="13452.68"/>
  </r>
  <r>
    <x v="479"/>
    <s v="Diya Nair"/>
    <n v="25"/>
    <x v="0"/>
    <x v="1"/>
    <x v="0"/>
    <x v="1"/>
    <d v="2025-07-24T00:00:00"/>
    <d v="2025-08-24T00:00:00"/>
    <n v="8424000"/>
    <n v="702000"/>
    <n v="8624000"/>
    <n v="2527200"/>
    <n v="8.3800000000000008"/>
    <n v="210600"/>
    <n v="49"/>
    <n v="674"/>
    <x v="0"/>
    <x v="0"/>
    <x v="0"/>
    <n v="30"/>
    <n v="21812.1"/>
  </r>
  <r>
    <x v="480"/>
    <s v="Pooja Gupta"/>
    <n v="43"/>
    <x v="1"/>
    <x v="1"/>
    <x v="1"/>
    <x v="1"/>
    <d v="2025-07-25T00:00:00"/>
    <d v="2025-08-25T00:00:00"/>
    <n v="3552000"/>
    <n v="296000"/>
    <n v="3752000"/>
    <n v="1065600"/>
    <n v="5.78"/>
    <n v="88800"/>
    <n v="48"/>
    <n v="631"/>
    <x v="0"/>
    <x v="0"/>
    <x v="0"/>
    <n v="30"/>
    <n v="7088.65"/>
  </r>
  <r>
    <x v="481"/>
    <s v="Aisha Joshi"/>
    <n v="54"/>
    <x v="1"/>
    <x v="3"/>
    <x v="0"/>
    <x v="1"/>
    <d v="2025-07-26T00:00:00"/>
    <d v="2025-08-26T00:00:00"/>
    <n v="6228000"/>
    <n v="519000"/>
    <n v="6428000"/>
    <n v="1868400"/>
    <n v="6.81"/>
    <n v="155700"/>
    <n v="48"/>
    <n v="823"/>
    <x v="1"/>
    <x v="1"/>
    <x v="1"/>
    <n v="30"/>
    <n v="22521.01"/>
  </r>
  <r>
    <x v="482"/>
    <s v="Rahul Nair"/>
    <n v="54"/>
    <x v="0"/>
    <x v="4"/>
    <x v="2"/>
    <x v="1"/>
    <d v="2025-07-27T00:00:00"/>
    <d v="2025-08-27T00:00:00"/>
    <n v="1644000"/>
    <n v="137000"/>
    <n v="1844000"/>
    <n v="493200"/>
    <n v="6.37"/>
    <n v="41100"/>
    <n v="52"/>
    <n v="608"/>
    <x v="1"/>
    <x v="1"/>
    <x v="1"/>
    <n v="30"/>
    <n v="21051.74"/>
  </r>
  <r>
    <x v="483"/>
    <s v="Sneha Verma"/>
    <n v="55"/>
    <x v="0"/>
    <x v="4"/>
    <x v="2"/>
    <x v="1"/>
    <d v="2025-07-28T00:00:00"/>
    <d v="2025-08-28T00:00:00"/>
    <n v="6516000"/>
    <n v="543000"/>
    <n v="6716000"/>
    <n v="1954800"/>
    <n v="6.22"/>
    <n v="162900"/>
    <n v="47"/>
    <n v="716"/>
    <x v="1"/>
    <x v="1"/>
    <x v="1"/>
    <n v="30"/>
    <n v="26620.74"/>
  </r>
  <r>
    <x v="484"/>
    <s v="Aisha Mehta"/>
    <n v="39"/>
    <x v="0"/>
    <x v="3"/>
    <x v="3"/>
    <x v="1"/>
    <d v="2025-07-29T00:00:00"/>
    <d v="2025-08-29T00:00:00"/>
    <n v="3972000"/>
    <n v="331000"/>
    <n v="4172000"/>
    <n v="1191600"/>
    <n v="6.36"/>
    <n v="99300"/>
    <n v="48"/>
    <n v="830"/>
    <x v="0"/>
    <x v="0"/>
    <x v="0"/>
    <n v="30"/>
    <n v="12455.37"/>
  </r>
  <r>
    <x v="485"/>
    <s v="Karan Kumar"/>
    <n v="25"/>
    <x v="0"/>
    <x v="2"/>
    <x v="4"/>
    <x v="1"/>
    <d v="2025-07-30T00:00:00"/>
    <d v="2025-08-30T00:00:00"/>
    <n v="7788000"/>
    <n v="649000"/>
    <n v="7988000"/>
    <n v="2336400"/>
    <n v="8.27"/>
    <n v="194700"/>
    <n v="49"/>
    <n v="718"/>
    <x v="1"/>
    <x v="1"/>
    <x v="1"/>
    <n v="30"/>
    <n v="24041.72"/>
  </r>
  <r>
    <x v="486"/>
    <s v="Ritika Verma"/>
    <n v="33"/>
    <x v="1"/>
    <x v="4"/>
    <x v="1"/>
    <x v="1"/>
    <d v="2025-07-31T00:00:00"/>
    <d v="2025-08-31T00:00:00"/>
    <n v="1116000"/>
    <n v="93000"/>
    <n v="1316000"/>
    <n v="334800"/>
    <n v="6.15"/>
    <n v="27900"/>
    <n v="55"/>
    <n v="828"/>
    <x v="1"/>
    <x v="1"/>
    <x v="1"/>
    <n v="30"/>
    <n v="16546.37"/>
  </r>
  <r>
    <x v="487"/>
    <s v="Rahul Joshi"/>
    <n v="33"/>
    <x v="0"/>
    <x v="3"/>
    <x v="3"/>
    <x v="1"/>
    <d v="2025-08-01T00:00:00"/>
    <d v="2025-09-01T00:00:00"/>
    <n v="3576000"/>
    <n v="298000"/>
    <n v="3776000"/>
    <n v="983400"/>
    <n v="5.39"/>
    <n v="89400"/>
    <n v="47"/>
    <n v="760"/>
    <x v="1"/>
    <x v="1"/>
    <x v="1"/>
    <n v="30"/>
    <n v="22460.25"/>
  </r>
  <r>
    <x v="488"/>
    <s v="Neha Singh"/>
    <n v="23"/>
    <x v="1"/>
    <x v="5"/>
    <x v="1"/>
    <x v="1"/>
    <d v="2025-08-02T00:00:00"/>
    <d v="2025-09-02T00:00:00"/>
    <n v="8172000"/>
    <n v="681000"/>
    <n v="8372000"/>
    <n v="2247300"/>
    <n v="7.99"/>
    <n v="204300"/>
    <n v="49"/>
    <n v="716"/>
    <x v="1"/>
    <x v="1"/>
    <x v="1"/>
    <n v="30"/>
    <n v="37095.81"/>
  </r>
  <r>
    <x v="489"/>
    <s v="Rahul Yadav"/>
    <n v="21"/>
    <x v="0"/>
    <x v="1"/>
    <x v="2"/>
    <x v="1"/>
    <d v="2025-08-03T00:00:00"/>
    <d v="2025-09-03T00:00:00"/>
    <n v="4884000"/>
    <n v="407000"/>
    <n v="5084000"/>
    <n v="1343100"/>
    <n v="7.72"/>
    <n v="122100"/>
    <n v="49"/>
    <n v="678"/>
    <x v="1"/>
    <x v="1"/>
    <x v="1"/>
    <n v="30"/>
    <n v="27562.81"/>
  </r>
  <r>
    <x v="490"/>
    <s v="Sanya Sharma"/>
    <n v="60"/>
    <x v="1"/>
    <x v="4"/>
    <x v="2"/>
    <x v="1"/>
    <d v="2025-08-04T00:00:00"/>
    <d v="2025-09-04T00:00:00"/>
    <n v="3072000"/>
    <n v="256000"/>
    <n v="3272000"/>
    <n v="844800"/>
    <n v="6.11"/>
    <n v="76800"/>
    <n v="49"/>
    <n v="827"/>
    <x v="1"/>
    <x v="1"/>
    <x v="1"/>
    <n v="30"/>
    <n v="13220.78"/>
  </r>
  <r>
    <x v="491"/>
    <s v="Kavya Gupta"/>
    <n v="47"/>
    <x v="1"/>
    <x v="0"/>
    <x v="1"/>
    <x v="1"/>
    <d v="2025-08-05T00:00:00"/>
    <d v="2025-09-05T00:00:00"/>
    <n v="5760000"/>
    <n v="480000"/>
    <n v="5960000"/>
    <n v="1584000"/>
    <n v="8.7200000000000006"/>
    <n v="144000"/>
    <n v="50"/>
    <n v="848"/>
    <x v="0"/>
    <x v="0"/>
    <x v="0"/>
    <n v="30"/>
    <n v="20505.55"/>
  </r>
  <r>
    <x v="492"/>
    <s v="Rahul Gupta"/>
    <n v="60"/>
    <x v="0"/>
    <x v="1"/>
    <x v="1"/>
    <x v="1"/>
    <d v="2025-08-06T00:00:00"/>
    <d v="2025-09-06T00:00:00"/>
    <n v="1620000"/>
    <n v="135000"/>
    <n v="1820000"/>
    <n v="445500"/>
    <n v="6.77"/>
    <n v="40500"/>
    <n v="52"/>
    <n v="694"/>
    <x v="0"/>
    <x v="0"/>
    <x v="0"/>
    <n v="30"/>
    <n v="20847.21"/>
  </r>
  <r>
    <x v="493"/>
    <s v="Arjun Mehta"/>
    <n v="50"/>
    <x v="0"/>
    <x v="0"/>
    <x v="2"/>
    <x v="1"/>
    <d v="2025-08-07T00:00:00"/>
    <d v="2025-09-07T00:00:00"/>
    <n v="6240000"/>
    <n v="520000"/>
    <n v="6440000"/>
    <n v="1716000"/>
    <n v="5.1100000000000003"/>
    <n v="156000"/>
    <n v="46"/>
    <n v="754"/>
    <x v="1"/>
    <x v="1"/>
    <x v="1"/>
    <n v="30"/>
    <n v="19661.41"/>
  </r>
  <r>
    <x v="494"/>
    <s v="Diya Joshi"/>
    <n v="50"/>
    <x v="0"/>
    <x v="2"/>
    <x v="2"/>
    <x v="1"/>
    <d v="2025-08-08T00:00:00"/>
    <d v="2025-09-08T00:00:00"/>
    <n v="7956000"/>
    <n v="663000"/>
    <n v="8156000"/>
    <n v="2187900"/>
    <n v="5.93"/>
    <n v="198900"/>
    <n v="46"/>
    <n v="710"/>
    <x v="1"/>
    <x v="1"/>
    <x v="1"/>
    <n v="30"/>
    <n v="11196.11"/>
  </r>
  <r>
    <x v="495"/>
    <s v="Priya Joshi"/>
    <n v="26"/>
    <x v="0"/>
    <x v="2"/>
    <x v="4"/>
    <x v="1"/>
    <d v="2025-08-09T00:00:00"/>
    <d v="2025-09-09T00:00:00"/>
    <n v="8844000"/>
    <n v="737000"/>
    <n v="9044000"/>
    <n v="2432100"/>
    <n v="5.21"/>
    <n v="221100"/>
    <n v="46"/>
    <n v="614"/>
    <x v="1"/>
    <x v="1"/>
    <x v="1"/>
    <n v="30"/>
    <n v="17416.669999999998"/>
  </r>
  <r>
    <x v="496"/>
    <s v="Priya Verma"/>
    <n v="26"/>
    <x v="0"/>
    <x v="3"/>
    <x v="0"/>
    <x v="1"/>
    <d v="2025-08-10T00:00:00"/>
    <d v="2025-09-10T00:00:00"/>
    <n v="5256000"/>
    <n v="438000"/>
    <n v="5456000"/>
    <n v="1445400"/>
    <n v="6.97"/>
    <n v="131400"/>
    <n v="48"/>
    <n v="755"/>
    <x v="1"/>
    <x v="1"/>
    <x v="1"/>
    <n v="30"/>
    <n v="14537.58"/>
  </r>
  <r>
    <x v="497"/>
    <s v="Sneha Singh"/>
    <n v="38"/>
    <x v="1"/>
    <x v="2"/>
    <x v="1"/>
    <x v="1"/>
    <d v="2025-08-11T00:00:00"/>
    <d v="2025-09-11T00:00:00"/>
    <n v="5532000"/>
    <n v="461000"/>
    <n v="5732000"/>
    <n v="1521300"/>
    <n v="5.87"/>
    <n v="138300"/>
    <n v="47"/>
    <n v="811"/>
    <x v="1"/>
    <x v="1"/>
    <x v="1"/>
    <n v="30"/>
    <n v="6380.7"/>
  </r>
  <r>
    <x v="498"/>
    <s v="Neha Patel"/>
    <n v="56"/>
    <x v="0"/>
    <x v="3"/>
    <x v="0"/>
    <x v="1"/>
    <d v="2025-08-12T00:00:00"/>
    <d v="2025-09-12T00:00:00"/>
    <n v="3444000"/>
    <n v="287000"/>
    <n v="3644000"/>
    <n v="947100"/>
    <n v="7.66"/>
    <n v="86100"/>
    <n v="50"/>
    <n v="729"/>
    <x v="0"/>
    <x v="0"/>
    <x v="0"/>
    <n v="30"/>
    <n v="18165.080000000002"/>
  </r>
  <r>
    <x v="499"/>
    <s v="Vivaan Joshi"/>
    <n v="58"/>
    <x v="1"/>
    <x v="1"/>
    <x v="3"/>
    <x v="1"/>
    <d v="2025-08-13T00:00:00"/>
    <d v="2025-09-13T00:00:00"/>
    <n v="3780000"/>
    <n v="315000"/>
    <n v="3980000"/>
    <n v="1039500"/>
    <n v="6.41"/>
    <n v="94500"/>
    <n v="48"/>
    <n v="631"/>
    <x v="1"/>
    <x v="1"/>
    <x v="1"/>
    <n v="30"/>
    <n v="21352.61"/>
  </r>
  <r>
    <x v="500"/>
    <s v="Sanya Yadav"/>
    <n v="54"/>
    <x v="0"/>
    <x v="4"/>
    <x v="2"/>
    <x v="1"/>
    <d v="2025-08-14T00:00:00"/>
    <d v="2025-09-14T00:00:00"/>
    <n v="948000"/>
    <n v="79000"/>
    <n v="1148000"/>
    <n v="260700"/>
    <n v="5.29"/>
    <n v="23700"/>
    <n v="55"/>
    <n v="822"/>
    <x v="0"/>
    <x v="0"/>
    <x v="0"/>
    <n v="30"/>
    <n v="6722.38"/>
  </r>
  <r>
    <x v="501"/>
    <s v="Pooja Mehta"/>
    <n v="29"/>
    <x v="1"/>
    <x v="1"/>
    <x v="0"/>
    <x v="1"/>
    <d v="2025-08-15T00:00:00"/>
    <d v="2025-09-15T00:00:00"/>
    <n v="2340000"/>
    <n v="195000"/>
    <n v="2540000"/>
    <n v="643500"/>
    <n v="6.25"/>
    <n v="58500"/>
    <n v="50"/>
    <n v="621"/>
    <x v="1"/>
    <x v="1"/>
    <x v="1"/>
    <n v="30"/>
    <n v="27743.11"/>
  </r>
  <r>
    <x v="502"/>
    <s v="Arjun Yadav"/>
    <n v="25"/>
    <x v="0"/>
    <x v="1"/>
    <x v="4"/>
    <x v="1"/>
    <d v="2025-08-16T00:00:00"/>
    <d v="2025-09-16T00:00:00"/>
    <n v="1284000"/>
    <n v="107000"/>
    <n v="1484000"/>
    <n v="353100"/>
    <n v="9.43"/>
    <n v="32100"/>
    <n v="58"/>
    <n v="603"/>
    <x v="0"/>
    <x v="0"/>
    <x v="0"/>
    <n v="30"/>
    <n v="42254.68"/>
  </r>
  <r>
    <x v="503"/>
    <s v="Aryan Singh"/>
    <n v="25"/>
    <x v="1"/>
    <x v="2"/>
    <x v="2"/>
    <x v="1"/>
    <d v="2025-08-17T00:00:00"/>
    <d v="2025-09-17T00:00:00"/>
    <n v="4008000"/>
    <n v="334000"/>
    <n v="4208000"/>
    <n v="1102200"/>
    <n v="8.9499999999999993"/>
    <n v="100200"/>
    <n v="51"/>
    <n v="618"/>
    <x v="1"/>
    <x v="1"/>
    <x v="1"/>
    <n v="30"/>
    <n v="24038.48"/>
  </r>
  <r>
    <x v="504"/>
    <s v="Sneha Kumar"/>
    <n v="33"/>
    <x v="0"/>
    <x v="0"/>
    <x v="4"/>
    <x v="1"/>
    <d v="2025-08-18T00:00:00"/>
    <d v="2025-09-18T00:00:00"/>
    <n v="5268000"/>
    <n v="439000"/>
    <n v="5468000"/>
    <n v="1448700"/>
    <n v="5.34"/>
    <n v="131700"/>
    <n v="47"/>
    <n v="841"/>
    <x v="1"/>
    <x v="1"/>
    <x v="1"/>
    <n v="30"/>
    <n v="19818.14"/>
  </r>
  <r>
    <x v="505"/>
    <s v="Aryan Yadav"/>
    <n v="59"/>
    <x v="0"/>
    <x v="0"/>
    <x v="0"/>
    <x v="1"/>
    <d v="2025-08-19T00:00:00"/>
    <d v="2025-09-19T00:00:00"/>
    <n v="6024000"/>
    <n v="502000"/>
    <n v="6224000"/>
    <n v="1656600"/>
    <n v="6.53"/>
    <n v="150600"/>
    <n v="47"/>
    <n v="694"/>
    <x v="1"/>
    <x v="1"/>
    <x v="1"/>
    <n v="30"/>
    <n v="22964.55"/>
  </r>
  <r>
    <x v="506"/>
    <s v="Meera Mehta"/>
    <n v="44"/>
    <x v="1"/>
    <x v="1"/>
    <x v="0"/>
    <x v="1"/>
    <d v="2025-08-20T00:00:00"/>
    <d v="2025-09-20T00:00:00"/>
    <n v="3768000"/>
    <n v="314000"/>
    <n v="3968000"/>
    <n v="1036200"/>
    <n v="5.76"/>
    <n v="94200"/>
    <n v="48"/>
    <n v="770"/>
    <x v="0"/>
    <x v="0"/>
    <x v="0"/>
    <n v="30"/>
    <n v="8556"/>
  </r>
  <r>
    <x v="507"/>
    <s v="Neha Sharma"/>
    <n v="59"/>
    <x v="0"/>
    <x v="3"/>
    <x v="3"/>
    <x v="1"/>
    <d v="2025-08-21T00:00:00"/>
    <d v="2025-09-21T00:00:00"/>
    <n v="3792000"/>
    <n v="316000"/>
    <n v="3992000"/>
    <n v="1042800"/>
    <n v="7.97"/>
    <n v="94800"/>
    <n v="50"/>
    <n v="664"/>
    <x v="1"/>
    <x v="1"/>
    <x v="1"/>
    <n v="30"/>
    <n v="31555.17"/>
  </r>
  <r>
    <x v="508"/>
    <s v="Kavya Kumar"/>
    <n v="27"/>
    <x v="1"/>
    <x v="4"/>
    <x v="0"/>
    <x v="1"/>
    <d v="2025-08-22T00:00:00"/>
    <d v="2025-09-22T00:00:00"/>
    <n v="8856000"/>
    <n v="738000"/>
    <n v="9056000"/>
    <n v="2435400"/>
    <n v="8.48"/>
    <n v="221400"/>
    <n v="49"/>
    <n v="744"/>
    <x v="1"/>
    <x v="1"/>
    <x v="1"/>
    <n v="30"/>
    <n v="34568.11"/>
  </r>
  <r>
    <x v="509"/>
    <s v="Karan Mehta"/>
    <n v="37"/>
    <x v="1"/>
    <x v="2"/>
    <x v="1"/>
    <x v="1"/>
    <d v="2025-08-23T00:00:00"/>
    <d v="2025-09-23T00:00:00"/>
    <n v="2868000"/>
    <n v="239000"/>
    <n v="3068000"/>
    <n v="788700"/>
    <n v="9.68"/>
    <n v="71700"/>
    <n v="53"/>
    <n v="669"/>
    <x v="1"/>
    <x v="1"/>
    <x v="1"/>
    <n v="30"/>
    <n v="23019.52"/>
  </r>
  <r>
    <x v="510"/>
    <s v="Meera Verma"/>
    <n v="54"/>
    <x v="0"/>
    <x v="5"/>
    <x v="1"/>
    <x v="1"/>
    <d v="2025-08-24T00:00:00"/>
    <d v="2025-09-24T00:00:00"/>
    <n v="8880000"/>
    <n v="740000"/>
    <n v="9080000"/>
    <n v="2442000"/>
    <n v="9.9600000000000009"/>
    <n v="222000"/>
    <n v="51"/>
    <n v="643"/>
    <x v="1"/>
    <x v="1"/>
    <x v="1"/>
    <n v="30"/>
    <n v="37345.379999999997"/>
  </r>
  <r>
    <x v="511"/>
    <s v="Neha Yadav"/>
    <n v="36"/>
    <x v="1"/>
    <x v="1"/>
    <x v="3"/>
    <x v="1"/>
    <d v="2025-08-25T00:00:00"/>
    <d v="2025-09-25T00:00:00"/>
    <n v="5688000"/>
    <n v="474000"/>
    <n v="5888000"/>
    <n v="1564200"/>
    <n v="9.81"/>
    <n v="142200"/>
    <n v="51"/>
    <n v="770"/>
    <x v="0"/>
    <x v="0"/>
    <x v="0"/>
    <n v="30"/>
    <n v="9909.8700000000008"/>
  </r>
  <r>
    <x v="512"/>
    <s v="Karan Joshi"/>
    <n v="31"/>
    <x v="1"/>
    <x v="3"/>
    <x v="1"/>
    <x v="1"/>
    <d v="2025-08-26T00:00:00"/>
    <d v="2025-09-26T00:00:00"/>
    <n v="4428000"/>
    <n v="369000"/>
    <n v="4628000"/>
    <n v="1217700"/>
    <n v="7.91"/>
    <n v="110700"/>
    <n v="50"/>
    <n v="607"/>
    <x v="0"/>
    <x v="0"/>
    <x v="0"/>
    <n v="30"/>
    <n v="7850.79"/>
  </r>
  <r>
    <x v="513"/>
    <s v="Vivaan Verma"/>
    <n v="42"/>
    <x v="1"/>
    <x v="5"/>
    <x v="3"/>
    <x v="1"/>
    <d v="2025-08-27T00:00:00"/>
    <d v="2025-09-27T00:00:00"/>
    <n v="7464000"/>
    <n v="622000"/>
    <n v="7664000"/>
    <n v="2052600"/>
    <n v="8.5399999999999991"/>
    <n v="186600"/>
    <n v="49"/>
    <n v="646"/>
    <x v="0"/>
    <x v="0"/>
    <x v="0"/>
    <n v="30"/>
    <n v="25057.93"/>
  </r>
  <r>
    <x v="514"/>
    <s v="Karan Mehta"/>
    <n v="40"/>
    <x v="1"/>
    <x v="0"/>
    <x v="2"/>
    <x v="1"/>
    <d v="2025-08-28T00:00:00"/>
    <d v="2025-09-28T00:00:00"/>
    <n v="648000"/>
    <n v="54000"/>
    <n v="848000"/>
    <n v="178200"/>
    <n v="8.25"/>
    <n v="16200"/>
    <n v="66"/>
    <n v="829"/>
    <x v="1"/>
    <x v="1"/>
    <x v="1"/>
    <n v="30"/>
    <n v="10416.66"/>
  </r>
  <r>
    <x v="515"/>
    <s v="Priya Singh"/>
    <n v="27"/>
    <x v="0"/>
    <x v="2"/>
    <x v="1"/>
    <x v="1"/>
    <d v="2025-08-29T00:00:00"/>
    <d v="2025-09-29T00:00:00"/>
    <n v="2988000"/>
    <n v="249000"/>
    <n v="3188000"/>
    <n v="821700"/>
    <n v="5.09"/>
    <n v="74700"/>
    <n v="48"/>
    <n v="622"/>
    <x v="1"/>
    <x v="1"/>
    <x v="1"/>
    <n v="30"/>
    <n v="6740.22"/>
  </r>
  <r>
    <x v="516"/>
    <s v="Pooja Joshi"/>
    <n v="44"/>
    <x v="0"/>
    <x v="2"/>
    <x v="1"/>
    <x v="1"/>
    <d v="2025-08-30T00:00:00"/>
    <d v="2025-09-30T00:00:00"/>
    <n v="8448000"/>
    <n v="704000"/>
    <n v="8648000"/>
    <n v="2323200"/>
    <n v="7.06"/>
    <n v="211200"/>
    <n v="47"/>
    <n v="655"/>
    <x v="0"/>
    <x v="0"/>
    <x v="0"/>
    <n v="30"/>
    <n v="8977.48"/>
  </r>
  <r>
    <x v="517"/>
    <s v="Kavya Kumar"/>
    <n v="44"/>
    <x v="0"/>
    <x v="2"/>
    <x v="0"/>
    <x v="1"/>
    <d v="2025-08-31T00:00:00"/>
    <d v="2025-09-30T00:00:00"/>
    <n v="5544000"/>
    <n v="462000"/>
    <n v="5744000"/>
    <n v="1524600"/>
    <n v="7.56"/>
    <n v="138600"/>
    <n v="49"/>
    <n v="747"/>
    <x v="1"/>
    <x v="1"/>
    <x v="1"/>
    <n v="30"/>
    <n v="18964.14"/>
  </r>
  <r>
    <x v="518"/>
    <s v="Priya Gupta"/>
    <n v="29"/>
    <x v="0"/>
    <x v="4"/>
    <x v="3"/>
    <x v="1"/>
    <d v="2025-09-01T00:00:00"/>
    <d v="2025-10-01T00:00:00"/>
    <n v="3660000"/>
    <n v="305000"/>
    <n v="3860000"/>
    <n v="915000"/>
    <n v="7.48"/>
    <n v="91500"/>
    <n v="50"/>
    <n v="607"/>
    <x v="1"/>
    <x v="1"/>
    <x v="1"/>
    <n v="30"/>
    <n v="11996.04"/>
  </r>
  <r>
    <x v="519"/>
    <s v="Ishaan Joshi"/>
    <n v="25"/>
    <x v="0"/>
    <x v="0"/>
    <x v="4"/>
    <x v="1"/>
    <d v="2025-09-02T00:00:00"/>
    <d v="2025-10-02T00:00:00"/>
    <n v="3852000"/>
    <n v="321000"/>
    <n v="4052000"/>
    <n v="963000"/>
    <n v="9.26"/>
    <n v="96300"/>
    <n v="52"/>
    <n v="682"/>
    <x v="0"/>
    <x v="0"/>
    <x v="0"/>
    <n v="30"/>
    <n v="35527.550000000003"/>
  </r>
  <r>
    <x v="520"/>
    <s v="Neha Gupta"/>
    <n v="39"/>
    <x v="0"/>
    <x v="0"/>
    <x v="4"/>
    <x v="1"/>
    <d v="2025-09-03T00:00:00"/>
    <d v="2025-10-03T00:00:00"/>
    <n v="2748000"/>
    <n v="229000"/>
    <n v="2948000"/>
    <n v="687000"/>
    <n v="9.68"/>
    <n v="68700"/>
    <n v="53"/>
    <n v="673"/>
    <x v="1"/>
    <x v="1"/>
    <x v="1"/>
    <n v="30"/>
    <n v="45831.14"/>
  </r>
  <r>
    <x v="521"/>
    <s v="Priya Mehta"/>
    <n v="28"/>
    <x v="0"/>
    <x v="1"/>
    <x v="0"/>
    <x v="1"/>
    <d v="2025-09-04T00:00:00"/>
    <d v="2025-10-04T00:00:00"/>
    <n v="4800000"/>
    <n v="400000"/>
    <n v="5000000"/>
    <n v="1200000"/>
    <n v="5.6"/>
    <n v="120000"/>
    <n v="47"/>
    <n v="789"/>
    <x v="1"/>
    <x v="1"/>
    <x v="1"/>
    <n v="30"/>
    <n v="21174.92"/>
  </r>
  <r>
    <x v="522"/>
    <s v="Ritika Gupta"/>
    <n v="58"/>
    <x v="0"/>
    <x v="1"/>
    <x v="0"/>
    <x v="1"/>
    <d v="2025-09-05T00:00:00"/>
    <d v="2025-10-05T00:00:00"/>
    <n v="8724000"/>
    <n v="727000"/>
    <n v="8924000"/>
    <n v="2181000"/>
    <n v="8.24"/>
    <n v="218100"/>
    <n v="49"/>
    <n v="634"/>
    <x v="1"/>
    <x v="1"/>
    <x v="1"/>
    <n v="30"/>
    <n v="21219.91"/>
  </r>
  <r>
    <x v="523"/>
    <s v="Aisha Patel"/>
    <n v="50"/>
    <x v="0"/>
    <x v="4"/>
    <x v="2"/>
    <x v="1"/>
    <d v="2025-09-06T00:00:00"/>
    <d v="2025-10-06T00:00:00"/>
    <n v="2184000"/>
    <n v="182000"/>
    <n v="2384000"/>
    <n v="546000"/>
    <n v="6.39"/>
    <n v="54600"/>
    <n v="50"/>
    <n v="676"/>
    <x v="1"/>
    <x v="1"/>
    <x v="1"/>
    <n v="30"/>
    <n v="16313.99"/>
  </r>
  <r>
    <x v="524"/>
    <s v="Pooja Gupta"/>
    <n v="36"/>
    <x v="0"/>
    <x v="3"/>
    <x v="3"/>
    <x v="1"/>
    <d v="2025-09-07T00:00:00"/>
    <d v="2025-10-07T00:00:00"/>
    <n v="2796000"/>
    <n v="233000"/>
    <n v="2996000"/>
    <n v="699000"/>
    <n v="6.05"/>
    <n v="69900"/>
    <n v="49"/>
    <n v="734"/>
    <x v="0"/>
    <x v="0"/>
    <x v="0"/>
    <n v="30"/>
    <n v="12352.18"/>
  </r>
  <r>
    <x v="525"/>
    <s v="Rahul Mehta"/>
    <n v="46"/>
    <x v="1"/>
    <x v="4"/>
    <x v="1"/>
    <x v="1"/>
    <d v="2025-09-08T00:00:00"/>
    <d v="2025-10-08T00:00:00"/>
    <n v="1536000"/>
    <n v="128000"/>
    <n v="1736000"/>
    <n v="384000"/>
    <n v="7.78"/>
    <n v="38400"/>
    <n v="54"/>
    <n v="758"/>
    <x v="1"/>
    <x v="1"/>
    <x v="1"/>
    <n v="30"/>
    <n v="21717.06"/>
  </r>
  <r>
    <x v="526"/>
    <s v="Arjun Gupta"/>
    <n v="47"/>
    <x v="0"/>
    <x v="0"/>
    <x v="4"/>
    <x v="1"/>
    <d v="2025-09-09T00:00:00"/>
    <d v="2025-10-09T00:00:00"/>
    <n v="5628000"/>
    <n v="469000"/>
    <n v="5828000"/>
    <n v="1407000"/>
    <n v="8.91"/>
    <n v="140700"/>
    <n v="50"/>
    <n v="722"/>
    <x v="0"/>
    <x v="0"/>
    <x v="0"/>
    <n v="30"/>
    <n v="24153.01"/>
  </r>
  <r>
    <x v="527"/>
    <s v="Karan Nair"/>
    <n v="32"/>
    <x v="0"/>
    <x v="4"/>
    <x v="4"/>
    <x v="1"/>
    <d v="2025-09-10T00:00:00"/>
    <d v="2025-10-10T00:00:00"/>
    <n v="5436000"/>
    <n v="453000"/>
    <n v="5636000"/>
    <n v="1359000"/>
    <n v="6.48"/>
    <n v="135900"/>
    <n v="48"/>
    <n v="653"/>
    <x v="1"/>
    <x v="1"/>
    <x v="1"/>
    <n v="30"/>
    <n v="11854.71"/>
  </r>
  <r>
    <x v="528"/>
    <s v="Meera Singh"/>
    <n v="46"/>
    <x v="0"/>
    <x v="3"/>
    <x v="0"/>
    <x v="1"/>
    <d v="2025-09-11T00:00:00"/>
    <d v="2025-10-11T00:00:00"/>
    <n v="8208000"/>
    <n v="684000"/>
    <n v="8408000"/>
    <n v="2052000"/>
    <n v="8.4"/>
    <n v="205200"/>
    <n v="49"/>
    <n v="720"/>
    <x v="1"/>
    <x v="1"/>
    <x v="1"/>
    <n v="30"/>
    <n v="13647.66"/>
  </r>
  <r>
    <x v="529"/>
    <s v="Ananya Gupta"/>
    <n v="25"/>
    <x v="0"/>
    <x v="4"/>
    <x v="4"/>
    <x v="1"/>
    <d v="2025-09-12T00:00:00"/>
    <d v="2025-10-12T00:00:00"/>
    <n v="2124000"/>
    <n v="177000"/>
    <n v="2324000"/>
    <n v="531000"/>
    <n v="8.32"/>
    <n v="53100"/>
    <n v="53"/>
    <n v="657"/>
    <x v="1"/>
    <x v="1"/>
    <x v="1"/>
    <n v="30"/>
    <n v="16068.4"/>
  </r>
  <r>
    <x v="530"/>
    <s v="Ritika Patel"/>
    <n v="30"/>
    <x v="0"/>
    <x v="4"/>
    <x v="3"/>
    <x v="1"/>
    <d v="2025-09-13T00:00:00"/>
    <d v="2025-10-13T00:00:00"/>
    <n v="8952000"/>
    <n v="746000"/>
    <n v="9152000"/>
    <n v="2238000"/>
    <n v="9.9"/>
    <n v="223800"/>
    <n v="51"/>
    <n v="756"/>
    <x v="0"/>
    <x v="0"/>
    <x v="0"/>
    <n v="30"/>
    <n v="32706.02"/>
  </r>
  <r>
    <x v="531"/>
    <s v="Aryan Mehta"/>
    <n v="23"/>
    <x v="1"/>
    <x v="3"/>
    <x v="3"/>
    <x v="1"/>
    <d v="2025-09-14T00:00:00"/>
    <d v="2025-10-14T00:00:00"/>
    <n v="1896000"/>
    <n v="158000"/>
    <n v="2096000"/>
    <n v="474000"/>
    <n v="8.3000000000000007"/>
    <n v="47400"/>
    <n v="53"/>
    <n v="769"/>
    <x v="1"/>
    <x v="1"/>
    <x v="1"/>
    <n v="30"/>
    <n v="11142.75"/>
  </r>
  <r>
    <x v="532"/>
    <s v="Vivaan Singh"/>
    <n v="32"/>
    <x v="1"/>
    <x v="0"/>
    <x v="1"/>
    <x v="1"/>
    <d v="2025-09-15T00:00:00"/>
    <d v="2025-10-15T00:00:00"/>
    <n v="2532000"/>
    <n v="211000"/>
    <n v="2732000"/>
    <n v="633000"/>
    <n v="6.1"/>
    <n v="63300"/>
    <n v="49"/>
    <n v="812"/>
    <x v="1"/>
    <x v="1"/>
    <x v="1"/>
    <n v="30"/>
    <n v="24694.95"/>
  </r>
  <r>
    <x v="533"/>
    <s v="Sanya Yadav"/>
    <n v="39"/>
    <x v="1"/>
    <x v="3"/>
    <x v="3"/>
    <x v="1"/>
    <d v="2025-09-16T00:00:00"/>
    <d v="2025-10-16T00:00:00"/>
    <n v="6276000"/>
    <n v="523000"/>
    <n v="6476000"/>
    <n v="1569000"/>
    <n v="5.13"/>
    <n v="156900"/>
    <n v="46"/>
    <n v="828"/>
    <x v="1"/>
    <x v="1"/>
    <x v="1"/>
    <n v="30"/>
    <n v="11397.21"/>
  </r>
  <r>
    <x v="534"/>
    <s v="Ritika Singh"/>
    <n v="54"/>
    <x v="0"/>
    <x v="5"/>
    <x v="3"/>
    <x v="1"/>
    <d v="2025-09-17T00:00:00"/>
    <d v="2025-10-17T00:00:00"/>
    <n v="1092000"/>
    <n v="91000"/>
    <n v="1292000"/>
    <n v="273000"/>
    <n v="8.36"/>
    <n v="27300"/>
    <n v="58"/>
    <n v="849"/>
    <x v="1"/>
    <x v="1"/>
    <x v="1"/>
    <n v="30"/>
    <n v="16120.27"/>
  </r>
  <r>
    <x v="535"/>
    <s v="Vivaan Patel"/>
    <n v="29"/>
    <x v="1"/>
    <x v="0"/>
    <x v="2"/>
    <x v="1"/>
    <d v="2025-09-18T00:00:00"/>
    <d v="2025-10-18T00:00:00"/>
    <n v="4524000"/>
    <n v="377000"/>
    <n v="4724000"/>
    <n v="1131000"/>
    <n v="7.3"/>
    <n v="113100"/>
    <n v="49"/>
    <n v="779"/>
    <x v="1"/>
    <x v="1"/>
    <x v="1"/>
    <n v="30"/>
    <n v="31491.759999999998"/>
  </r>
  <r>
    <x v="536"/>
    <s v="Ananya Verma"/>
    <n v="32"/>
    <x v="1"/>
    <x v="1"/>
    <x v="0"/>
    <x v="1"/>
    <d v="2025-09-19T00:00:00"/>
    <d v="2025-10-19T00:00:00"/>
    <n v="4584000"/>
    <n v="382000"/>
    <n v="4784000"/>
    <n v="1146000"/>
    <n v="9.16"/>
    <n v="114600"/>
    <n v="51"/>
    <n v="613"/>
    <x v="0"/>
    <x v="0"/>
    <x v="0"/>
    <n v="30"/>
    <n v="10267.61"/>
  </r>
  <r>
    <x v="537"/>
    <s v="Ananya Patel"/>
    <n v="60"/>
    <x v="0"/>
    <x v="5"/>
    <x v="3"/>
    <x v="1"/>
    <d v="2025-09-20T00:00:00"/>
    <d v="2025-10-20T00:00:00"/>
    <n v="996000"/>
    <n v="83000"/>
    <n v="1196000"/>
    <n v="249000"/>
    <n v="8.2100000000000009"/>
    <n v="24900"/>
    <n v="59"/>
    <n v="780"/>
    <x v="1"/>
    <x v="1"/>
    <x v="1"/>
    <n v="30"/>
    <n v="29164.89"/>
  </r>
  <r>
    <x v="538"/>
    <s v="Ananya Kumar"/>
    <n v="36"/>
    <x v="0"/>
    <x v="3"/>
    <x v="4"/>
    <x v="1"/>
    <d v="2025-09-21T00:00:00"/>
    <d v="2025-10-21T00:00:00"/>
    <n v="7140000"/>
    <n v="595000"/>
    <n v="7340000"/>
    <n v="1785000"/>
    <n v="5.9"/>
    <n v="178500"/>
    <n v="47"/>
    <n v="632"/>
    <x v="1"/>
    <x v="1"/>
    <x v="1"/>
    <n v="30"/>
    <n v="27898.22"/>
  </r>
  <r>
    <x v="539"/>
    <s v="Aarav Kumar"/>
    <n v="34"/>
    <x v="0"/>
    <x v="5"/>
    <x v="3"/>
    <x v="1"/>
    <d v="2025-09-22T00:00:00"/>
    <d v="2025-10-22T00:00:00"/>
    <n v="7260000"/>
    <n v="605000"/>
    <n v="7460000"/>
    <n v="1815000"/>
    <n v="8.14"/>
    <n v="181500"/>
    <n v="49"/>
    <n v="782"/>
    <x v="1"/>
    <x v="1"/>
    <x v="1"/>
    <n v="30"/>
    <n v="21287.86"/>
  </r>
  <r>
    <x v="540"/>
    <s v="Ishaan Kumar"/>
    <n v="48"/>
    <x v="1"/>
    <x v="1"/>
    <x v="3"/>
    <x v="1"/>
    <d v="2025-09-23T00:00:00"/>
    <d v="2025-10-23T00:00:00"/>
    <n v="4656000"/>
    <n v="388000"/>
    <n v="4856000"/>
    <n v="1164000"/>
    <n v="5.12"/>
    <n v="116400"/>
    <n v="47"/>
    <n v="748"/>
    <x v="0"/>
    <x v="0"/>
    <x v="0"/>
    <n v="30"/>
    <n v="18837.7"/>
  </r>
  <r>
    <x v="541"/>
    <s v="Sneha Nair"/>
    <n v="27"/>
    <x v="0"/>
    <x v="1"/>
    <x v="0"/>
    <x v="1"/>
    <d v="2025-09-24T00:00:00"/>
    <d v="2025-10-24T00:00:00"/>
    <n v="8388000"/>
    <n v="699000"/>
    <n v="8588000"/>
    <n v="2097000"/>
    <n v="8.8800000000000008"/>
    <n v="209700"/>
    <n v="49"/>
    <n v="705"/>
    <x v="1"/>
    <x v="1"/>
    <x v="1"/>
    <n v="30"/>
    <n v="32312.47"/>
  </r>
  <r>
    <x v="542"/>
    <s v="Ritika Mehta"/>
    <n v="37"/>
    <x v="0"/>
    <x v="5"/>
    <x v="0"/>
    <x v="1"/>
    <d v="2025-09-25T00:00:00"/>
    <d v="2025-10-25T00:00:00"/>
    <n v="4224000"/>
    <n v="352000"/>
    <n v="4424000"/>
    <n v="1056000"/>
    <n v="5.67"/>
    <n v="105600"/>
    <n v="47"/>
    <n v="604"/>
    <x v="0"/>
    <x v="0"/>
    <x v="0"/>
    <n v="30"/>
    <n v="27726.52"/>
  </r>
  <r>
    <x v="543"/>
    <s v="Rohan Yadav"/>
    <n v="33"/>
    <x v="0"/>
    <x v="0"/>
    <x v="0"/>
    <x v="1"/>
    <d v="2025-09-26T00:00:00"/>
    <d v="2025-10-26T00:00:00"/>
    <n v="5400000"/>
    <n v="450000"/>
    <n v="5600000"/>
    <n v="1350000"/>
    <n v="6.99"/>
    <n v="135000"/>
    <n v="48"/>
    <n v="722"/>
    <x v="1"/>
    <x v="1"/>
    <x v="1"/>
    <n v="30"/>
    <n v="9920.08"/>
  </r>
  <r>
    <x v="544"/>
    <s v="Arjun Mehta"/>
    <n v="38"/>
    <x v="1"/>
    <x v="0"/>
    <x v="4"/>
    <x v="1"/>
    <d v="2025-09-27T00:00:00"/>
    <d v="2025-10-27T00:00:00"/>
    <n v="5472000"/>
    <n v="456000"/>
    <n v="5672000"/>
    <n v="1368000"/>
    <n v="7.48"/>
    <n v="136800"/>
    <n v="49"/>
    <n v="680"/>
    <x v="1"/>
    <x v="1"/>
    <x v="1"/>
    <n v="30"/>
    <n v="11161.94"/>
  </r>
  <r>
    <x v="545"/>
    <s v="Sanya Nair"/>
    <n v="39"/>
    <x v="1"/>
    <x v="2"/>
    <x v="2"/>
    <x v="1"/>
    <d v="2025-09-28T00:00:00"/>
    <d v="2025-10-28T00:00:00"/>
    <n v="8352000"/>
    <n v="696000"/>
    <n v="8552000"/>
    <n v="2088000"/>
    <n v="7.34"/>
    <n v="208800"/>
    <n v="48"/>
    <n v="687"/>
    <x v="1"/>
    <x v="1"/>
    <x v="1"/>
    <n v="30"/>
    <n v="18212.259999999998"/>
  </r>
  <r>
    <x v="546"/>
    <s v="Pooja Kumar"/>
    <n v="34"/>
    <x v="0"/>
    <x v="0"/>
    <x v="3"/>
    <x v="1"/>
    <d v="2025-09-29T00:00:00"/>
    <d v="2025-10-29T00:00:00"/>
    <n v="8664000"/>
    <n v="722000"/>
    <n v="8864000"/>
    <n v="2166000"/>
    <n v="9.42"/>
    <n v="216600"/>
    <n v="50"/>
    <n v="769"/>
    <x v="0"/>
    <x v="0"/>
    <x v="0"/>
    <n v="30"/>
    <n v="12754.79"/>
  </r>
  <r>
    <x v="547"/>
    <s v="Rohan Patel"/>
    <n v="42"/>
    <x v="1"/>
    <x v="4"/>
    <x v="4"/>
    <x v="1"/>
    <d v="2025-09-30T00:00:00"/>
    <d v="2025-10-30T00:00:00"/>
    <n v="8100000"/>
    <n v="675000"/>
    <n v="8300000"/>
    <n v="2025000"/>
    <n v="6.17"/>
    <n v="202500"/>
    <n v="47"/>
    <n v="846"/>
    <x v="0"/>
    <x v="0"/>
    <x v="0"/>
    <n v="30"/>
    <n v="14060.31"/>
  </r>
  <r>
    <x v="548"/>
    <s v="Ananya Patel"/>
    <n v="24"/>
    <x v="0"/>
    <x v="2"/>
    <x v="0"/>
    <x v="1"/>
    <d v="2025-10-01T00:00:00"/>
    <d v="2025-11-01T00:00:00"/>
    <n v="4284000"/>
    <n v="357000"/>
    <n v="4484000"/>
    <n v="963900"/>
    <n v="5.43"/>
    <n v="107100"/>
    <n v="47"/>
    <n v="789"/>
    <x v="0"/>
    <x v="0"/>
    <x v="0"/>
    <n v="30"/>
    <n v="8601.17"/>
  </r>
  <r>
    <x v="549"/>
    <s v="Ritika Verma"/>
    <n v="29"/>
    <x v="0"/>
    <x v="5"/>
    <x v="3"/>
    <x v="1"/>
    <d v="2025-10-02T00:00:00"/>
    <d v="2025-11-02T00:00:00"/>
    <n v="5100000"/>
    <n v="425000"/>
    <n v="5300000"/>
    <n v="1147500"/>
    <n v="7.84"/>
    <n v="127500"/>
    <n v="49"/>
    <n v="782"/>
    <x v="1"/>
    <x v="1"/>
    <x v="1"/>
    <n v="30"/>
    <n v="37176.92"/>
  </r>
  <r>
    <x v="550"/>
    <s v="Sneha Singh"/>
    <n v="55"/>
    <x v="1"/>
    <x v="3"/>
    <x v="2"/>
    <x v="1"/>
    <d v="2025-10-03T00:00:00"/>
    <d v="2025-11-03T00:00:00"/>
    <n v="5352000"/>
    <n v="446000"/>
    <n v="5552000"/>
    <n v="1204200"/>
    <n v="8.73"/>
    <n v="133800"/>
    <n v="50"/>
    <n v="809"/>
    <x v="1"/>
    <x v="1"/>
    <x v="1"/>
    <n v="30"/>
    <n v="12230.89"/>
  </r>
  <r>
    <x v="551"/>
    <s v="Rohan Singh"/>
    <n v="22"/>
    <x v="1"/>
    <x v="1"/>
    <x v="3"/>
    <x v="1"/>
    <d v="2025-10-04T00:00:00"/>
    <d v="2025-11-04T00:00:00"/>
    <n v="6696000"/>
    <n v="558000"/>
    <n v="6896000"/>
    <n v="1506600"/>
    <n v="5.49"/>
    <n v="167400"/>
    <n v="46"/>
    <n v="833"/>
    <x v="1"/>
    <x v="1"/>
    <x v="1"/>
    <n v="30"/>
    <n v="22987.119999999999"/>
  </r>
  <r>
    <x v="552"/>
    <s v="Kavya Singh"/>
    <n v="45"/>
    <x v="1"/>
    <x v="2"/>
    <x v="0"/>
    <x v="1"/>
    <d v="2025-10-05T00:00:00"/>
    <d v="2025-11-05T00:00:00"/>
    <n v="1668000"/>
    <n v="139000"/>
    <n v="1868000"/>
    <n v="375300"/>
    <n v="6.94"/>
    <n v="41700"/>
    <n v="52"/>
    <n v="652"/>
    <x v="0"/>
    <x v="0"/>
    <x v="0"/>
    <n v="30"/>
    <n v="21340.080000000002"/>
  </r>
  <r>
    <x v="553"/>
    <s v="Aisha Sharma"/>
    <n v="37"/>
    <x v="1"/>
    <x v="0"/>
    <x v="0"/>
    <x v="1"/>
    <d v="2025-10-06T00:00:00"/>
    <d v="2025-11-06T00:00:00"/>
    <n v="2196000"/>
    <n v="183000"/>
    <n v="2396000"/>
    <n v="494100"/>
    <n v="5.28"/>
    <n v="54900"/>
    <n v="49"/>
    <n v="830"/>
    <x v="1"/>
    <x v="1"/>
    <x v="1"/>
    <n v="30"/>
    <n v="13796.75"/>
  </r>
  <r>
    <x v="554"/>
    <s v="Pooja Gupta"/>
    <n v="54"/>
    <x v="0"/>
    <x v="0"/>
    <x v="3"/>
    <x v="1"/>
    <d v="2025-10-07T00:00:00"/>
    <d v="2025-11-07T00:00:00"/>
    <n v="5928000"/>
    <n v="494000"/>
    <n v="6128000"/>
    <n v="1333800"/>
    <n v="6.75"/>
    <n v="148200"/>
    <n v="48"/>
    <n v="691"/>
    <x v="0"/>
    <x v="0"/>
    <x v="0"/>
    <n v="30"/>
    <n v="19739.939999999999"/>
  </r>
  <r>
    <x v="555"/>
    <s v="Arjun Nair"/>
    <n v="32"/>
    <x v="0"/>
    <x v="3"/>
    <x v="0"/>
    <x v="1"/>
    <d v="2025-10-08T00:00:00"/>
    <d v="2025-11-08T00:00:00"/>
    <n v="2376000"/>
    <n v="198000"/>
    <n v="2576000"/>
    <n v="534600"/>
    <n v="7.46"/>
    <n v="59400"/>
    <n v="51"/>
    <n v="741"/>
    <x v="1"/>
    <x v="1"/>
    <x v="1"/>
    <n v="30"/>
    <n v="27350.959999999999"/>
  </r>
  <r>
    <x v="556"/>
    <s v="Priya Sharma"/>
    <n v="34"/>
    <x v="1"/>
    <x v="4"/>
    <x v="1"/>
    <x v="1"/>
    <d v="2025-10-09T00:00:00"/>
    <d v="2025-11-09T00:00:00"/>
    <n v="2652000"/>
    <n v="221000"/>
    <n v="2852000"/>
    <n v="596700"/>
    <n v="5.42"/>
    <n v="66300"/>
    <n v="48"/>
    <n v="679"/>
    <x v="1"/>
    <x v="1"/>
    <x v="1"/>
    <n v="30"/>
    <n v="9769.19"/>
  </r>
  <r>
    <x v="557"/>
    <s v="Sneha Gupta"/>
    <n v="24"/>
    <x v="0"/>
    <x v="3"/>
    <x v="4"/>
    <x v="1"/>
    <d v="2025-10-10T00:00:00"/>
    <d v="2025-11-10T00:00:00"/>
    <n v="7152000"/>
    <n v="596000"/>
    <n v="7352000"/>
    <n v="1609200"/>
    <n v="7.15"/>
    <n v="178800"/>
    <n v="48"/>
    <n v="767"/>
    <x v="1"/>
    <x v="1"/>
    <x v="1"/>
    <n v="30"/>
    <n v="26676.76"/>
  </r>
  <r>
    <x v="558"/>
    <s v="Priya Singh"/>
    <n v="40"/>
    <x v="1"/>
    <x v="5"/>
    <x v="4"/>
    <x v="1"/>
    <d v="2025-10-11T00:00:00"/>
    <d v="2025-11-11T00:00:00"/>
    <n v="1956000"/>
    <n v="163000"/>
    <n v="2156000"/>
    <n v="440100"/>
    <n v="6.14"/>
    <n v="48900"/>
    <n v="51"/>
    <n v="655"/>
    <x v="0"/>
    <x v="0"/>
    <x v="0"/>
    <n v="30"/>
    <n v="21703.35"/>
  </r>
  <r>
    <x v="559"/>
    <s v="Aarav Nair"/>
    <n v="34"/>
    <x v="1"/>
    <x v="5"/>
    <x v="4"/>
    <x v="1"/>
    <d v="2025-10-12T00:00:00"/>
    <d v="2025-11-12T00:00:00"/>
    <n v="1704000"/>
    <n v="142000"/>
    <n v="1904000"/>
    <n v="383400"/>
    <n v="6.28"/>
    <n v="42600"/>
    <n v="52"/>
    <n v="762"/>
    <x v="1"/>
    <x v="1"/>
    <x v="1"/>
    <n v="30"/>
    <n v="17999.919999999998"/>
  </r>
  <r>
    <x v="560"/>
    <s v="Aryan Singh"/>
    <n v="22"/>
    <x v="0"/>
    <x v="5"/>
    <x v="0"/>
    <x v="1"/>
    <d v="2025-10-13T00:00:00"/>
    <d v="2025-11-13T00:00:00"/>
    <n v="7116000"/>
    <n v="593000"/>
    <n v="7316000"/>
    <n v="1601100"/>
    <n v="8.49"/>
    <n v="177900"/>
    <n v="49"/>
    <n v="754"/>
    <x v="1"/>
    <x v="1"/>
    <x v="1"/>
    <n v="30"/>
    <n v="16157"/>
  </r>
  <r>
    <x v="561"/>
    <s v="Aarav Nair"/>
    <n v="51"/>
    <x v="1"/>
    <x v="5"/>
    <x v="1"/>
    <x v="1"/>
    <d v="2025-10-14T00:00:00"/>
    <d v="2025-11-14T00:00:00"/>
    <n v="1944000"/>
    <n v="162000"/>
    <n v="2144000"/>
    <n v="437400"/>
    <n v="7.14"/>
    <n v="48600"/>
    <n v="52"/>
    <n v="846"/>
    <x v="1"/>
    <x v="1"/>
    <x v="1"/>
    <n v="30"/>
    <n v="24798.05"/>
  </r>
  <r>
    <x v="562"/>
    <s v="Aisha Singh"/>
    <n v="40"/>
    <x v="1"/>
    <x v="1"/>
    <x v="0"/>
    <x v="1"/>
    <d v="2025-10-15T00:00:00"/>
    <d v="2025-11-15T00:00:00"/>
    <n v="6468000"/>
    <n v="539000"/>
    <n v="6668000"/>
    <n v="1455300"/>
    <n v="7.6"/>
    <n v="161700"/>
    <n v="48"/>
    <n v="838"/>
    <x v="0"/>
    <x v="0"/>
    <x v="0"/>
    <n v="30"/>
    <n v="19426.419999999998"/>
  </r>
  <r>
    <x v="563"/>
    <s v="Aisha Kumar"/>
    <n v="44"/>
    <x v="1"/>
    <x v="4"/>
    <x v="4"/>
    <x v="1"/>
    <d v="2025-10-16T00:00:00"/>
    <d v="2025-11-16T00:00:00"/>
    <n v="8604000"/>
    <n v="717000"/>
    <n v="8804000"/>
    <n v="1935900"/>
    <n v="5.32"/>
    <n v="215100"/>
    <n v="46"/>
    <n v="633"/>
    <x v="1"/>
    <x v="1"/>
    <x v="1"/>
    <n v="30"/>
    <n v="8228.69"/>
  </r>
  <r>
    <x v="564"/>
    <s v="Diya Yadav"/>
    <n v="50"/>
    <x v="0"/>
    <x v="3"/>
    <x v="2"/>
    <x v="1"/>
    <d v="2025-10-17T00:00:00"/>
    <d v="2025-11-17T00:00:00"/>
    <n v="4536000"/>
    <n v="378000"/>
    <n v="4736000"/>
    <n v="1020600"/>
    <n v="7.14"/>
    <n v="113400"/>
    <n v="49"/>
    <n v="813"/>
    <x v="1"/>
    <x v="1"/>
    <x v="1"/>
    <n v="30"/>
    <n v="27059.360000000001"/>
  </r>
  <r>
    <x v="565"/>
    <s v="Sanya Sharma"/>
    <n v="44"/>
    <x v="0"/>
    <x v="3"/>
    <x v="3"/>
    <x v="1"/>
    <d v="2025-10-18T00:00:00"/>
    <d v="2025-11-18T00:00:00"/>
    <n v="2232000"/>
    <n v="186000"/>
    <n v="2432000"/>
    <n v="502200"/>
    <n v="5.89"/>
    <n v="55800"/>
    <n v="50"/>
    <n v="756"/>
    <x v="0"/>
    <x v="0"/>
    <x v="0"/>
    <n v="30"/>
    <n v="19833.14"/>
  </r>
  <r>
    <x v="566"/>
    <s v="Kavya Gupta"/>
    <n v="46"/>
    <x v="1"/>
    <x v="1"/>
    <x v="1"/>
    <x v="1"/>
    <d v="2025-10-19T00:00:00"/>
    <d v="2025-11-19T00:00:00"/>
    <n v="2256000"/>
    <n v="188000"/>
    <n v="2456000"/>
    <n v="507600"/>
    <n v="9.66"/>
    <n v="56400"/>
    <n v="54"/>
    <n v="668"/>
    <x v="0"/>
    <x v="0"/>
    <x v="0"/>
    <n v="30"/>
    <n v="34816.239999999998"/>
  </r>
  <r>
    <x v="567"/>
    <s v="Rohan Singh"/>
    <n v="41"/>
    <x v="0"/>
    <x v="4"/>
    <x v="4"/>
    <x v="1"/>
    <d v="2025-10-20T00:00:00"/>
    <d v="2025-11-20T00:00:00"/>
    <n v="1200000"/>
    <n v="100000"/>
    <n v="1400000"/>
    <n v="270000"/>
    <n v="9.61"/>
    <n v="30000"/>
    <n v="59"/>
    <n v="622"/>
    <x v="1"/>
    <x v="1"/>
    <x v="1"/>
    <n v="30"/>
    <n v="42209.29"/>
  </r>
  <r>
    <x v="568"/>
    <s v="Vivaan Gupta"/>
    <n v="32"/>
    <x v="0"/>
    <x v="3"/>
    <x v="0"/>
    <x v="1"/>
    <d v="2025-10-21T00:00:00"/>
    <d v="2025-11-21T00:00:00"/>
    <n v="6384000"/>
    <n v="532000"/>
    <n v="6584000"/>
    <n v="1436400"/>
    <n v="9.1300000000000008"/>
    <n v="159600"/>
    <n v="50"/>
    <n v="830"/>
    <x v="1"/>
    <x v="1"/>
    <x v="1"/>
    <n v="30"/>
    <n v="24422.22"/>
  </r>
  <r>
    <x v="569"/>
    <s v="Ishaan Gupta"/>
    <n v="24"/>
    <x v="1"/>
    <x v="1"/>
    <x v="2"/>
    <x v="1"/>
    <d v="2025-10-22T00:00:00"/>
    <d v="2025-11-22T00:00:00"/>
    <n v="6480000"/>
    <n v="540000"/>
    <n v="6680000"/>
    <n v="1458000"/>
    <n v="7.06"/>
    <n v="162000"/>
    <n v="48"/>
    <n v="810"/>
    <x v="1"/>
    <x v="1"/>
    <x v="1"/>
    <n v="30"/>
    <n v="9088.51"/>
  </r>
  <r>
    <x v="570"/>
    <s v="Aarav Mehta"/>
    <n v="43"/>
    <x v="0"/>
    <x v="1"/>
    <x v="4"/>
    <x v="1"/>
    <d v="2025-10-23T00:00:00"/>
    <d v="2025-11-23T00:00:00"/>
    <n v="7896000"/>
    <n v="658000"/>
    <n v="8096000"/>
    <n v="1776600"/>
    <n v="6.07"/>
    <n v="197400"/>
    <n v="47"/>
    <n v="610"/>
    <x v="1"/>
    <x v="1"/>
    <x v="1"/>
    <n v="30"/>
    <n v="17622.82"/>
  </r>
  <r>
    <x v="571"/>
    <s v="Vivaan Nair"/>
    <n v="49"/>
    <x v="0"/>
    <x v="5"/>
    <x v="0"/>
    <x v="1"/>
    <d v="2025-10-24T00:00:00"/>
    <d v="2025-11-24T00:00:00"/>
    <n v="3324000"/>
    <n v="277000"/>
    <n v="3524000"/>
    <n v="747900"/>
    <n v="6.16"/>
    <n v="83100"/>
    <n v="48"/>
    <n v="721"/>
    <x v="0"/>
    <x v="0"/>
    <x v="0"/>
    <n v="30"/>
    <n v="11421.16"/>
  </r>
  <r>
    <x v="572"/>
    <s v="Ananya Sharma"/>
    <n v="22"/>
    <x v="0"/>
    <x v="0"/>
    <x v="4"/>
    <x v="1"/>
    <d v="2025-10-25T00:00:00"/>
    <d v="2025-11-25T00:00:00"/>
    <n v="2208000"/>
    <n v="184000"/>
    <n v="2408000"/>
    <n v="496800"/>
    <n v="8.3000000000000007"/>
    <n v="55200"/>
    <n v="53"/>
    <n v="771"/>
    <x v="1"/>
    <x v="1"/>
    <x v="1"/>
    <n v="30"/>
    <n v="11854.24"/>
  </r>
  <r>
    <x v="573"/>
    <s v="Aditya Yadav"/>
    <n v="25"/>
    <x v="1"/>
    <x v="3"/>
    <x v="2"/>
    <x v="1"/>
    <d v="2025-10-26T00:00:00"/>
    <d v="2025-11-26T00:00:00"/>
    <n v="5508000"/>
    <n v="459000"/>
    <n v="5708000"/>
    <n v="1239300"/>
    <n v="5.87"/>
    <n v="137700"/>
    <n v="47"/>
    <n v="785"/>
    <x v="1"/>
    <x v="1"/>
    <x v="1"/>
    <n v="30"/>
    <n v="26490.560000000001"/>
  </r>
  <r>
    <x v="574"/>
    <s v="Vivaan Gupta"/>
    <n v="60"/>
    <x v="0"/>
    <x v="1"/>
    <x v="4"/>
    <x v="1"/>
    <d v="2025-10-27T00:00:00"/>
    <d v="2025-11-27T00:00:00"/>
    <n v="2016000"/>
    <n v="168000"/>
    <n v="2216000"/>
    <n v="453600"/>
    <n v="5.56"/>
    <n v="50400"/>
    <n v="50"/>
    <n v="794"/>
    <x v="1"/>
    <x v="1"/>
    <x v="1"/>
    <n v="30"/>
    <n v="17270.27"/>
  </r>
  <r>
    <x v="575"/>
    <s v="Sanya Yadav"/>
    <n v="48"/>
    <x v="1"/>
    <x v="3"/>
    <x v="4"/>
    <x v="1"/>
    <d v="2025-10-28T00:00:00"/>
    <d v="2025-11-28T00:00:00"/>
    <n v="5700000"/>
    <n v="475000"/>
    <n v="5900000"/>
    <n v="1282500"/>
    <n v="6.36"/>
    <n v="142500"/>
    <n v="47"/>
    <n v="782"/>
    <x v="1"/>
    <x v="1"/>
    <x v="1"/>
    <n v="30"/>
    <n v="17207.009999999998"/>
  </r>
  <r>
    <x v="576"/>
    <s v="Ananya Singh"/>
    <n v="53"/>
    <x v="0"/>
    <x v="2"/>
    <x v="4"/>
    <x v="1"/>
    <d v="2025-10-29T00:00:00"/>
    <d v="2025-11-29T00:00:00"/>
    <n v="2952000"/>
    <n v="246000"/>
    <n v="3152000"/>
    <n v="664200"/>
    <n v="7.14"/>
    <n v="73800"/>
    <n v="50"/>
    <n v="828"/>
    <x v="1"/>
    <x v="1"/>
    <x v="1"/>
    <n v="30"/>
    <n v="13452"/>
  </r>
  <r>
    <x v="577"/>
    <s v="Pooja Yadav"/>
    <n v="31"/>
    <x v="1"/>
    <x v="1"/>
    <x v="3"/>
    <x v="1"/>
    <d v="2025-10-30T00:00:00"/>
    <d v="2025-11-30T00:00:00"/>
    <n v="5904000"/>
    <n v="492000"/>
    <n v="6104000"/>
    <n v="1328400"/>
    <n v="9.09"/>
    <n v="147600"/>
    <n v="50"/>
    <n v="843"/>
    <x v="0"/>
    <x v="0"/>
    <x v="0"/>
    <n v="30"/>
    <n v="28715"/>
  </r>
  <r>
    <x v="578"/>
    <s v="Aditya Verma"/>
    <n v="51"/>
    <x v="0"/>
    <x v="3"/>
    <x v="0"/>
    <x v="1"/>
    <d v="2025-10-31T00:00:00"/>
    <d v="2025-11-30T00:00:00"/>
    <n v="7824000"/>
    <n v="652000"/>
    <n v="8024000"/>
    <n v="1760400"/>
    <n v="7.29"/>
    <n v="195600"/>
    <n v="48"/>
    <n v="839"/>
    <x v="1"/>
    <x v="1"/>
    <x v="1"/>
    <n v="30"/>
    <n v="14004.53"/>
  </r>
  <r>
    <x v="579"/>
    <s v="Neha Mehta"/>
    <n v="30"/>
    <x v="0"/>
    <x v="3"/>
    <x v="4"/>
    <x v="1"/>
    <d v="2025-11-01T00:00:00"/>
    <d v="2025-12-01T00:00:00"/>
    <n v="660000"/>
    <n v="55000"/>
    <n v="860000"/>
    <n v="132000"/>
    <n v="6.74"/>
    <n v="16500"/>
    <n v="62"/>
    <n v="713"/>
    <x v="1"/>
    <x v="1"/>
    <x v="1"/>
    <n v="30"/>
    <n v="15184.87"/>
  </r>
  <r>
    <x v="580"/>
    <s v="Aditya Yadav"/>
    <n v="40"/>
    <x v="0"/>
    <x v="3"/>
    <x v="0"/>
    <x v="1"/>
    <d v="2025-11-02T00:00:00"/>
    <d v="2025-12-02T00:00:00"/>
    <n v="1872000"/>
    <n v="156000"/>
    <n v="2072000"/>
    <n v="374400"/>
    <n v="8.51"/>
    <n v="46800"/>
    <n v="54"/>
    <n v="755"/>
    <x v="1"/>
    <x v="1"/>
    <x v="1"/>
    <n v="30"/>
    <n v="24782.5"/>
  </r>
  <r>
    <x v="581"/>
    <s v="Rahul Gupta"/>
    <n v="48"/>
    <x v="0"/>
    <x v="5"/>
    <x v="0"/>
    <x v="1"/>
    <d v="2025-11-03T00:00:00"/>
    <d v="2025-12-03T00:00:00"/>
    <n v="4452000"/>
    <n v="371000"/>
    <n v="4652000"/>
    <n v="890400"/>
    <n v="9.7799999999999994"/>
    <n v="111300"/>
    <n v="52"/>
    <n v="723"/>
    <x v="1"/>
    <x v="1"/>
    <x v="1"/>
    <n v="30"/>
    <n v="27465.53"/>
  </r>
  <r>
    <x v="582"/>
    <s v="Ishaan Gupta"/>
    <n v="38"/>
    <x v="0"/>
    <x v="3"/>
    <x v="0"/>
    <x v="1"/>
    <d v="2025-11-04T00:00:00"/>
    <d v="2025-12-04T00:00:00"/>
    <n v="2424000"/>
    <n v="202000"/>
    <n v="2624000"/>
    <n v="484800"/>
    <n v="8.42"/>
    <n v="60600"/>
    <n v="52"/>
    <n v="806"/>
    <x v="0"/>
    <x v="0"/>
    <x v="0"/>
    <n v="30"/>
    <n v="14871.45"/>
  </r>
  <r>
    <x v="583"/>
    <s v="Rahul Mehta"/>
    <n v="29"/>
    <x v="0"/>
    <x v="2"/>
    <x v="1"/>
    <x v="1"/>
    <d v="2025-11-05T00:00:00"/>
    <d v="2025-12-05T00:00:00"/>
    <n v="5940000"/>
    <n v="495000"/>
    <n v="6140000"/>
    <n v="1188000"/>
    <n v="6.14"/>
    <n v="148500"/>
    <n v="47"/>
    <n v="768"/>
    <x v="0"/>
    <x v="0"/>
    <x v="0"/>
    <n v="30"/>
    <n v="22250.41"/>
  </r>
  <r>
    <x v="584"/>
    <s v="Priya Patel"/>
    <n v="40"/>
    <x v="0"/>
    <x v="0"/>
    <x v="1"/>
    <x v="1"/>
    <d v="2025-11-06T00:00:00"/>
    <d v="2025-12-06T00:00:00"/>
    <n v="6204000"/>
    <n v="517000"/>
    <n v="6404000"/>
    <n v="1240800"/>
    <n v="8.9600000000000009"/>
    <n v="155100"/>
    <n v="50"/>
    <n v="724"/>
    <x v="0"/>
    <x v="0"/>
    <x v="0"/>
    <n v="30"/>
    <n v="21930.6"/>
  </r>
  <r>
    <x v="585"/>
    <s v="Ananya Yadav"/>
    <n v="50"/>
    <x v="0"/>
    <x v="2"/>
    <x v="1"/>
    <x v="1"/>
    <d v="2025-11-07T00:00:00"/>
    <d v="2025-12-07T00:00:00"/>
    <n v="5064000"/>
    <n v="422000"/>
    <n v="5264000"/>
    <n v="1012800"/>
    <n v="9.51"/>
    <n v="126600"/>
    <n v="51"/>
    <n v="845"/>
    <x v="0"/>
    <x v="0"/>
    <x v="0"/>
    <n v="30"/>
    <n v="35859.74"/>
  </r>
  <r>
    <x v="586"/>
    <s v="Ananya Mehta"/>
    <n v="54"/>
    <x v="0"/>
    <x v="0"/>
    <x v="2"/>
    <x v="1"/>
    <d v="2025-11-08T00:00:00"/>
    <d v="2025-12-08T00:00:00"/>
    <n v="7800000"/>
    <n v="650000"/>
    <n v="8000000"/>
    <n v="1560000"/>
    <n v="5.54"/>
    <n v="195000"/>
    <n v="46"/>
    <n v="678"/>
    <x v="1"/>
    <x v="1"/>
    <x v="1"/>
    <n v="30"/>
    <n v="15907.3"/>
  </r>
  <r>
    <x v="587"/>
    <s v="Vivaan Singh"/>
    <n v="40"/>
    <x v="1"/>
    <x v="2"/>
    <x v="0"/>
    <x v="1"/>
    <d v="2025-11-09T00:00:00"/>
    <d v="2025-12-09T00:00:00"/>
    <n v="3900000"/>
    <n v="325000"/>
    <n v="4100000"/>
    <n v="780000"/>
    <n v="8"/>
    <n v="97500"/>
    <n v="50"/>
    <n v="753"/>
    <x v="1"/>
    <x v="1"/>
    <x v="1"/>
    <n v="30"/>
    <n v="26518.43"/>
  </r>
  <r>
    <x v="588"/>
    <s v="Ishaan Mehta"/>
    <n v="58"/>
    <x v="0"/>
    <x v="4"/>
    <x v="4"/>
    <x v="1"/>
    <d v="2025-11-10T00:00:00"/>
    <d v="2025-12-10T00:00:00"/>
    <n v="5916000"/>
    <n v="493000"/>
    <n v="6116000"/>
    <n v="1183200"/>
    <n v="5.78"/>
    <n v="147900"/>
    <n v="47"/>
    <n v="673"/>
    <x v="0"/>
    <x v="0"/>
    <x v="0"/>
    <n v="30"/>
    <n v="15351.37"/>
  </r>
  <r>
    <x v="589"/>
    <s v="Pooja Yadav"/>
    <n v="38"/>
    <x v="1"/>
    <x v="5"/>
    <x v="0"/>
    <x v="1"/>
    <d v="2025-11-11T00:00:00"/>
    <d v="2025-12-11T00:00:00"/>
    <n v="6528000"/>
    <n v="544000"/>
    <n v="6728000"/>
    <n v="1305600"/>
    <n v="9.0500000000000007"/>
    <n v="163200"/>
    <n v="50"/>
    <n v="725"/>
    <x v="1"/>
    <x v="1"/>
    <x v="1"/>
    <n v="30"/>
    <n v="35836.239999999998"/>
  </r>
  <r>
    <x v="590"/>
    <s v="Karan Verma"/>
    <n v="44"/>
    <x v="0"/>
    <x v="4"/>
    <x v="0"/>
    <x v="1"/>
    <d v="2025-11-12T00:00:00"/>
    <d v="2025-12-12T00:00:00"/>
    <n v="6972000"/>
    <n v="581000"/>
    <n v="7172000"/>
    <n v="1394400"/>
    <n v="9.3800000000000008"/>
    <n v="174300"/>
    <n v="50"/>
    <n v="645"/>
    <x v="0"/>
    <x v="0"/>
    <x v="0"/>
    <n v="30"/>
    <n v="16050.61"/>
  </r>
  <r>
    <x v="591"/>
    <s v="Kavya Gupta"/>
    <n v="31"/>
    <x v="0"/>
    <x v="2"/>
    <x v="1"/>
    <x v="1"/>
    <d v="2025-11-13T00:00:00"/>
    <d v="2025-12-13T00:00:00"/>
    <n v="1164000"/>
    <n v="97000"/>
    <n v="1364000"/>
    <n v="232800"/>
    <n v="8.91"/>
    <n v="29100"/>
    <n v="58"/>
    <n v="607"/>
    <x v="0"/>
    <x v="0"/>
    <x v="0"/>
    <n v="30"/>
    <n v="17605.82"/>
  </r>
  <r>
    <x v="592"/>
    <s v="Priya Sharma"/>
    <n v="49"/>
    <x v="0"/>
    <x v="4"/>
    <x v="4"/>
    <x v="1"/>
    <d v="2025-11-14T00:00:00"/>
    <d v="2025-12-14T00:00:00"/>
    <n v="3684000"/>
    <n v="307000"/>
    <n v="3884000"/>
    <n v="736800"/>
    <n v="6.93"/>
    <n v="92100"/>
    <n v="49"/>
    <n v="755"/>
    <x v="1"/>
    <x v="1"/>
    <x v="1"/>
    <n v="30"/>
    <n v="16166.14"/>
  </r>
  <r>
    <x v="593"/>
    <s v="Ritika Patel"/>
    <n v="21"/>
    <x v="1"/>
    <x v="1"/>
    <x v="3"/>
    <x v="1"/>
    <d v="2025-11-15T00:00:00"/>
    <d v="2025-12-15T00:00:00"/>
    <n v="6900000"/>
    <n v="575000"/>
    <n v="7100000"/>
    <n v="1380000"/>
    <n v="7.81"/>
    <n v="172500"/>
    <n v="49"/>
    <n v="827"/>
    <x v="1"/>
    <x v="1"/>
    <x v="1"/>
    <n v="30"/>
    <n v="24946.95"/>
  </r>
  <r>
    <x v="594"/>
    <s v="Ishaan Yadav"/>
    <n v="44"/>
    <x v="1"/>
    <x v="1"/>
    <x v="0"/>
    <x v="1"/>
    <d v="2025-11-16T00:00:00"/>
    <d v="2025-12-16T00:00:00"/>
    <n v="2808000"/>
    <n v="234000"/>
    <n v="3008000"/>
    <n v="561600"/>
    <n v="5.01"/>
    <n v="70200"/>
    <n v="48"/>
    <n v="791"/>
    <x v="0"/>
    <x v="0"/>
    <x v="0"/>
    <n v="30"/>
    <n v="20467.39"/>
  </r>
  <r>
    <x v="595"/>
    <s v="Aditya Kumar"/>
    <n v="45"/>
    <x v="1"/>
    <x v="1"/>
    <x v="2"/>
    <x v="1"/>
    <d v="2025-11-17T00:00:00"/>
    <d v="2025-12-17T00:00:00"/>
    <n v="1920000"/>
    <n v="160000"/>
    <n v="2120000"/>
    <n v="384000"/>
    <n v="7.49"/>
    <n v="48000"/>
    <n v="52"/>
    <n v="645"/>
    <x v="1"/>
    <x v="1"/>
    <x v="1"/>
    <n v="30"/>
    <n v="28462.78"/>
  </r>
  <r>
    <x v="596"/>
    <s v="Aarav Sharma"/>
    <n v="47"/>
    <x v="1"/>
    <x v="1"/>
    <x v="1"/>
    <x v="1"/>
    <d v="2025-11-18T00:00:00"/>
    <d v="2025-12-18T00:00:00"/>
    <n v="4920000"/>
    <n v="410000"/>
    <n v="5120000"/>
    <n v="984000"/>
    <n v="8.07"/>
    <n v="123000"/>
    <n v="49"/>
    <n v="602"/>
    <x v="1"/>
    <x v="1"/>
    <x v="1"/>
    <n v="30"/>
    <n v="8654.77"/>
  </r>
  <r>
    <x v="597"/>
    <s v="Arjun Nair"/>
    <n v="24"/>
    <x v="1"/>
    <x v="2"/>
    <x v="3"/>
    <x v="1"/>
    <d v="2025-11-19T00:00:00"/>
    <d v="2025-12-19T00:00:00"/>
    <n v="3564000"/>
    <n v="297000"/>
    <n v="3764000"/>
    <n v="712800"/>
    <n v="8.7100000000000009"/>
    <n v="89100"/>
    <n v="51"/>
    <n v="831"/>
    <x v="1"/>
    <x v="1"/>
    <x v="1"/>
    <n v="30"/>
    <n v="17045.47"/>
  </r>
  <r>
    <x v="598"/>
    <s v="Vivaan Patel"/>
    <n v="37"/>
    <x v="0"/>
    <x v="1"/>
    <x v="0"/>
    <x v="1"/>
    <d v="2025-11-20T00:00:00"/>
    <d v="2025-12-20T00:00:00"/>
    <n v="3156000"/>
    <n v="263000"/>
    <n v="3356000"/>
    <n v="631200"/>
    <n v="6.49"/>
    <n v="78900"/>
    <n v="49"/>
    <n v="845"/>
    <x v="0"/>
    <x v="0"/>
    <x v="0"/>
    <n v="30"/>
    <n v="20572.38"/>
  </r>
  <r>
    <x v="599"/>
    <s v="Arjun Kumar"/>
    <n v="55"/>
    <x v="0"/>
    <x v="0"/>
    <x v="0"/>
    <x v="1"/>
    <d v="2025-11-21T00:00:00"/>
    <d v="2025-12-21T00:00:00"/>
    <n v="1296000"/>
    <n v="108000"/>
    <n v="1496000"/>
    <n v="259200"/>
    <n v="9.19"/>
    <n v="32400"/>
    <n v="58"/>
    <n v="779"/>
    <x v="1"/>
    <x v="1"/>
    <x v="1"/>
    <n v="30"/>
    <n v="34051.620000000003"/>
  </r>
  <r>
    <x v="600"/>
    <s v="Kavya Nair"/>
    <n v="45"/>
    <x v="1"/>
    <x v="5"/>
    <x v="0"/>
    <x v="1"/>
    <d v="2025-11-22T00:00:00"/>
    <d v="2025-12-22T00:00:00"/>
    <n v="1356000"/>
    <n v="113000"/>
    <n v="1556000"/>
    <n v="271200"/>
    <n v="6.98"/>
    <n v="33900"/>
    <n v="54"/>
    <n v="785"/>
    <x v="1"/>
    <x v="1"/>
    <x v="1"/>
    <n v="30"/>
    <n v="20435.849999999999"/>
  </r>
  <r>
    <x v="601"/>
    <s v="Ishaan Singh"/>
    <n v="46"/>
    <x v="0"/>
    <x v="2"/>
    <x v="1"/>
    <x v="1"/>
    <d v="2025-11-23T00:00:00"/>
    <d v="2025-12-23T00:00:00"/>
    <n v="1776000"/>
    <n v="148000"/>
    <n v="1976000"/>
    <n v="355200"/>
    <n v="5.07"/>
    <n v="44400"/>
    <n v="50"/>
    <n v="832"/>
    <x v="0"/>
    <x v="0"/>
    <x v="0"/>
    <n v="30"/>
    <n v="11702.44"/>
  </r>
  <r>
    <x v="602"/>
    <s v="Aarav Patel"/>
    <n v="39"/>
    <x v="1"/>
    <x v="4"/>
    <x v="0"/>
    <x v="1"/>
    <d v="2025-11-24T00:00:00"/>
    <d v="2025-12-24T00:00:00"/>
    <n v="2724000"/>
    <n v="227000"/>
    <n v="2924000"/>
    <n v="544800"/>
    <n v="7.21"/>
    <n v="68100"/>
    <n v="50"/>
    <n v="657"/>
    <x v="0"/>
    <x v="0"/>
    <x v="0"/>
    <n v="30"/>
    <n v="28060.84"/>
  </r>
  <r>
    <x v="603"/>
    <s v="Karan Patel"/>
    <n v="29"/>
    <x v="0"/>
    <x v="4"/>
    <x v="3"/>
    <x v="1"/>
    <d v="2025-11-25T00:00:00"/>
    <d v="2025-12-25T00:00:00"/>
    <n v="8460000"/>
    <n v="705000"/>
    <n v="8660000"/>
    <n v="1692000"/>
    <n v="6.6"/>
    <n v="211500"/>
    <n v="47"/>
    <n v="681"/>
    <x v="0"/>
    <x v="0"/>
    <x v="0"/>
    <n v="30"/>
    <n v="12187.05"/>
  </r>
  <r>
    <x v="604"/>
    <s v="Aisha Mehta"/>
    <n v="34"/>
    <x v="1"/>
    <x v="2"/>
    <x v="1"/>
    <x v="1"/>
    <d v="2025-11-26T00:00:00"/>
    <d v="2025-12-26T00:00:00"/>
    <n v="6348000"/>
    <n v="529000"/>
    <n v="6548000"/>
    <n v="1269600"/>
    <n v="5.69"/>
    <n v="158700"/>
    <n v="47"/>
    <n v="759"/>
    <x v="1"/>
    <x v="1"/>
    <x v="1"/>
    <n v="30"/>
    <n v="22910.79"/>
  </r>
  <r>
    <x v="605"/>
    <s v="Arjun Joshi"/>
    <n v="39"/>
    <x v="0"/>
    <x v="4"/>
    <x v="2"/>
    <x v="1"/>
    <d v="2025-11-27T00:00:00"/>
    <d v="2025-12-27T00:00:00"/>
    <n v="6612000"/>
    <n v="551000"/>
    <n v="6812000"/>
    <n v="1322400"/>
    <n v="9.94"/>
    <n v="165300"/>
    <n v="51"/>
    <n v="677"/>
    <x v="0"/>
    <x v="0"/>
    <x v="0"/>
    <n v="30"/>
    <n v="41574.43"/>
  </r>
  <r>
    <x v="606"/>
    <s v="Diya Nair"/>
    <n v="21"/>
    <x v="1"/>
    <x v="5"/>
    <x v="0"/>
    <x v="1"/>
    <d v="2025-11-28T00:00:00"/>
    <d v="2025-12-28T00:00:00"/>
    <n v="8316000"/>
    <n v="693000"/>
    <n v="8516000"/>
    <n v="1663200"/>
    <n v="9.7899999999999991"/>
    <n v="207900"/>
    <n v="51"/>
    <n v="636"/>
    <x v="1"/>
    <x v="1"/>
    <x v="1"/>
    <n v="30"/>
    <n v="16942.849999999999"/>
  </r>
  <r>
    <x v="607"/>
    <s v="Sanya Gupta"/>
    <n v="43"/>
    <x v="1"/>
    <x v="4"/>
    <x v="4"/>
    <x v="1"/>
    <d v="2025-11-29T00:00:00"/>
    <d v="2025-12-29T00:00:00"/>
    <n v="5244000"/>
    <n v="437000"/>
    <n v="5444000"/>
    <n v="1048800"/>
    <n v="6.82"/>
    <n v="131100"/>
    <n v="48"/>
    <n v="764"/>
    <x v="0"/>
    <x v="0"/>
    <x v="0"/>
    <n v="30"/>
    <n v="16820.71"/>
  </r>
  <r>
    <x v="608"/>
    <s v="Priya Verma"/>
    <n v="38"/>
    <x v="1"/>
    <x v="4"/>
    <x v="1"/>
    <x v="1"/>
    <d v="2025-11-30T00:00:00"/>
    <d v="2025-12-30T00:00:00"/>
    <n v="2448000"/>
    <n v="204000"/>
    <n v="2648000"/>
    <n v="489600"/>
    <n v="5.08"/>
    <n v="61200"/>
    <n v="48"/>
    <n v="719"/>
    <x v="1"/>
    <x v="1"/>
    <x v="1"/>
    <n v="30"/>
    <n v="15723.73"/>
  </r>
  <r>
    <x v="609"/>
    <s v="Kavya Kumar"/>
    <n v="21"/>
    <x v="1"/>
    <x v="2"/>
    <x v="4"/>
    <x v="1"/>
    <d v="2025-12-01T00:00:00"/>
    <d v="2026-01-01T00:00:00"/>
    <n v="8436000"/>
    <n v="703000"/>
    <n v="8636000"/>
    <n v="1476300"/>
    <n v="7.03"/>
    <n v="210900"/>
    <n v="47"/>
    <n v="795"/>
    <x v="1"/>
    <x v="1"/>
    <x v="1"/>
    <n v="30"/>
    <n v="7326.82"/>
  </r>
  <r>
    <x v="610"/>
    <s v="Sanya Yadav"/>
    <n v="27"/>
    <x v="1"/>
    <x v="2"/>
    <x v="2"/>
    <x v="1"/>
    <d v="2025-12-02T00:00:00"/>
    <d v="2026-01-02T00:00:00"/>
    <n v="8220000"/>
    <n v="685000"/>
    <n v="8420000"/>
    <n v="1438500"/>
    <n v="9.93"/>
    <n v="205500"/>
    <n v="51"/>
    <n v="761"/>
    <x v="1"/>
    <x v="1"/>
    <x v="1"/>
    <n v="30"/>
    <n v="28583.94"/>
  </r>
  <r>
    <x v="611"/>
    <s v="Aditya Joshi"/>
    <n v="57"/>
    <x v="1"/>
    <x v="4"/>
    <x v="1"/>
    <x v="1"/>
    <d v="2025-12-03T00:00:00"/>
    <d v="2026-01-03T00:00:00"/>
    <n v="7992000"/>
    <n v="666000"/>
    <n v="8192000"/>
    <n v="1398600"/>
    <n v="6.34"/>
    <n v="199800"/>
    <n v="47"/>
    <n v="745"/>
    <x v="1"/>
    <x v="1"/>
    <x v="1"/>
    <n v="30"/>
    <n v="16638.97"/>
  </r>
  <r>
    <x v="612"/>
    <s v="Aditya Kumar"/>
    <n v="31"/>
    <x v="0"/>
    <x v="1"/>
    <x v="2"/>
    <x v="1"/>
    <d v="2025-12-04T00:00:00"/>
    <d v="2026-01-04T00:00:00"/>
    <n v="8496000"/>
    <n v="708000"/>
    <n v="8696000"/>
    <n v="1486800"/>
    <n v="9.86"/>
    <n v="212400"/>
    <n v="51"/>
    <n v="673"/>
    <x v="0"/>
    <x v="0"/>
    <x v="0"/>
    <n v="30"/>
    <n v="18400.04"/>
  </r>
  <r>
    <x v="613"/>
    <s v="Diya Gupta"/>
    <n v="51"/>
    <x v="1"/>
    <x v="0"/>
    <x v="2"/>
    <x v="1"/>
    <d v="2025-12-05T00:00:00"/>
    <d v="2026-01-05T00:00:00"/>
    <n v="8652000"/>
    <n v="721000"/>
    <n v="8852000"/>
    <n v="1514100"/>
    <n v="9.66"/>
    <n v="216300"/>
    <n v="50"/>
    <n v="754"/>
    <x v="1"/>
    <x v="1"/>
    <x v="1"/>
    <n v="30"/>
    <n v="21378.53"/>
  </r>
  <r>
    <x v="614"/>
    <s v="Aditya Kumar"/>
    <n v="36"/>
    <x v="1"/>
    <x v="4"/>
    <x v="2"/>
    <x v="1"/>
    <d v="2025-12-06T00:00:00"/>
    <d v="2026-01-06T00:00:00"/>
    <n v="8832000"/>
    <n v="736000"/>
    <n v="9032000"/>
    <n v="1545600"/>
    <n v="8.9600000000000009"/>
    <n v="220800"/>
    <n v="49"/>
    <n v="744"/>
    <x v="0"/>
    <x v="0"/>
    <x v="0"/>
    <n v="30"/>
    <n v="19177.52"/>
  </r>
  <r>
    <x v="615"/>
    <s v="Rohan Yadav"/>
    <n v="42"/>
    <x v="1"/>
    <x v="1"/>
    <x v="4"/>
    <x v="1"/>
    <d v="2025-12-07T00:00:00"/>
    <d v="2026-01-07T00:00:00"/>
    <n v="1404000"/>
    <n v="117000"/>
    <n v="1604000"/>
    <n v="245700"/>
    <n v="9.86"/>
    <n v="35100"/>
    <n v="58"/>
    <n v="840"/>
    <x v="1"/>
    <x v="1"/>
    <x v="1"/>
    <n v="30"/>
    <n v="15606.03"/>
  </r>
  <r>
    <x v="616"/>
    <s v="Ananya Nair"/>
    <n v="32"/>
    <x v="0"/>
    <x v="4"/>
    <x v="1"/>
    <x v="1"/>
    <d v="2025-12-08T00:00:00"/>
    <d v="2026-01-08T00:00:00"/>
    <n v="8088000"/>
    <n v="674000"/>
    <n v="8288000"/>
    <n v="1415400"/>
    <n v="9.65"/>
    <n v="202200"/>
    <n v="50"/>
    <n v="823"/>
    <x v="1"/>
    <x v="1"/>
    <x v="1"/>
    <n v="30"/>
    <n v="20962.169999999998"/>
  </r>
  <r>
    <x v="617"/>
    <s v="Neha Patel"/>
    <n v="35"/>
    <x v="1"/>
    <x v="3"/>
    <x v="0"/>
    <x v="1"/>
    <d v="2025-12-09T00:00:00"/>
    <d v="2026-01-09T00:00:00"/>
    <n v="8412000"/>
    <n v="701000"/>
    <n v="8612000"/>
    <n v="1472100"/>
    <n v="5.95"/>
    <n v="210300"/>
    <n v="46"/>
    <n v="846"/>
    <x v="1"/>
    <x v="1"/>
    <x v="1"/>
    <n v="30"/>
    <n v="22283.33"/>
  </r>
  <r>
    <x v="618"/>
    <s v="Ritika Gupta"/>
    <n v="48"/>
    <x v="1"/>
    <x v="0"/>
    <x v="1"/>
    <x v="1"/>
    <d v="2025-12-10T00:00:00"/>
    <d v="2026-01-10T00:00:00"/>
    <n v="4308000"/>
    <n v="359000"/>
    <n v="4508000"/>
    <n v="753900"/>
    <n v="5.85"/>
    <n v="107700"/>
    <n v="47"/>
    <n v="751"/>
    <x v="0"/>
    <x v="0"/>
    <x v="0"/>
    <n v="30"/>
    <n v="11216.3"/>
  </r>
  <r>
    <x v="619"/>
    <s v="Aarav Mehta"/>
    <n v="45"/>
    <x v="1"/>
    <x v="5"/>
    <x v="2"/>
    <x v="1"/>
    <d v="2025-12-11T00:00:00"/>
    <d v="2026-01-11T00:00:00"/>
    <n v="5616000"/>
    <n v="468000"/>
    <n v="5816000"/>
    <n v="982800"/>
    <n v="8.81"/>
    <n v="140400"/>
    <n v="50"/>
    <n v="670"/>
    <x v="1"/>
    <x v="1"/>
    <x v="1"/>
    <n v="30"/>
    <n v="33024.83"/>
  </r>
  <r>
    <x v="620"/>
    <s v="Sneha Mehta"/>
    <n v="25"/>
    <x v="1"/>
    <x v="5"/>
    <x v="4"/>
    <x v="1"/>
    <d v="2025-12-12T00:00:00"/>
    <d v="2026-01-12T00:00:00"/>
    <n v="6804000"/>
    <n v="567000"/>
    <n v="7004000"/>
    <n v="1190700"/>
    <n v="9.89"/>
    <n v="170100"/>
    <n v="51"/>
    <n v="834"/>
    <x v="0"/>
    <x v="0"/>
    <x v="0"/>
    <n v="30"/>
    <n v="35294.400000000001"/>
  </r>
  <r>
    <x v="621"/>
    <s v="Ishaan Singh"/>
    <n v="27"/>
    <x v="0"/>
    <x v="2"/>
    <x v="0"/>
    <x v="1"/>
    <d v="2025-12-13T00:00:00"/>
    <d v="2026-01-13T00:00:00"/>
    <n v="3180000"/>
    <n v="265000"/>
    <n v="3380000"/>
    <n v="556500"/>
    <n v="6.91"/>
    <n v="79500"/>
    <n v="49"/>
    <n v="791"/>
    <x v="1"/>
    <x v="1"/>
    <x v="1"/>
    <n v="30"/>
    <n v="13217.45"/>
  </r>
  <r>
    <x v="622"/>
    <s v="Diya Nair"/>
    <n v="37"/>
    <x v="1"/>
    <x v="3"/>
    <x v="1"/>
    <x v="1"/>
    <d v="2025-12-14T00:00:00"/>
    <d v="2026-01-14T00:00:00"/>
    <n v="5148000"/>
    <n v="429000"/>
    <n v="5348000"/>
    <n v="900900"/>
    <n v="9.15"/>
    <n v="128700"/>
    <n v="51"/>
    <n v="671"/>
    <x v="1"/>
    <x v="1"/>
    <x v="1"/>
    <n v="30"/>
    <n v="18730.07"/>
  </r>
  <r>
    <x v="623"/>
    <s v="Kavya Verma"/>
    <n v="50"/>
    <x v="0"/>
    <x v="1"/>
    <x v="1"/>
    <x v="1"/>
    <d v="2025-12-15T00:00:00"/>
    <d v="2026-01-15T00:00:00"/>
    <n v="7524000"/>
    <n v="627000"/>
    <n v="7724000"/>
    <n v="1316700"/>
    <n v="6.52"/>
    <n v="188100"/>
    <n v="47"/>
    <n v="840"/>
    <x v="1"/>
    <x v="1"/>
    <x v="1"/>
    <n v="30"/>
    <n v="17921.63"/>
  </r>
  <r>
    <x v="624"/>
    <s v="Aditya Joshi"/>
    <n v="60"/>
    <x v="1"/>
    <x v="5"/>
    <x v="0"/>
    <x v="1"/>
    <d v="2025-12-16T00:00:00"/>
    <d v="2026-01-16T00:00:00"/>
    <n v="2844000"/>
    <n v="237000"/>
    <n v="3044000"/>
    <n v="497700"/>
    <n v="9.7799999999999994"/>
    <n v="71100"/>
    <n v="53"/>
    <n v="661"/>
    <x v="0"/>
    <x v="0"/>
    <x v="0"/>
    <n v="30"/>
    <n v="28848.67"/>
  </r>
  <r>
    <x v="625"/>
    <s v="Aditya Patel"/>
    <n v="36"/>
    <x v="0"/>
    <x v="1"/>
    <x v="0"/>
    <x v="1"/>
    <d v="2025-12-17T00:00:00"/>
    <d v="2026-01-17T00:00:00"/>
    <n v="8076000"/>
    <n v="673000"/>
    <n v="8276000"/>
    <n v="1413300"/>
    <n v="9.31"/>
    <n v="201900"/>
    <n v="50"/>
    <n v="833"/>
    <x v="1"/>
    <x v="1"/>
    <x v="1"/>
    <n v="30"/>
    <n v="29552.34"/>
  </r>
  <r>
    <x v="626"/>
    <s v="Aisha Mehta"/>
    <n v="50"/>
    <x v="0"/>
    <x v="2"/>
    <x v="3"/>
    <x v="1"/>
    <d v="2025-12-18T00:00:00"/>
    <d v="2026-01-18T00:00:00"/>
    <n v="3108000"/>
    <n v="259000"/>
    <n v="3308000"/>
    <n v="543900"/>
    <n v="8.0399999999999991"/>
    <n v="77700"/>
    <n v="51"/>
    <n v="670"/>
    <x v="1"/>
    <x v="1"/>
    <x v="1"/>
    <n v="30"/>
    <n v="25092.12"/>
  </r>
  <r>
    <x v="627"/>
    <s v="Sanya Verma"/>
    <n v="24"/>
    <x v="1"/>
    <x v="1"/>
    <x v="0"/>
    <x v="1"/>
    <d v="2025-12-19T00:00:00"/>
    <d v="2026-01-19T00:00:00"/>
    <n v="6000000"/>
    <n v="500000"/>
    <n v="6200000"/>
    <n v="1050000"/>
    <n v="9.52"/>
    <n v="150000"/>
    <n v="51"/>
    <n v="676"/>
    <x v="0"/>
    <x v="0"/>
    <x v="0"/>
    <n v="30"/>
    <n v="36157.760000000002"/>
  </r>
  <r>
    <x v="628"/>
    <s v="Aisha Gupta"/>
    <n v="42"/>
    <x v="1"/>
    <x v="3"/>
    <x v="2"/>
    <x v="1"/>
    <d v="2025-12-20T00:00:00"/>
    <d v="2026-01-20T00:00:00"/>
    <n v="8940000"/>
    <n v="745000"/>
    <n v="9140000"/>
    <n v="1564500"/>
    <n v="9.6199999999999992"/>
    <n v="223500"/>
    <n v="50"/>
    <n v="735"/>
    <x v="1"/>
    <x v="1"/>
    <x v="1"/>
    <n v="30"/>
    <n v="40680.629999999997"/>
  </r>
  <r>
    <x v="629"/>
    <s v="Aarav Mehta"/>
    <n v="49"/>
    <x v="0"/>
    <x v="0"/>
    <x v="1"/>
    <x v="1"/>
    <d v="2025-12-21T00:00:00"/>
    <d v="2026-01-21T00:00:00"/>
    <n v="2760000"/>
    <n v="230000"/>
    <n v="2960000"/>
    <n v="483000"/>
    <n v="8.06"/>
    <n v="69000"/>
    <n v="51"/>
    <n v="680"/>
    <x v="1"/>
    <x v="1"/>
    <x v="1"/>
    <n v="30"/>
    <n v="32291.279999999999"/>
  </r>
  <r>
    <x v="630"/>
    <s v="Aarav Sharma"/>
    <n v="37"/>
    <x v="1"/>
    <x v="2"/>
    <x v="2"/>
    <x v="1"/>
    <d v="2025-12-22T00:00:00"/>
    <d v="2026-01-22T00:00:00"/>
    <n v="7080000"/>
    <n v="590000"/>
    <n v="7280000"/>
    <n v="1239000"/>
    <n v="7.24"/>
    <n v="177000"/>
    <n v="48"/>
    <n v="678"/>
    <x v="0"/>
    <x v="0"/>
    <x v="0"/>
    <n v="30"/>
    <n v="23114.400000000001"/>
  </r>
  <r>
    <x v="631"/>
    <s v="Ritika Gupta"/>
    <n v="39"/>
    <x v="0"/>
    <x v="0"/>
    <x v="0"/>
    <x v="1"/>
    <d v="2025-12-23T00:00:00"/>
    <d v="2026-01-23T00:00:00"/>
    <n v="5028000"/>
    <n v="419000"/>
    <n v="5228000"/>
    <n v="879900"/>
    <n v="8.4600000000000009"/>
    <n v="125700"/>
    <n v="50"/>
    <n v="825"/>
    <x v="1"/>
    <x v="1"/>
    <x v="1"/>
    <n v="30"/>
    <n v="12568.33"/>
  </r>
  <r>
    <x v="632"/>
    <s v="Aarav Patel"/>
    <n v="39"/>
    <x v="1"/>
    <x v="4"/>
    <x v="3"/>
    <x v="1"/>
    <d v="2025-12-24T00:00:00"/>
    <d v="2026-01-24T00:00:00"/>
    <n v="4476000"/>
    <n v="373000"/>
    <n v="4676000"/>
    <n v="783300"/>
    <n v="7.73"/>
    <n v="111900"/>
    <n v="49"/>
    <n v="849"/>
    <x v="1"/>
    <x v="1"/>
    <x v="1"/>
    <n v="30"/>
    <n v="23129.03"/>
  </r>
  <r>
    <x v="633"/>
    <s v="Ritika Mehta"/>
    <n v="46"/>
    <x v="0"/>
    <x v="4"/>
    <x v="0"/>
    <x v="1"/>
    <d v="2025-12-25T00:00:00"/>
    <d v="2026-01-25T00:00:00"/>
    <n v="1656000"/>
    <n v="138000"/>
    <n v="1856000"/>
    <n v="289800"/>
    <n v="9.16"/>
    <n v="41400"/>
    <n v="56"/>
    <n v="844"/>
    <x v="1"/>
    <x v="1"/>
    <x v="1"/>
    <n v="30"/>
    <n v="15821.34"/>
  </r>
  <r>
    <x v="634"/>
    <s v="Aisha Yadav"/>
    <n v="43"/>
    <x v="1"/>
    <x v="3"/>
    <x v="2"/>
    <x v="1"/>
    <d v="2025-12-26T00:00:00"/>
    <d v="2026-01-26T00:00:00"/>
    <n v="6264000"/>
    <n v="522000"/>
    <n v="6464000"/>
    <n v="1096200"/>
    <n v="6.39"/>
    <n v="156600"/>
    <n v="47"/>
    <n v="667"/>
    <x v="1"/>
    <x v="1"/>
    <x v="1"/>
    <n v="30"/>
    <n v="10408.200000000001"/>
  </r>
  <r>
    <x v="635"/>
    <s v="Kavya Yadav"/>
    <n v="34"/>
    <x v="0"/>
    <x v="0"/>
    <x v="1"/>
    <x v="1"/>
    <d v="2025-12-27T00:00:00"/>
    <d v="2026-01-27T00:00:00"/>
    <n v="4668000"/>
    <n v="389000"/>
    <n v="4868000"/>
    <n v="816900"/>
    <n v="10"/>
    <n v="116700"/>
    <n v="52"/>
    <n v="716"/>
    <x v="1"/>
    <x v="1"/>
    <x v="1"/>
    <n v="30"/>
    <n v="37088.92"/>
  </r>
  <r>
    <x v="636"/>
    <s v="Aarav Mehta"/>
    <n v="48"/>
    <x v="0"/>
    <x v="4"/>
    <x v="0"/>
    <x v="1"/>
    <d v="2025-12-28T00:00:00"/>
    <d v="2026-01-28T00:00:00"/>
    <n v="3048000"/>
    <n v="254000"/>
    <n v="3248000"/>
    <n v="533400"/>
    <n v="5.91"/>
    <n v="76200"/>
    <n v="48"/>
    <n v="637"/>
    <x v="0"/>
    <x v="0"/>
    <x v="0"/>
    <n v="30"/>
    <n v="18159.919999999998"/>
  </r>
  <r>
    <x v="637"/>
    <s v="Priya Kumar"/>
    <n v="36"/>
    <x v="0"/>
    <x v="2"/>
    <x v="1"/>
    <x v="1"/>
    <d v="2025-12-29T00:00:00"/>
    <d v="2026-01-29T00:00:00"/>
    <n v="3228000"/>
    <n v="269000"/>
    <n v="3428000"/>
    <n v="564900"/>
    <n v="7.61"/>
    <n v="80700"/>
    <n v="50"/>
    <n v="644"/>
    <x v="1"/>
    <x v="1"/>
    <x v="1"/>
    <n v="30"/>
    <n v="33180.879999999997"/>
  </r>
  <r>
    <x v="638"/>
    <s v="Ritika Kumar"/>
    <n v="48"/>
    <x v="1"/>
    <x v="5"/>
    <x v="3"/>
    <x v="1"/>
    <d v="2025-12-30T00:00:00"/>
    <d v="2026-01-30T00:00:00"/>
    <n v="3456000"/>
    <n v="288000"/>
    <n v="3656000"/>
    <n v="604800"/>
    <n v="8.06"/>
    <n v="86400"/>
    <n v="50"/>
    <n v="640"/>
    <x v="1"/>
    <x v="1"/>
    <x v="1"/>
    <n v="30"/>
    <n v="28421.51"/>
  </r>
  <r>
    <x v="639"/>
    <s v="Neha Kumar"/>
    <n v="41"/>
    <x v="1"/>
    <x v="2"/>
    <x v="3"/>
    <x v="1"/>
    <d v="2025-12-31T00:00:00"/>
    <d v="2026-01-31T00:00:00"/>
    <n v="8244000"/>
    <n v="687000"/>
    <n v="8444000"/>
    <n v="1442700"/>
    <n v="6.56"/>
    <n v="206100"/>
    <n v="47"/>
    <n v="754"/>
    <x v="1"/>
    <x v="1"/>
    <x v="1"/>
    <n v="30"/>
    <n v="12650.09"/>
  </r>
  <r>
    <x v="640"/>
    <s v="Ritika Joshi"/>
    <n v="35"/>
    <x v="0"/>
    <x v="5"/>
    <x v="3"/>
    <x v="2"/>
    <d v="2026-01-01T00:00:00"/>
    <d v="2026-02-01T00:00:00"/>
    <n v="912000"/>
    <n v="76000"/>
    <n v="1112000"/>
    <n v="136800"/>
    <n v="9.11"/>
    <n v="22800"/>
    <n v="62"/>
    <n v="843"/>
    <x v="0"/>
    <x v="0"/>
    <x v="0"/>
    <n v="30"/>
    <n v="31986.3"/>
  </r>
  <r>
    <x v="641"/>
    <s v="Aisha Verma"/>
    <n v="55"/>
    <x v="0"/>
    <x v="2"/>
    <x v="0"/>
    <x v="2"/>
    <d v="2026-01-02T00:00:00"/>
    <d v="2026-02-02T00:00:00"/>
    <n v="1512000"/>
    <n v="126000"/>
    <n v="1712000"/>
    <n v="226800"/>
    <n v="8.39"/>
    <n v="37800"/>
    <n v="55"/>
    <n v="641"/>
    <x v="1"/>
    <x v="1"/>
    <x v="1"/>
    <n v="30"/>
    <n v="25507.38"/>
  </r>
  <r>
    <x v="642"/>
    <s v="Aarav Gupta"/>
    <n v="25"/>
    <x v="0"/>
    <x v="4"/>
    <x v="1"/>
    <x v="2"/>
    <d v="2026-01-03T00:00:00"/>
    <d v="2026-02-03T00:00:00"/>
    <n v="1140000"/>
    <n v="95000"/>
    <n v="1340000"/>
    <n v="171000"/>
    <n v="7.13"/>
    <n v="28500"/>
    <n v="56"/>
    <n v="808"/>
    <x v="0"/>
    <x v="0"/>
    <x v="0"/>
    <n v="30"/>
    <n v="21459.18"/>
  </r>
  <r>
    <x v="643"/>
    <s v="Diya Patel"/>
    <n v="24"/>
    <x v="1"/>
    <x v="5"/>
    <x v="2"/>
    <x v="2"/>
    <d v="2026-01-04T00:00:00"/>
    <d v="2026-02-04T00:00:00"/>
    <n v="6192000"/>
    <n v="516000"/>
    <n v="6392000"/>
    <n v="928800"/>
    <n v="8.08"/>
    <n v="154800"/>
    <n v="49"/>
    <n v="691"/>
    <x v="0"/>
    <x v="0"/>
    <x v="0"/>
    <n v="30"/>
    <n v="31191.97"/>
  </r>
  <r>
    <x v="644"/>
    <s v="Neha Patel"/>
    <n v="38"/>
    <x v="0"/>
    <x v="1"/>
    <x v="3"/>
    <x v="2"/>
    <d v="2026-01-05T00:00:00"/>
    <d v="2026-02-05T00:00:00"/>
    <n v="1044000"/>
    <n v="87000"/>
    <n v="1244000"/>
    <n v="156600"/>
    <n v="7.6"/>
    <n v="26100"/>
    <n v="57"/>
    <n v="686"/>
    <x v="1"/>
    <x v="1"/>
    <x v="1"/>
    <n v="30"/>
    <n v="22025.27"/>
  </r>
  <r>
    <x v="645"/>
    <s v="Aryan Joshi"/>
    <n v="38"/>
    <x v="0"/>
    <x v="5"/>
    <x v="3"/>
    <x v="2"/>
    <d v="2026-01-06T00:00:00"/>
    <d v="2026-02-06T00:00:00"/>
    <n v="1788000"/>
    <n v="149000"/>
    <n v="1988000"/>
    <n v="268200"/>
    <n v="9.23"/>
    <n v="44700"/>
    <n v="55"/>
    <n v="827"/>
    <x v="0"/>
    <x v="0"/>
    <x v="0"/>
    <n v="30"/>
    <n v="10381.48"/>
  </r>
  <r>
    <x v="646"/>
    <s v="Neha Sharma"/>
    <n v="31"/>
    <x v="1"/>
    <x v="5"/>
    <x v="1"/>
    <x v="2"/>
    <d v="2026-01-07T00:00:00"/>
    <d v="2026-02-07T00:00:00"/>
    <n v="7380000"/>
    <n v="615000"/>
    <n v="7580000"/>
    <n v="1107000"/>
    <n v="9.1"/>
    <n v="184500"/>
    <n v="50"/>
    <n v="710"/>
    <x v="0"/>
    <x v="0"/>
    <x v="0"/>
    <n v="30"/>
    <n v="9621.6299999999992"/>
  </r>
  <r>
    <x v="647"/>
    <s v="Ananya Yadav"/>
    <n v="54"/>
    <x v="0"/>
    <x v="1"/>
    <x v="3"/>
    <x v="2"/>
    <d v="2026-01-08T00:00:00"/>
    <d v="2026-02-08T00:00:00"/>
    <n v="3636000"/>
    <n v="303000"/>
    <n v="3836000"/>
    <n v="545400"/>
    <n v="8.92"/>
    <n v="90900"/>
    <n v="51"/>
    <n v="762"/>
    <x v="0"/>
    <x v="0"/>
    <x v="0"/>
    <n v="30"/>
    <n v="20975.200000000001"/>
  </r>
  <r>
    <x v="648"/>
    <s v="Kavya Nair"/>
    <n v="57"/>
    <x v="1"/>
    <x v="3"/>
    <x v="4"/>
    <x v="2"/>
    <d v="2026-01-09T00:00:00"/>
    <d v="2026-02-09T00:00:00"/>
    <n v="6864000"/>
    <n v="572000"/>
    <n v="7064000"/>
    <n v="1029600"/>
    <n v="6.22"/>
    <n v="171600"/>
    <n v="47"/>
    <n v="664"/>
    <x v="1"/>
    <x v="1"/>
    <x v="1"/>
    <n v="30"/>
    <n v="27916.44"/>
  </r>
  <r>
    <x v="649"/>
    <s v="Ishaan Gupta"/>
    <n v="58"/>
    <x v="0"/>
    <x v="2"/>
    <x v="4"/>
    <x v="2"/>
    <d v="2026-01-10T00:00:00"/>
    <d v="2026-02-10T00:00:00"/>
    <n v="8520000"/>
    <n v="710000"/>
    <n v="8720000"/>
    <n v="1278000"/>
    <n v="6.07"/>
    <n v="213000"/>
    <n v="46"/>
    <n v="749"/>
    <x v="1"/>
    <x v="1"/>
    <x v="1"/>
    <n v="30"/>
    <n v="22903.34"/>
  </r>
  <r>
    <x v="650"/>
    <s v="Aisha Verma"/>
    <n v="28"/>
    <x v="1"/>
    <x v="0"/>
    <x v="2"/>
    <x v="2"/>
    <d v="2026-01-11T00:00:00"/>
    <d v="2026-02-11T00:00:00"/>
    <n v="2292000"/>
    <n v="191000"/>
    <n v="2492000"/>
    <n v="343800"/>
    <n v="6.36"/>
    <n v="57300"/>
    <n v="50"/>
    <n v="775"/>
    <x v="0"/>
    <x v="0"/>
    <x v="0"/>
    <n v="30"/>
    <n v="25458.25"/>
  </r>
  <r>
    <x v="651"/>
    <s v="Rohan Verma"/>
    <n v="23"/>
    <x v="0"/>
    <x v="4"/>
    <x v="0"/>
    <x v="2"/>
    <d v="2026-01-12T00:00:00"/>
    <d v="2026-02-12T00:00:00"/>
    <n v="2640000"/>
    <n v="220000"/>
    <n v="2840000"/>
    <n v="396000"/>
    <n v="7.5"/>
    <n v="66000"/>
    <n v="51"/>
    <n v="785"/>
    <x v="1"/>
    <x v="1"/>
    <x v="1"/>
    <n v="30"/>
    <n v="13005.68"/>
  </r>
  <r>
    <x v="652"/>
    <s v="Karan Nair"/>
    <n v="21"/>
    <x v="0"/>
    <x v="5"/>
    <x v="3"/>
    <x v="2"/>
    <d v="2026-01-13T00:00:00"/>
    <d v="2026-02-13T00:00:00"/>
    <n v="4992000"/>
    <n v="416000"/>
    <n v="5192000"/>
    <n v="748800"/>
    <n v="9.66"/>
    <n v="124800"/>
    <n v="51"/>
    <n v="613"/>
    <x v="1"/>
    <x v="1"/>
    <x v="1"/>
    <n v="30"/>
    <n v="25705.24"/>
  </r>
  <r>
    <x v="653"/>
    <s v="Vivaan Gupta"/>
    <n v="37"/>
    <x v="0"/>
    <x v="2"/>
    <x v="3"/>
    <x v="2"/>
    <d v="2026-01-14T00:00:00"/>
    <d v="2026-02-14T00:00:00"/>
    <n v="5724000"/>
    <n v="477000"/>
    <n v="5924000"/>
    <n v="858600"/>
    <n v="6.74"/>
    <n v="143100"/>
    <n v="48"/>
    <n v="673"/>
    <x v="1"/>
    <x v="1"/>
    <x v="1"/>
    <n v="30"/>
    <n v="19218.330000000002"/>
  </r>
  <r>
    <x v="654"/>
    <s v="Rahul Patel"/>
    <n v="36"/>
    <x v="0"/>
    <x v="2"/>
    <x v="1"/>
    <x v="2"/>
    <d v="2026-01-15T00:00:00"/>
    <d v="2026-02-15T00:00:00"/>
    <n v="4716000"/>
    <n v="393000"/>
    <n v="4916000"/>
    <n v="707400"/>
    <n v="7.48"/>
    <n v="117900"/>
    <n v="49"/>
    <n v="681"/>
    <x v="1"/>
    <x v="1"/>
    <x v="1"/>
    <n v="30"/>
    <n v="19153.919999999998"/>
  </r>
  <r>
    <x v="655"/>
    <s v="Diya Patel"/>
    <n v="54"/>
    <x v="1"/>
    <x v="1"/>
    <x v="1"/>
    <x v="2"/>
    <d v="2026-01-16T00:00:00"/>
    <d v="2026-02-16T00:00:00"/>
    <n v="5112000"/>
    <n v="426000"/>
    <n v="5312000"/>
    <n v="766800"/>
    <n v="5.86"/>
    <n v="127800"/>
    <n v="47"/>
    <n v="678"/>
    <x v="1"/>
    <x v="1"/>
    <x v="1"/>
    <n v="30"/>
    <n v="13415.57"/>
  </r>
  <r>
    <x v="656"/>
    <s v="Rahul Patel"/>
    <n v="55"/>
    <x v="0"/>
    <x v="1"/>
    <x v="2"/>
    <x v="2"/>
    <d v="2026-01-17T00:00:00"/>
    <d v="2026-02-17T00:00:00"/>
    <n v="2820000"/>
    <n v="235000"/>
    <n v="3020000"/>
    <n v="423000"/>
    <n v="5.95"/>
    <n v="70500"/>
    <n v="49"/>
    <n v="601"/>
    <x v="0"/>
    <x v="0"/>
    <x v="0"/>
    <n v="30"/>
    <n v="6436.26"/>
  </r>
  <r>
    <x v="657"/>
    <s v="Sanya Joshi"/>
    <n v="57"/>
    <x v="1"/>
    <x v="1"/>
    <x v="0"/>
    <x v="2"/>
    <d v="2026-01-18T00:00:00"/>
    <d v="2026-02-18T00:00:00"/>
    <n v="5304000"/>
    <n v="442000"/>
    <n v="5504000"/>
    <n v="795600"/>
    <n v="7.82"/>
    <n v="132600"/>
    <n v="49"/>
    <n v="604"/>
    <x v="1"/>
    <x v="1"/>
    <x v="1"/>
    <n v="30"/>
    <n v="31760.57"/>
  </r>
  <r>
    <x v="658"/>
    <s v="Meera Joshi"/>
    <n v="41"/>
    <x v="0"/>
    <x v="0"/>
    <x v="2"/>
    <x v="2"/>
    <d v="2026-01-19T00:00:00"/>
    <d v="2026-02-19T00:00:00"/>
    <n v="2880000"/>
    <n v="240000"/>
    <n v="3080000"/>
    <n v="432000"/>
    <n v="9.8000000000000007"/>
    <n v="72000"/>
    <n v="53"/>
    <n v="673"/>
    <x v="0"/>
    <x v="0"/>
    <x v="0"/>
    <n v="30"/>
    <n v="17887.41"/>
  </r>
  <r>
    <x v="659"/>
    <s v="Rohan Singh"/>
    <n v="56"/>
    <x v="1"/>
    <x v="3"/>
    <x v="1"/>
    <x v="2"/>
    <d v="2026-01-20T00:00:00"/>
    <d v="2026-02-20T00:00:00"/>
    <n v="3624000"/>
    <n v="302000"/>
    <n v="3824000"/>
    <n v="543600"/>
    <n v="6.03"/>
    <n v="90600"/>
    <n v="48"/>
    <n v="841"/>
    <x v="1"/>
    <x v="1"/>
    <x v="1"/>
    <n v="30"/>
    <n v="24300.54"/>
  </r>
  <r>
    <x v="660"/>
    <s v="Meera Sharma"/>
    <n v="37"/>
    <x v="1"/>
    <x v="4"/>
    <x v="4"/>
    <x v="2"/>
    <d v="2026-01-21T00:00:00"/>
    <d v="2026-02-21T00:00:00"/>
    <n v="1224000"/>
    <n v="102000"/>
    <n v="1424000"/>
    <n v="183600"/>
    <n v="9.73"/>
    <n v="30600"/>
    <n v="59"/>
    <n v="708"/>
    <x v="1"/>
    <x v="1"/>
    <x v="1"/>
    <n v="30"/>
    <n v="8467.3799999999992"/>
  </r>
  <r>
    <x v="661"/>
    <s v="Aarav Mehta"/>
    <n v="36"/>
    <x v="1"/>
    <x v="0"/>
    <x v="1"/>
    <x v="2"/>
    <d v="2026-01-22T00:00:00"/>
    <d v="2026-02-22T00:00:00"/>
    <n v="1500000"/>
    <n v="125000"/>
    <n v="1700000"/>
    <n v="225000"/>
    <n v="6.69"/>
    <n v="37500"/>
    <n v="53"/>
    <n v="636"/>
    <x v="1"/>
    <x v="1"/>
    <x v="1"/>
    <n v="30"/>
    <n v="24094.85"/>
  </r>
  <r>
    <x v="662"/>
    <s v="Ishaan Patel"/>
    <n v="33"/>
    <x v="1"/>
    <x v="1"/>
    <x v="0"/>
    <x v="2"/>
    <d v="2026-01-23T00:00:00"/>
    <d v="2026-02-23T00:00:00"/>
    <n v="1932000"/>
    <n v="161000"/>
    <n v="2132000"/>
    <n v="289800"/>
    <n v="8.51"/>
    <n v="48300"/>
    <n v="54"/>
    <n v="609"/>
    <x v="1"/>
    <x v="1"/>
    <x v="1"/>
    <n v="30"/>
    <n v="8671.18"/>
  </r>
  <r>
    <x v="663"/>
    <s v="Vivaan Singh"/>
    <n v="40"/>
    <x v="0"/>
    <x v="3"/>
    <x v="1"/>
    <x v="2"/>
    <d v="2026-01-24T00:00:00"/>
    <d v="2026-02-24T00:00:00"/>
    <n v="828000"/>
    <n v="69000"/>
    <n v="1028000"/>
    <n v="124200"/>
    <n v="7.63"/>
    <n v="20700"/>
    <n v="60"/>
    <n v="637"/>
    <x v="0"/>
    <x v="0"/>
    <x v="0"/>
    <n v="30"/>
    <n v="29821.26"/>
  </r>
  <r>
    <x v="664"/>
    <s v="Neha Nair"/>
    <n v="52"/>
    <x v="0"/>
    <x v="2"/>
    <x v="1"/>
    <x v="2"/>
    <d v="2026-01-25T00:00:00"/>
    <d v="2026-02-25T00:00:00"/>
    <n v="7008000"/>
    <n v="584000"/>
    <n v="7208000"/>
    <n v="1051200"/>
    <n v="7.16"/>
    <n v="175200"/>
    <n v="48"/>
    <n v="628"/>
    <x v="1"/>
    <x v="1"/>
    <x v="1"/>
    <n v="30"/>
    <n v="25435.5"/>
  </r>
  <r>
    <x v="665"/>
    <s v="Arjun Yadav"/>
    <n v="42"/>
    <x v="0"/>
    <x v="5"/>
    <x v="2"/>
    <x v="2"/>
    <d v="2026-01-26T00:00:00"/>
    <d v="2026-02-26T00:00:00"/>
    <n v="1236000"/>
    <n v="103000"/>
    <n v="1436000"/>
    <n v="185400"/>
    <n v="9.1300000000000008"/>
    <n v="30900"/>
    <n v="58"/>
    <n v="632"/>
    <x v="1"/>
    <x v="1"/>
    <x v="1"/>
    <n v="30"/>
    <n v="19196.259999999998"/>
  </r>
  <r>
    <x v="666"/>
    <s v="Pooja Kumar"/>
    <n v="25"/>
    <x v="0"/>
    <x v="4"/>
    <x v="3"/>
    <x v="2"/>
    <d v="2026-01-27T00:00:00"/>
    <d v="2026-02-27T00:00:00"/>
    <n v="2400000"/>
    <n v="200000"/>
    <n v="2600000"/>
    <n v="360000"/>
    <n v="7.49"/>
    <n v="60000"/>
    <n v="51"/>
    <n v="810"/>
    <x v="1"/>
    <x v="1"/>
    <x v="1"/>
    <n v="30"/>
    <n v="35595.120000000003"/>
  </r>
  <r>
    <x v="667"/>
    <s v="Rohan Nair"/>
    <n v="45"/>
    <x v="0"/>
    <x v="0"/>
    <x v="0"/>
    <x v="2"/>
    <d v="2026-01-28T00:00:00"/>
    <d v="2026-02-28T00:00:00"/>
    <n v="3144000"/>
    <n v="262000"/>
    <n v="3344000"/>
    <n v="471600"/>
    <n v="5.85"/>
    <n v="78600"/>
    <n v="48"/>
    <n v="680"/>
    <x v="1"/>
    <x v="1"/>
    <x v="1"/>
    <n v="30"/>
    <n v="12403.04"/>
  </r>
  <r>
    <x v="668"/>
    <s v="Kavya Singh"/>
    <n v="46"/>
    <x v="1"/>
    <x v="5"/>
    <x v="3"/>
    <x v="2"/>
    <d v="2026-01-29T00:00:00"/>
    <d v="2026-02-28T00:00:00"/>
    <n v="2664000"/>
    <n v="222000"/>
    <n v="2864000"/>
    <n v="399600"/>
    <n v="7.93"/>
    <n v="66600"/>
    <n v="51"/>
    <n v="849"/>
    <x v="1"/>
    <x v="1"/>
    <x v="1"/>
    <n v="30"/>
    <n v="28400.31"/>
  </r>
  <r>
    <x v="669"/>
    <s v="Ritika Nair"/>
    <n v="56"/>
    <x v="1"/>
    <x v="1"/>
    <x v="3"/>
    <x v="2"/>
    <d v="2026-01-30T00:00:00"/>
    <d v="2026-02-28T00:00:00"/>
    <n v="7476000"/>
    <n v="623000"/>
    <n v="7676000"/>
    <n v="1121400"/>
    <n v="5.44"/>
    <n v="186900"/>
    <n v="46"/>
    <n v="651"/>
    <x v="0"/>
    <x v="0"/>
    <x v="0"/>
    <n v="30"/>
    <n v="19222.439999999999"/>
  </r>
  <r>
    <x v="670"/>
    <s v="Aryan Kumar"/>
    <n v="44"/>
    <x v="1"/>
    <x v="3"/>
    <x v="3"/>
    <x v="2"/>
    <d v="2026-01-31T00:00:00"/>
    <d v="2026-02-28T00:00:00"/>
    <n v="5604000"/>
    <n v="467000"/>
    <n v="5804000"/>
    <n v="840600"/>
    <n v="9.68"/>
    <n v="140100"/>
    <n v="51"/>
    <n v="628"/>
    <x v="0"/>
    <x v="0"/>
    <x v="0"/>
    <n v="30"/>
    <n v="28848.45"/>
  </r>
  <r>
    <x v="671"/>
    <s v="Arjun Mehta"/>
    <n v="48"/>
    <x v="1"/>
    <x v="2"/>
    <x v="0"/>
    <x v="2"/>
    <d v="2026-02-01T00:00:00"/>
    <d v="2026-03-01T00:00:00"/>
    <n v="6960000"/>
    <n v="580000"/>
    <n v="7160000"/>
    <n v="870000"/>
    <n v="5.57"/>
    <n v="174000"/>
    <n v="46"/>
    <n v="640"/>
    <x v="1"/>
    <x v="1"/>
    <x v="1"/>
    <n v="30"/>
    <n v="10309.23"/>
  </r>
  <r>
    <x v="672"/>
    <s v="Aisha Joshi"/>
    <n v="32"/>
    <x v="1"/>
    <x v="0"/>
    <x v="0"/>
    <x v="2"/>
    <d v="2026-02-02T00:00:00"/>
    <d v="2026-03-02T00:00:00"/>
    <n v="3192000"/>
    <n v="266000"/>
    <n v="3392000"/>
    <n v="399000"/>
    <n v="7.66"/>
    <n v="79800"/>
    <n v="50"/>
    <n v="843"/>
    <x v="1"/>
    <x v="1"/>
    <x v="1"/>
    <n v="30"/>
    <n v="30768.61"/>
  </r>
  <r>
    <x v="673"/>
    <s v="Aarav Gupta"/>
    <n v="50"/>
    <x v="1"/>
    <x v="2"/>
    <x v="4"/>
    <x v="2"/>
    <d v="2026-02-03T00:00:00"/>
    <d v="2026-03-03T00:00:00"/>
    <n v="4872000"/>
    <n v="406000"/>
    <n v="5072000"/>
    <n v="609000"/>
    <n v="9.81"/>
    <n v="121800"/>
    <n v="52"/>
    <n v="607"/>
    <x v="1"/>
    <x v="1"/>
    <x v="1"/>
    <n v="30"/>
    <n v="42391.72"/>
  </r>
  <r>
    <x v="674"/>
    <s v="Aisha Gupta"/>
    <n v="41"/>
    <x v="1"/>
    <x v="5"/>
    <x v="0"/>
    <x v="2"/>
    <d v="2026-02-04T00:00:00"/>
    <d v="2026-03-04T00:00:00"/>
    <n v="816000"/>
    <n v="68000"/>
    <n v="1016000"/>
    <n v="102000"/>
    <n v="7.89"/>
    <n v="20400"/>
    <n v="61"/>
    <n v="641"/>
    <x v="1"/>
    <x v="1"/>
    <x v="1"/>
    <n v="30"/>
    <n v="13704"/>
  </r>
  <r>
    <x v="675"/>
    <s v="Rahul Mehta"/>
    <n v="29"/>
    <x v="1"/>
    <x v="4"/>
    <x v="0"/>
    <x v="2"/>
    <d v="2026-02-05T00:00:00"/>
    <d v="2026-03-05T00:00:00"/>
    <n v="5796000"/>
    <n v="483000"/>
    <n v="5996000"/>
    <n v="724500"/>
    <n v="5.65"/>
    <n v="144900"/>
    <n v="47"/>
    <n v="718"/>
    <x v="0"/>
    <x v="0"/>
    <x v="0"/>
    <n v="30"/>
    <n v="18708.05"/>
  </r>
  <r>
    <x v="676"/>
    <s v="Vivaan Sharma"/>
    <n v="39"/>
    <x v="0"/>
    <x v="3"/>
    <x v="4"/>
    <x v="2"/>
    <d v="2026-02-06T00:00:00"/>
    <d v="2026-03-06T00:00:00"/>
    <n v="8592000"/>
    <n v="716000"/>
    <n v="8792000"/>
    <n v="1074000"/>
    <n v="8.52"/>
    <n v="214800"/>
    <n v="49"/>
    <n v="803"/>
    <x v="1"/>
    <x v="1"/>
    <x v="1"/>
    <n v="30"/>
    <n v="33821.25"/>
  </r>
  <r>
    <x v="677"/>
    <s v="Karan Sharma"/>
    <n v="55"/>
    <x v="1"/>
    <x v="0"/>
    <x v="4"/>
    <x v="2"/>
    <d v="2026-02-07T00:00:00"/>
    <d v="2026-03-07T00:00:00"/>
    <n v="8928000"/>
    <n v="744000"/>
    <n v="9128000"/>
    <n v="1116000"/>
    <n v="6.83"/>
    <n v="223200"/>
    <n v="47"/>
    <n v="765"/>
    <x v="1"/>
    <x v="1"/>
    <x v="1"/>
    <n v="30"/>
    <n v="22105.119999999999"/>
  </r>
  <r>
    <x v="678"/>
    <s v="Rahul Patel"/>
    <n v="50"/>
    <x v="0"/>
    <x v="5"/>
    <x v="3"/>
    <x v="2"/>
    <d v="2026-02-08T00:00:00"/>
    <d v="2026-03-08T00:00:00"/>
    <n v="4128000"/>
    <n v="344000"/>
    <n v="4328000"/>
    <n v="516000"/>
    <n v="8.23"/>
    <n v="103200"/>
    <n v="50"/>
    <n v="690"/>
    <x v="1"/>
    <x v="1"/>
    <x v="1"/>
    <n v="30"/>
    <n v="19553.740000000002"/>
  </r>
  <r>
    <x v="679"/>
    <s v="Karan Verma"/>
    <n v="34"/>
    <x v="1"/>
    <x v="0"/>
    <x v="3"/>
    <x v="2"/>
    <d v="2026-02-09T00:00:00"/>
    <d v="2026-03-09T00:00:00"/>
    <n v="1128000"/>
    <n v="94000"/>
    <n v="1328000"/>
    <n v="141000"/>
    <n v="7.57"/>
    <n v="28200"/>
    <n v="57"/>
    <n v="764"/>
    <x v="0"/>
    <x v="0"/>
    <x v="0"/>
    <n v="30"/>
    <n v="14814.84"/>
  </r>
  <r>
    <x v="680"/>
    <s v="Aryan Mehta"/>
    <n v="29"/>
    <x v="1"/>
    <x v="0"/>
    <x v="4"/>
    <x v="2"/>
    <d v="2026-02-10T00:00:00"/>
    <d v="2026-03-10T00:00:00"/>
    <n v="8052000"/>
    <n v="671000"/>
    <n v="8252000"/>
    <n v="1006500"/>
    <n v="7.83"/>
    <n v="201300"/>
    <n v="48"/>
    <n v="723"/>
    <x v="1"/>
    <x v="1"/>
    <x v="1"/>
    <n v="30"/>
    <n v="21828.55"/>
  </r>
  <r>
    <x v="681"/>
    <s v="Neha Gupta"/>
    <n v="30"/>
    <x v="1"/>
    <x v="0"/>
    <x v="2"/>
    <x v="2"/>
    <d v="2026-02-11T00:00:00"/>
    <d v="2026-03-11T00:00:00"/>
    <n v="8400000"/>
    <n v="700000"/>
    <n v="8600000"/>
    <n v="1050000"/>
    <n v="9.17"/>
    <n v="210000"/>
    <n v="50"/>
    <n v="803"/>
    <x v="1"/>
    <x v="1"/>
    <x v="1"/>
    <n v="30"/>
    <n v="31043.22"/>
  </r>
  <r>
    <x v="682"/>
    <s v="Priya Nair"/>
    <n v="60"/>
    <x v="1"/>
    <x v="4"/>
    <x v="4"/>
    <x v="2"/>
    <d v="2026-02-12T00:00:00"/>
    <d v="2026-03-12T00:00:00"/>
    <n v="3012000"/>
    <n v="251000"/>
    <n v="3212000"/>
    <n v="376500"/>
    <n v="8.39"/>
    <n v="75300"/>
    <n v="51"/>
    <n v="703"/>
    <x v="1"/>
    <x v="1"/>
    <x v="1"/>
    <n v="30"/>
    <n v="15984.95"/>
  </r>
  <r>
    <x v="683"/>
    <s v="Aditya Patel"/>
    <n v="38"/>
    <x v="0"/>
    <x v="5"/>
    <x v="4"/>
    <x v="2"/>
    <d v="2026-02-13T00:00:00"/>
    <d v="2026-03-13T00:00:00"/>
    <n v="2556000"/>
    <n v="213000"/>
    <n v="2756000"/>
    <n v="319500"/>
    <n v="7.62"/>
    <n v="63900"/>
    <n v="51"/>
    <n v="790"/>
    <x v="1"/>
    <x v="1"/>
    <x v="1"/>
    <n v="30"/>
    <n v="25522.2"/>
  </r>
  <r>
    <x v="684"/>
    <s v="Priya Patel"/>
    <n v="26"/>
    <x v="1"/>
    <x v="1"/>
    <x v="4"/>
    <x v="2"/>
    <d v="2026-02-14T00:00:00"/>
    <d v="2026-03-14T00:00:00"/>
    <n v="3132000"/>
    <n v="261000"/>
    <n v="3332000"/>
    <n v="391500"/>
    <n v="5.24"/>
    <n v="78300"/>
    <n v="48"/>
    <n v="667"/>
    <x v="1"/>
    <x v="1"/>
    <x v="1"/>
    <n v="30"/>
    <n v="21118.17"/>
  </r>
  <r>
    <x v="685"/>
    <s v="Neha Sharma"/>
    <n v="59"/>
    <x v="0"/>
    <x v="3"/>
    <x v="2"/>
    <x v="2"/>
    <d v="2026-02-15T00:00:00"/>
    <d v="2026-03-15T00:00:00"/>
    <n v="5124000"/>
    <n v="427000"/>
    <n v="5324000"/>
    <n v="640500"/>
    <n v="9.1199999999999992"/>
    <n v="128100"/>
    <n v="51"/>
    <n v="778"/>
    <x v="1"/>
    <x v="1"/>
    <x v="1"/>
    <n v="30"/>
    <n v="32173.040000000001"/>
  </r>
  <r>
    <x v="686"/>
    <s v="Priya Joshi"/>
    <n v="58"/>
    <x v="1"/>
    <x v="1"/>
    <x v="0"/>
    <x v="2"/>
    <d v="2026-02-16T00:00:00"/>
    <d v="2026-03-16T00:00:00"/>
    <n v="7500000"/>
    <n v="625000"/>
    <n v="7700000"/>
    <n v="937500"/>
    <n v="7.62"/>
    <n v="187500"/>
    <n v="48"/>
    <n v="671"/>
    <x v="0"/>
    <x v="0"/>
    <x v="0"/>
    <n v="30"/>
    <n v="28403.05"/>
  </r>
  <r>
    <x v="687"/>
    <s v="Ritika Joshi"/>
    <n v="32"/>
    <x v="1"/>
    <x v="1"/>
    <x v="4"/>
    <x v="2"/>
    <d v="2026-02-17T00:00:00"/>
    <d v="2026-03-17T00:00:00"/>
    <n v="4968000"/>
    <n v="414000"/>
    <n v="5168000"/>
    <n v="621000"/>
    <n v="5.7"/>
    <n v="124200"/>
    <n v="47"/>
    <n v="643"/>
    <x v="0"/>
    <x v="0"/>
    <x v="0"/>
    <n v="30"/>
    <n v="24259.52"/>
  </r>
  <r>
    <x v="688"/>
    <s v="Ritika Patel"/>
    <n v="41"/>
    <x v="0"/>
    <x v="4"/>
    <x v="1"/>
    <x v="2"/>
    <d v="2026-02-18T00:00:00"/>
    <d v="2026-03-18T00:00:00"/>
    <n v="4152000"/>
    <n v="346000"/>
    <n v="4352000"/>
    <n v="519000"/>
    <n v="6.99"/>
    <n v="103800"/>
    <n v="49"/>
    <n v="713"/>
    <x v="1"/>
    <x v="1"/>
    <x v="1"/>
    <n v="30"/>
    <n v="23424.06"/>
  </r>
  <r>
    <x v="689"/>
    <s v="Arjun Joshi"/>
    <n v="29"/>
    <x v="1"/>
    <x v="0"/>
    <x v="2"/>
    <x v="2"/>
    <d v="2026-02-19T00:00:00"/>
    <d v="2026-03-19T00:00:00"/>
    <n v="7944000"/>
    <n v="662000"/>
    <n v="8144000"/>
    <n v="993000"/>
    <n v="9.44"/>
    <n v="198600"/>
    <n v="50"/>
    <n v="784"/>
    <x v="0"/>
    <x v="0"/>
    <x v="0"/>
    <n v="30"/>
    <n v="22163.86"/>
  </r>
  <r>
    <x v="690"/>
    <s v="Sneha Gupta"/>
    <n v="32"/>
    <x v="0"/>
    <x v="2"/>
    <x v="0"/>
    <x v="2"/>
    <d v="2026-02-20T00:00:00"/>
    <d v="2026-03-20T00:00:00"/>
    <n v="2928000"/>
    <n v="244000"/>
    <n v="3128000"/>
    <n v="366000"/>
    <n v="7.6"/>
    <n v="73200"/>
    <n v="50"/>
    <n v="741"/>
    <x v="1"/>
    <x v="1"/>
    <x v="1"/>
    <n v="30"/>
    <n v="24492.87"/>
  </r>
  <r>
    <x v="691"/>
    <s v="Karan Yadav"/>
    <n v="47"/>
    <x v="0"/>
    <x v="3"/>
    <x v="2"/>
    <x v="2"/>
    <d v="2026-02-21T00:00:00"/>
    <d v="2026-03-21T00:00:00"/>
    <n v="4488000"/>
    <n v="374000"/>
    <n v="4688000"/>
    <n v="561000"/>
    <n v="6.77"/>
    <n v="112200"/>
    <n v="48"/>
    <n v="793"/>
    <x v="0"/>
    <x v="0"/>
    <x v="0"/>
    <n v="30"/>
    <n v="27818.25"/>
  </r>
  <r>
    <x v="692"/>
    <s v="Kavya Verma"/>
    <n v="38"/>
    <x v="0"/>
    <x v="0"/>
    <x v="0"/>
    <x v="2"/>
    <d v="2026-02-22T00:00:00"/>
    <d v="2026-03-22T00:00:00"/>
    <n v="4980000"/>
    <n v="415000"/>
    <n v="5180000"/>
    <n v="622500"/>
    <n v="6.27"/>
    <n v="124500"/>
    <n v="48"/>
    <n v="781"/>
    <x v="1"/>
    <x v="1"/>
    <x v="1"/>
    <n v="30"/>
    <n v="14615.61"/>
  </r>
  <r>
    <x v="693"/>
    <s v="Diya Joshi"/>
    <n v="37"/>
    <x v="1"/>
    <x v="1"/>
    <x v="0"/>
    <x v="2"/>
    <d v="2026-02-23T00:00:00"/>
    <d v="2026-03-23T00:00:00"/>
    <n v="5664000"/>
    <n v="472000"/>
    <n v="5864000"/>
    <n v="708000"/>
    <n v="5.3"/>
    <n v="141600"/>
    <n v="46"/>
    <n v="708"/>
    <x v="1"/>
    <x v="1"/>
    <x v="1"/>
    <n v="30"/>
    <n v="18213.169999999998"/>
  </r>
  <r>
    <x v="694"/>
    <s v="Diya Mehta"/>
    <n v="55"/>
    <x v="1"/>
    <x v="4"/>
    <x v="4"/>
    <x v="2"/>
    <d v="2026-02-24T00:00:00"/>
    <d v="2026-03-24T00:00:00"/>
    <n v="1332000"/>
    <n v="111000"/>
    <n v="1532000"/>
    <n v="166500"/>
    <n v="7.2"/>
    <n v="33300"/>
    <n v="54"/>
    <n v="802"/>
    <x v="0"/>
    <x v="0"/>
    <x v="0"/>
    <n v="30"/>
    <n v="15147.07"/>
  </r>
  <r>
    <x v="695"/>
    <s v="Neha Gupta"/>
    <n v="32"/>
    <x v="0"/>
    <x v="5"/>
    <x v="4"/>
    <x v="2"/>
    <d v="2026-02-25T00:00:00"/>
    <d v="2026-03-25T00:00:00"/>
    <n v="2436000"/>
    <n v="203000"/>
    <n v="2636000"/>
    <n v="304500"/>
    <n v="5.63"/>
    <n v="60900"/>
    <n v="49"/>
    <n v="759"/>
    <x v="1"/>
    <x v="1"/>
    <x v="1"/>
    <n v="30"/>
    <n v="4868.8900000000003"/>
  </r>
  <r>
    <x v="696"/>
    <s v="Aarav Kumar"/>
    <n v="54"/>
    <x v="1"/>
    <x v="3"/>
    <x v="1"/>
    <x v="2"/>
    <d v="2026-02-26T00:00:00"/>
    <d v="2026-03-26T00:00:00"/>
    <n v="2472000"/>
    <n v="206000"/>
    <n v="2672000"/>
    <n v="309000"/>
    <n v="6.97"/>
    <n v="61800"/>
    <n v="50"/>
    <n v="725"/>
    <x v="1"/>
    <x v="1"/>
    <x v="1"/>
    <n v="30"/>
    <n v="26495.91"/>
  </r>
  <r>
    <x v="697"/>
    <s v="Sneha Yadav"/>
    <n v="47"/>
    <x v="0"/>
    <x v="2"/>
    <x v="3"/>
    <x v="2"/>
    <d v="2026-02-27T00:00:00"/>
    <d v="2026-03-27T00:00:00"/>
    <n v="3696000"/>
    <n v="308000"/>
    <n v="3896000"/>
    <n v="462000"/>
    <n v="9.41"/>
    <n v="92400"/>
    <n v="52"/>
    <n v="806"/>
    <x v="1"/>
    <x v="1"/>
    <x v="1"/>
    <n v="30"/>
    <n v="12276.93"/>
  </r>
  <r>
    <x v="698"/>
    <s v="Rahul Verma"/>
    <n v="52"/>
    <x v="1"/>
    <x v="5"/>
    <x v="0"/>
    <x v="2"/>
    <d v="2026-02-28T00:00:00"/>
    <d v="2026-03-28T00:00:00"/>
    <n v="8772000"/>
    <n v="731000"/>
    <n v="8972000"/>
    <n v="1096500"/>
    <n v="6.25"/>
    <n v="219300"/>
    <n v="47"/>
    <n v="678"/>
    <x v="1"/>
    <x v="1"/>
    <x v="1"/>
    <n v="30"/>
    <n v="2531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3042F1-DAA8-4DA6-815B-20DDEFADD58A}" name="PivotTable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H3:I5" firstHeaderRow="1" firstDataRow="1" firstDataCol="1"/>
  <pivotFields count="22">
    <pivotField dataField="1" showAll="0"/>
    <pivotField showAll="0"/>
    <pivotField numFmtId="1" showAll="0"/>
    <pivotField showAll="0"/>
    <pivotField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showAll="0"/>
    <pivotField showAll="0"/>
    <pivotField numFmtId="165" showAll="0"/>
    <pivotField showAll="0"/>
    <pivotField showAll="0"/>
    <pivotField axis="axisRow" showAll="0">
      <items count="4">
        <item x="1"/>
        <item x="0"/>
        <item m="1" x="2"/>
        <item t="default"/>
      </items>
    </pivotField>
    <pivotField showAll="0"/>
    <pivotField showAll="0"/>
    <pivotField showAll="0"/>
    <pivotField numFmtId="164" showAll="0"/>
  </pivotFields>
  <rowFields count="1">
    <field x="17"/>
  </rowFields>
  <rowItems count="2">
    <i>
      <x/>
    </i>
    <i>
      <x v="1"/>
    </i>
  </rowItems>
  <colItems count="1">
    <i/>
  </colItems>
  <dataFields count="1">
    <dataField name="Count of Loan_ID" fld="0" subtotal="count" baseField="0" baseItem="0"/>
  </dataFields>
  <formats count="20">
    <format dxfId="19">
      <pivotArea type="all" dataOnly="0" outline="0" fieldPosition="0"/>
    </format>
    <format dxfId="18">
      <pivotArea outline="0" collapsedLevelsAreSubtotals="1" fieldPosition="0"/>
    </format>
    <format dxfId="17">
      <pivotArea field="17" type="button" dataOnly="0" labelOnly="1" outline="0" axis="axisRow" fieldPosition="0"/>
    </format>
    <format dxfId="16">
      <pivotArea dataOnly="0" labelOnly="1" fieldPosition="0">
        <references count="1">
          <reference field="17" count="0"/>
        </references>
      </pivotArea>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17" type="button" dataOnly="0" labelOnly="1" outline="0" axis="axisRow" fieldPosition="0"/>
    </format>
    <format dxfId="11">
      <pivotArea dataOnly="0" labelOnly="1" fieldPosition="0">
        <references count="1">
          <reference field="17" count="0"/>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7" type="button" dataOnly="0" labelOnly="1" outline="0" axis="axisRow" fieldPosition="0"/>
    </format>
    <format dxfId="6">
      <pivotArea dataOnly="0" labelOnly="1" fieldPosition="0">
        <references count="1">
          <reference field="17"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7" type="button" dataOnly="0" labelOnly="1" outline="0" axis="axisRow" fieldPosition="0"/>
    </format>
    <format dxfId="1">
      <pivotArea dataOnly="0" labelOnly="1" fieldPosition="0">
        <references count="1">
          <reference field="17" count="0"/>
        </references>
      </pivotArea>
    </format>
    <format dxfId="0">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7" count="1" selected="0">
            <x v="0"/>
          </reference>
        </references>
      </pivotArea>
    </chartFormat>
    <chartFormat chart="2" format="7">
      <pivotArea type="data" outline="0" fieldPosition="0">
        <references count="2">
          <reference field="4294967294" count="1" selected="0">
            <x v="0"/>
          </reference>
          <reference field="17" count="1" selected="0">
            <x v="1"/>
          </reference>
        </references>
      </pivotArea>
    </chartFormat>
    <chartFormat chart="2"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B8603D-38A9-482F-9E4B-8C170BAF4435}" name="PivotTable18" cacheId="0" dataOnRows="1" applyNumberFormats="0" applyBorderFormats="0" applyFontFormats="0" applyPatternFormats="0" applyAlignmentFormats="0" applyWidthHeightFormats="1" dataCaption="metrics" updatedVersion="6" minRefreshableVersion="3" useAutoFormatting="1" rowGrandTotals="0" itemPrintTitles="1" createdVersion="6" indent="0" outline="1" outlineData="1" multipleFieldFilters="0" chartFormat="3">
  <location ref="A20:B26" firstHeaderRow="1" firstDataRow="1" firstDataCol="1"/>
  <pivotFields count="22">
    <pivotField showAll="0"/>
    <pivotField showAll="0"/>
    <pivotField numFmtId="1" showAll="0"/>
    <pivotField showAll="0"/>
    <pivotField axis="axisRow"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showAll="0"/>
    <pivotField showAll="0"/>
    <pivotField numFmtId="165" showAll="0"/>
    <pivotField showAll="0"/>
    <pivotField showAll="0"/>
    <pivotField showAll="0"/>
    <pivotField showAll="0"/>
    <pivotField showAll="0"/>
    <pivotField showAll="0"/>
    <pivotField dataField="1" numFmtId="164" showAll="0"/>
  </pivotFields>
  <rowFields count="1">
    <field x="4"/>
  </rowFields>
  <rowItems count="6">
    <i>
      <x/>
    </i>
    <i>
      <x v="1"/>
    </i>
    <i>
      <x v="2"/>
    </i>
    <i>
      <x v="3"/>
    </i>
    <i>
      <x v="4"/>
    </i>
    <i>
      <x v="5"/>
    </i>
  </rowItems>
  <colItems count="1">
    <i/>
  </colItems>
  <dataFields count="1">
    <dataField name="Sum of Profit" fld="21" baseField="0" baseItem="0" numFmtId="165"/>
  </dataFields>
  <formats count="21">
    <format dxfId="40">
      <pivotArea outline="0" collapsedLevelsAreSubtotals="1" fieldPosition="0"/>
    </format>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0"/>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4" type="button" dataOnly="0" labelOnly="1" outline="0" axis="axisRow" fieldPosition="0"/>
    </format>
    <format dxfId="31">
      <pivotArea dataOnly="0" labelOnly="1" fieldPosition="0">
        <references count="1">
          <reference field="4" count="0"/>
        </references>
      </pivotArea>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4" type="button" dataOnly="0" labelOnly="1" outline="0" axis="axisRow" fieldPosition="0"/>
    </format>
    <format dxfId="21">
      <pivotArea dataOnly="0" labelOnly="1" fieldPosition="0">
        <references count="1">
          <reference field="4" count="0"/>
        </references>
      </pivotArea>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8705D-0E7F-46DC-999E-37CFA8CAD41E}" name="PivotTable30"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D18:E23" firstHeaderRow="1" firstDataRow="1" firstDataCol="1"/>
  <pivotFields count="22">
    <pivotField showAll="0"/>
    <pivotField showAll="0"/>
    <pivotField numFmtId="1" showAll="0"/>
    <pivotField showAll="0"/>
    <pivotField showAll="0">
      <items count="7">
        <item x="3"/>
        <item x="2"/>
        <item x="1"/>
        <item x="4"/>
        <item x="5"/>
        <item x="0"/>
        <item t="default"/>
      </items>
    </pivotField>
    <pivotField axis="axisRow"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dataField="1" showAll="0"/>
    <pivotField showAll="0"/>
    <pivotField numFmtId="165" showAll="0"/>
    <pivotField showAll="0"/>
    <pivotField showAll="0"/>
    <pivotField showAll="0"/>
    <pivotField showAll="0"/>
    <pivotField showAll="0"/>
    <pivotField showAll="0"/>
    <pivotField numFmtId="164" showAll="0"/>
  </pivotFields>
  <rowFields count="1">
    <field x="5"/>
  </rowFields>
  <rowItems count="5">
    <i>
      <x/>
    </i>
    <i>
      <x v="1"/>
    </i>
    <i>
      <x v="2"/>
    </i>
    <i>
      <x v="3"/>
    </i>
    <i>
      <x v="4"/>
    </i>
  </rowItems>
  <colItems count="1">
    <i/>
  </colItems>
  <dataFields count="1">
    <dataField name="Sum of total_amount_paid" fld="12" baseField="0" baseItem="0" numFmtId="165"/>
  </dataFields>
  <formats count="21">
    <format dxfId="61">
      <pivotArea outline="0" collapsedLevelsAreSubtotals="1" fieldPosition="0"/>
    </format>
    <format dxfId="60">
      <pivotArea type="all" dataOnly="0" outline="0" fieldPosition="0"/>
    </format>
    <format dxfId="59">
      <pivotArea outline="0" collapsedLevelsAreSubtotals="1" fieldPosition="0"/>
    </format>
    <format dxfId="58">
      <pivotArea field="5" type="button" dataOnly="0" labelOnly="1" outline="0" axis="axisRow" fieldPosition="0"/>
    </format>
    <format dxfId="57">
      <pivotArea dataOnly="0" labelOnly="1" fieldPosition="0">
        <references count="1">
          <reference field="5" count="0"/>
        </references>
      </pivotArea>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5" type="button" dataOnly="0" labelOnly="1" outline="0" axis="axisRow" fieldPosition="0"/>
    </format>
    <format dxfId="52">
      <pivotArea dataOnly="0" labelOnly="1" fieldPosition="0">
        <references count="1">
          <reference field="5" count="0"/>
        </references>
      </pivotArea>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5" type="button" dataOnly="0" labelOnly="1" outline="0" axis="axisRow" fieldPosition="0"/>
    </format>
    <format dxfId="47">
      <pivotArea dataOnly="0" labelOnly="1" fieldPosition="0">
        <references count="1">
          <reference field="5" count="0"/>
        </references>
      </pivotArea>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5" type="button" dataOnly="0" labelOnly="1" outline="0" axis="axisRow" fieldPosition="0"/>
    </format>
    <format dxfId="42">
      <pivotArea dataOnly="0" labelOnly="1" fieldPosition="0">
        <references count="1">
          <reference field="5" count="0"/>
        </references>
      </pivotArea>
    </format>
    <format dxfId="4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B0C39-E6D2-4A15-B6CC-467ACA5CC0E3}" name="PivotTable2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K12:L17" firstHeaderRow="1" firstDataRow="1" firstDataCol="1"/>
  <pivotFields count="22">
    <pivotField showAll="0"/>
    <pivotField showAll="0"/>
    <pivotField numFmtId="1" showAll="0"/>
    <pivotField showAll="0"/>
    <pivotField showAll="0">
      <items count="7">
        <item x="3"/>
        <item x="2"/>
        <item x="1"/>
        <item x="4"/>
        <item x="5"/>
        <item x="0"/>
        <item t="default"/>
      </items>
    </pivotField>
    <pivotField axis="axisRow"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showAll="0"/>
    <pivotField dataField="1" showAll="0"/>
    <pivotField numFmtId="165" showAll="0"/>
    <pivotField showAll="0"/>
    <pivotField showAll="0"/>
    <pivotField showAll="0"/>
    <pivotField showAll="0"/>
    <pivotField showAll="0"/>
    <pivotField showAll="0"/>
    <pivotField numFmtId="164" showAll="0"/>
  </pivotFields>
  <rowFields count="1">
    <field x="5"/>
  </rowFields>
  <rowItems count="5">
    <i>
      <x/>
    </i>
    <i>
      <x v="1"/>
    </i>
    <i>
      <x v="2"/>
    </i>
    <i>
      <x v="3"/>
    </i>
    <i>
      <x v="4"/>
    </i>
  </rowItems>
  <colItems count="1">
    <i/>
  </colItems>
  <dataFields count="1">
    <dataField name="Average of Interest_Rate" fld="13" subtotal="average" baseField="5" baseItem="0"/>
  </dataFields>
  <formats count="20">
    <format dxfId="81">
      <pivotArea type="all" dataOnly="0" outline="0" fieldPosition="0"/>
    </format>
    <format dxfId="80">
      <pivotArea outline="0" collapsedLevelsAreSubtotals="1" fieldPosition="0"/>
    </format>
    <format dxfId="79">
      <pivotArea field="5" type="button" dataOnly="0" labelOnly="1" outline="0" axis="axisRow" fieldPosition="0"/>
    </format>
    <format dxfId="78">
      <pivotArea dataOnly="0" labelOnly="1" fieldPosition="0">
        <references count="1">
          <reference field="5"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field="5" type="button" dataOnly="0" labelOnly="1" outline="0" axis="axisRow" fieldPosition="0"/>
    </format>
    <format dxfId="73">
      <pivotArea dataOnly="0" labelOnly="1" fieldPosition="0">
        <references count="1">
          <reference field="5" count="0"/>
        </references>
      </pivotArea>
    </format>
    <format dxfId="72">
      <pivotArea dataOnly="0" labelOnly="1" grandRow="1" outline="0" fieldPosition="0"/>
    </format>
    <format dxfId="71">
      <pivotArea dataOnly="0" labelOnly="1" outline="0" axis="axisValues" fieldPosition="0"/>
    </format>
    <format dxfId="70">
      <pivotArea collapsedLevelsAreSubtotals="1" fieldPosition="0">
        <references count="1">
          <reference field="5" count="0"/>
        </references>
      </pivotArea>
    </format>
    <format dxfId="69">
      <pivotArea field="5" type="button" dataOnly="0" labelOnly="1" outline="0" axis="axisRow" fieldPosition="0"/>
    </format>
    <format dxfId="68">
      <pivotArea dataOnly="0" labelOnly="1" fieldPosition="0">
        <references count="1">
          <reference field="5" count="0"/>
        </references>
      </pivotArea>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5" type="button" dataOnly="0" labelOnly="1" outline="0" axis="axisRow" fieldPosition="0"/>
    </format>
    <format dxfId="63">
      <pivotArea dataOnly="0" labelOnly="1" fieldPosition="0">
        <references count="1">
          <reference field="5" count="0"/>
        </references>
      </pivotArea>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36EC0-25EA-4B07-96EE-AEDFCBDB3807}" name="PivotTable3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N3:O9" firstHeaderRow="1" firstDataRow="1" firstDataCol="1"/>
  <pivotFields count="22">
    <pivotField showAll="0"/>
    <pivotField showAll="0"/>
    <pivotField numFmtId="1" showAll="0"/>
    <pivotField showAll="0"/>
    <pivotField axis="axisRow"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dataField="1" numFmtId="165" showAll="0"/>
    <pivotField numFmtId="165" showAll="0"/>
    <pivotField numFmtId="165" showAll="0"/>
    <pivotField showAll="0"/>
    <pivotField showAll="0"/>
    <pivotField numFmtId="165" showAll="0"/>
    <pivotField showAll="0"/>
    <pivotField showAll="0"/>
    <pivotField showAll="0"/>
    <pivotField showAll="0"/>
    <pivotField showAll="0"/>
    <pivotField showAll="0"/>
    <pivotField numFmtId="164" showAll="0"/>
  </pivotFields>
  <rowFields count="1">
    <field x="4"/>
  </rowFields>
  <rowItems count="6">
    <i>
      <x/>
    </i>
    <i>
      <x v="1"/>
    </i>
    <i>
      <x v="2"/>
    </i>
    <i>
      <x v="3"/>
    </i>
    <i>
      <x v="4"/>
    </i>
    <i>
      <x v="5"/>
    </i>
  </rowItems>
  <colItems count="1">
    <i/>
  </colItems>
  <dataFields count="1">
    <dataField name="Average of Annual_Income" fld="9" subtotal="average" baseField="4" baseItem="0" numFmtId="165"/>
  </dataFields>
  <formats count="21">
    <format dxfId="102">
      <pivotArea outline="0" collapsedLevelsAreSubtotals="1" fieldPosition="0"/>
    </format>
    <format dxfId="101">
      <pivotArea type="all" dataOnly="0" outline="0" fieldPosition="0"/>
    </format>
    <format dxfId="100">
      <pivotArea outline="0" collapsedLevelsAreSubtotals="1" fieldPosition="0"/>
    </format>
    <format dxfId="99">
      <pivotArea field="4" type="button" dataOnly="0" labelOnly="1" outline="0" axis="axisRow" fieldPosition="0"/>
    </format>
    <format dxfId="98">
      <pivotArea dataOnly="0" labelOnly="1" fieldPosition="0">
        <references count="1">
          <reference field="4" count="0"/>
        </references>
      </pivotArea>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4" type="button" dataOnly="0" labelOnly="1" outline="0" axis="axisRow" fieldPosition="0"/>
    </format>
    <format dxfId="93">
      <pivotArea dataOnly="0" labelOnly="1" fieldPosition="0">
        <references count="1">
          <reference field="4" count="0"/>
        </references>
      </pivotArea>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4" type="button" dataOnly="0" labelOnly="1" outline="0" axis="axisRow" fieldPosition="0"/>
    </format>
    <format dxfId="88">
      <pivotArea dataOnly="0" labelOnly="1" fieldPosition="0">
        <references count="1">
          <reference field="4" count="0"/>
        </references>
      </pivotArea>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4" type="button" dataOnly="0" labelOnly="1" outline="0" axis="axisRow" fieldPosition="0"/>
    </format>
    <format dxfId="83">
      <pivotArea dataOnly="0" labelOnly="1" fieldPosition="0">
        <references count="1">
          <reference field="4" count="0"/>
        </references>
      </pivotArea>
    </format>
    <format dxfId="8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7FDA42-37F7-44B1-98B6-5B7406F01264}" name="PivotTable1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H9:I11" firstHeaderRow="1" firstDataRow="1" firstDataCol="1"/>
  <pivotFields count="22">
    <pivotField dataField="1" showAll="0"/>
    <pivotField showAll="0"/>
    <pivotField numFmtId="1" showAll="0"/>
    <pivotField showAll="0"/>
    <pivotField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showAll="0"/>
    <pivotField showAll="0"/>
    <pivotField numFmtId="165" showAll="0"/>
    <pivotField showAll="0"/>
    <pivotField showAll="0"/>
    <pivotField showAll="0"/>
    <pivotField showAll="0"/>
    <pivotField axis="axisRow" showAll="0">
      <items count="4">
        <item x="0"/>
        <item x="1"/>
        <item m="1" x="2"/>
        <item t="default"/>
      </items>
    </pivotField>
    <pivotField showAll="0"/>
    <pivotField numFmtId="164" showAll="0"/>
  </pivotFields>
  <rowFields count="1">
    <field x="19"/>
  </rowFields>
  <rowItems count="2">
    <i>
      <x/>
    </i>
    <i>
      <x v="1"/>
    </i>
  </rowItems>
  <colItems count="1">
    <i/>
  </colItems>
  <dataFields count="1">
    <dataField name="Count of Loan_ID" fld="0" subtotal="count" baseField="0" baseItem="0"/>
  </dataFields>
  <formats count="20">
    <format dxfId="122">
      <pivotArea type="all" dataOnly="0" outline="0" fieldPosition="0"/>
    </format>
    <format dxfId="121">
      <pivotArea outline="0" collapsedLevelsAreSubtotals="1" fieldPosition="0"/>
    </format>
    <format dxfId="120">
      <pivotArea field="19" type="button" dataOnly="0" labelOnly="1" outline="0" axis="axisRow" fieldPosition="0"/>
    </format>
    <format dxfId="119">
      <pivotArea dataOnly="0" labelOnly="1" fieldPosition="0">
        <references count="1">
          <reference field="19" count="0"/>
        </references>
      </pivotArea>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19" type="button" dataOnly="0" labelOnly="1" outline="0" axis="axisRow" fieldPosition="0"/>
    </format>
    <format dxfId="114">
      <pivotArea dataOnly="0" labelOnly="1" fieldPosition="0">
        <references count="1">
          <reference field="19" count="0"/>
        </references>
      </pivotArea>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19" type="button" dataOnly="0" labelOnly="1" outline="0" axis="axisRow" fieldPosition="0"/>
    </format>
    <format dxfId="109">
      <pivotArea dataOnly="0" labelOnly="1" fieldPosition="0">
        <references count="1">
          <reference field="19" count="0"/>
        </references>
      </pivotArea>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19" type="button" dataOnly="0" labelOnly="1" outline="0" axis="axisRow" fieldPosition="0"/>
    </format>
    <format dxfId="104">
      <pivotArea dataOnly="0" labelOnly="1" fieldPosition="0">
        <references count="1">
          <reference field="19" count="0"/>
        </references>
      </pivotArea>
    </format>
    <format dxfId="103">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9" count="1" selected="0">
            <x v="0"/>
          </reference>
        </references>
      </pivotArea>
    </chartFormat>
    <chartFormat chart="4" format="7">
      <pivotArea type="data" outline="0" fieldPosition="0">
        <references count="2">
          <reference field="4294967294" count="1" selected="0">
            <x v="0"/>
          </reference>
          <reference field="19" count="1" selected="0">
            <x v="1"/>
          </reference>
        </references>
      </pivotArea>
    </chartFormat>
    <chartFormat chart="4"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5F5B24-A62D-415A-B9F9-F910CA692855}" name="PivotTable1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A12:B17" firstHeaderRow="1" firstDataRow="1" firstDataCol="1"/>
  <pivotFields count="22">
    <pivotField showAll="0"/>
    <pivotField showAll="0"/>
    <pivotField numFmtId="1" showAll="0"/>
    <pivotField showAll="0"/>
    <pivotField showAll="0">
      <items count="7">
        <item x="3"/>
        <item x="2"/>
        <item x="1"/>
        <item x="4"/>
        <item x="5"/>
        <item x="0"/>
        <item t="default"/>
      </items>
    </pivotField>
    <pivotField axis="axisRow"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dataField="1" numFmtId="165" showAll="0"/>
    <pivotField showAll="0"/>
    <pivotField showAll="0"/>
    <pivotField numFmtId="165" showAll="0"/>
    <pivotField showAll="0"/>
    <pivotField showAll="0"/>
    <pivotField showAll="0"/>
    <pivotField showAll="0"/>
    <pivotField showAll="0"/>
    <pivotField showAll="0"/>
    <pivotField numFmtId="164" showAll="0"/>
  </pivotFields>
  <rowFields count="1">
    <field x="5"/>
  </rowFields>
  <rowItems count="5">
    <i>
      <x/>
    </i>
    <i>
      <x v="1"/>
    </i>
    <i>
      <x v="2"/>
    </i>
    <i>
      <x v="3"/>
    </i>
    <i>
      <x v="4"/>
    </i>
  </rowItems>
  <colItems count="1">
    <i/>
  </colItems>
  <dataFields count="1">
    <dataField name="Sum of Loan_Amount" fld="11" baseField="0" baseItem="0"/>
  </dataFields>
  <formats count="21">
    <format dxfId="143">
      <pivotArea outline="0" collapsedLevelsAreSubtotals="1" fieldPosition="0"/>
    </format>
    <format dxfId="142">
      <pivotArea type="all" dataOnly="0" outline="0" fieldPosition="0"/>
    </format>
    <format dxfId="141">
      <pivotArea outline="0" collapsedLevelsAreSubtotals="1" fieldPosition="0"/>
    </format>
    <format dxfId="140">
      <pivotArea field="5" type="button" dataOnly="0" labelOnly="1" outline="0" axis="axisRow" fieldPosition="0"/>
    </format>
    <format dxfId="139">
      <pivotArea dataOnly="0" labelOnly="1" fieldPosition="0">
        <references count="1">
          <reference field="5" count="0"/>
        </references>
      </pivotArea>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5" type="button" dataOnly="0" labelOnly="1" outline="0" axis="axisRow" fieldPosition="0"/>
    </format>
    <format dxfId="134">
      <pivotArea dataOnly="0" labelOnly="1" fieldPosition="0">
        <references count="1">
          <reference field="5" count="0"/>
        </references>
      </pivotArea>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5" type="button" dataOnly="0" labelOnly="1" outline="0" axis="axisRow" fieldPosition="0"/>
    </format>
    <format dxfId="129">
      <pivotArea dataOnly="0" labelOnly="1" fieldPosition="0">
        <references count="1">
          <reference field="5" count="0"/>
        </references>
      </pivotArea>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5" type="button" dataOnly="0" labelOnly="1" outline="0" axis="axisRow" fieldPosition="0"/>
    </format>
    <format dxfId="124">
      <pivotArea dataOnly="0" labelOnly="1" fieldPosition="0">
        <references count="1">
          <reference field="5" count="0"/>
        </references>
      </pivotArea>
    </format>
    <format dxfId="12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CF12AC-B1B2-4F74-AADA-918E020EE1D1}" name="PivotTable2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D8:F15" firstHeaderRow="1" firstDataRow="2" firstDataCol="1"/>
  <pivotFields count="22">
    <pivotField dataField="1" showAll="0"/>
    <pivotField showAll="0"/>
    <pivotField numFmtId="1" showAll="0"/>
    <pivotField showAll="0"/>
    <pivotField axis="axisRow"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showAll="0"/>
    <pivotField showAll="0"/>
    <pivotField numFmtId="165" showAll="0"/>
    <pivotField showAll="0"/>
    <pivotField showAll="0"/>
    <pivotField showAll="0"/>
    <pivotField axis="axisCol" showAll="0">
      <items count="3">
        <item x="0"/>
        <item x="1"/>
        <item t="default"/>
      </items>
    </pivotField>
    <pivotField showAll="0"/>
    <pivotField showAll="0"/>
    <pivotField numFmtId="164" showAll="0"/>
  </pivotFields>
  <rowFields count="1">
    <field x="4"/>
  </rowFields>
  <rowItems count="6">
    <i>
      <x/>
    </i>
    <i>
      <x v="1"/>
    </i>
    <i>
      <x v="2"/>
    </i>
    <i>
      <x v="3"/>
    </i>
    <i>
      <x v="4"/>
    </i>
    <i>
      <x v="5"/>
    </i>
  </rowItems>
  <colFields count="1">
    <field x="18"/>
  </colFields>
  <colItems count="2">
    <i>
      <x/>
    </i>
    <i>
      <x v="1"/>
    </i>
  </colItems>
  <dataFields count="1">
    <dataField name="Count of Loan_ID" fld="0" subtotal="count" baseField="0" baseItem="0"/>
  </dataFields>
  <formats count="18">
    <format dxfId="161">
      <pivotArea type="all" dataOnly="0" outline="0" fieldPosition="0"/>
    </format>
    <format dxfId="160">
      <pivotArea outline="0" collapsedLevelsAreSubtotals="1" fieldPosition="0"/>
    </format>
    <format dxfId="159">
      <pivotArea type="origin" dataOnly="0" labelOnly="1" outline="0" fieldPosition="0"/>
    </format>
    <format dxfId="158">
      <pivotArea field="18" type="button" dataOnly="0" labelOnly="1" outline="0" axis="axisCol" fieldPosition="0"/>
    </format>
    <format dxfId="157">
      <pivotArea type="topRight" dataOnly="0" labelOnly="1" outline="0" fieldPosition="0"/>
    </format>
    <format dxfId="156">
      <pivotArea field="4" type="button" dataOnly="0" labelOnly="1" outline="0" axis="axisRow" fieldPosition="0"/>
    </format>
    <format dxfId="155">
      <pivotArea dataOnly="0" labelOnly="1" fieldPosition="0">
        <references count="1">
          <reference field="4" count="0"/>
        </references>
      </pivotArea>
    </format>
    <format dxfId="154">
      <pivotArea dataOnly="0" labelOnly="1" fieldPosition="0">
        <references count="1">
          <reference field="18" count="0"/>
        </references>
      </pivotArea>
    </format>
    <format dxfId="153">
      <pivotArea type="all" dataOnly="0" outline="0" fieldPosition="0"/>
    </format>
    <format dxfId="152">
      <pivotArea type="all" dataOnly="0" outline="0" fieldPosition="0"/>
    </format>
    <format dxfId="151">
      <pivotArea type="all" dataOnly="0" outline="0" fieldPosition="0"/>
    </format>
    <format dxfId="150">
      <pivotArea outline="0" collapsedLevelsAreSubtotals="1" fieldPosition="0"/>
    </format>
    <format dxfId="149">
      <pivotArea type="origin" dataOnly="0" labelOnly="1" outline="0" fieldPosition="0"/>
    </format>
    <format dxfId="148">
      <pivotArea field="18" type="button" dataOnly="0" labelOnly="1" outline="0" axis="axisCol" fieldPosition="0"/>
    </format>
    <format dxfId="147">
      <pivotArea type="topRight" dataOnly="0" labelOnly="1" outline="0" fieldPosition="0"/>
    </format>
    <format dxfId="146">
      <pivotArea field="4" type="button" dataOnly="0" labelOnly="1" outline="0" axis="axisRow" fieldPosition="0"/>
    </format>
    <format dxfId="145">
      <pivotArea dataOnly="0" labelOnly="1" fieldPosition="0">
        <references count="1">
          <reference field="4" count="0"/>
        </references>
      </pivotArea>
    </format>
    <format dxfId="144">
      <pivotArea dataOnly="0" labelOnly="1" fieldPosition="0">
        <references count="1">
          <reference field="18" count="0"/>
        </references>
      </pivotArea>
    </format>
  </formats>
  <chartFormats count="2">
    <chartFormat chart="5" format="4" series="1">
      <pivotArea type="data" outline="0" fieldPosition="0">
        <references count="2">
          <reference field="4294967294" count="1" selected="0">
            <x v="0"/>
          </reference>
          <reference field="18" count="1" selected="0">
            <x v="0"/>
          </reference>
        </references>
      </pivotArea>
    </chartFormat>
    <chartFormat chart="5"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5E90EA-7570-4FA9-A4C7-3F167A5F2C46}" name="PivotTable2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K21:L26" firstHeaderRow="1" firstDataRow="1" firstDataCol="1"/>
  <pivotFields count="22">
    <pivotField showAll="0"/>
    <pivotField showAll="0"/>
    <pivotField numFmtId="1" showAll="0"/>
    <pivotField showAll="0"/>
    <pivotField showAll="0">
      <items count="7">
        <item x="3"/>
        <item x="2"/>
        <item x="1"/>
        <item x="4"/>
        <item x="5"/>
        <item x="0"/>
        <item t="default"/>
      </items>
    </pivotField>
    <pivotField axis="axisRow"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showAll="0"/>
    <pivotField showAll="0"/>
    <pivotField dataField="1" numFmtId="165" showAll="0"/>
    <pivotField showAll="0"/>
    <pivotField showAll="0"/>
    <pivotField showAll="0"/>
    <pivotField showAll="0"/>
    <pivotField showAll="0"/>
    <pivotField showAll="0"/>
    <pivotField numFmtId="164" showAll="0"/>
  </pivotFields>
  <rowFields count="1">
    <field x="5"/>
  </rowFields>
  <rowItems count="5">
    <i>
      <x/>
    </i>
    <i>
      <x v="1"/>
    </i>
    <i>
      <x v="2"/>
    </i>
    <i>
      <x v="3"/>
    </i>
    <i>
      <x v="4"/>
    </i>
  </rowItems>
  <colItems count="1">
    <i/>
  </colItems>
  <dataFields count="1">
    <dataField name="Sum of monthly_EMI" fld="14" baseField="0" baseItem="0" numFmtId="165"/>
  </dataFields>
  <formats count="21">
    <format dxfId="182">
      <pivotArea outline="0" collapsedLevelsAreSubtotals="1" fieldPosition="0"/>
    </format>
    <format dxfId="181">
      <pivotArea type="all" dataOnly="0" outline="0" fieldPosition="0"/>
    </format>
    <format dxfId="180">
      <pivotArea outline="0" collapsedLevelsAreSubtotals="1" fieldPosition="0"/>
    </format>
    <format dxfId="179">
      <pivotArea field="5" type="button" dataOnly="0" labelOnly="1" outline="0" axis="axisRow" fieldPosition="0"/>
    </format>
    <format dxfId="178">
      <pivotArea dataOnly="0" labelOnly="1" fieldPosition="0">
        <references count="1">
          <reference field="5" count="0"/>
        </references>
      </pivotArea>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5" type="button" dataOnly="0" labelOnly="1" outline="0" axis="axisRow" fieldPosition="0"/>
    </format>
    <format dxfId="173">
      <pivotArea dataOnly="0" labelOnly="1" fieldPosition="0">
        <references count="1">
          <reference field="5" count="0"/>
        </references>
      </pivotArea>
    </format>
    <format dxfId="172">
      <pivotArea dataOnly="0" labelOnly="1" outline="0" axis="axisValues" fieldPosition="0"/>
    </format>
    <format dxfId="171">
      <pivotArea type="all" dataOnly="0" outline="0" fieldPosition="0"/>
    </format>
    <format dxfId="170">
      <pivotArea outline="0" collapsedLevelsAreSubtotals="1" fieldPosition="0"/>
    </format>
    <format dxfId="169">
      <pivotArea field="5" type="button" dataOnly="0" labelOnly="1" outline="0" axis="axisRow" fieldPosition="0"/>
    </format>
    <format dxfId="168">
      <pivotArea dataOnly="0" labelOnly="1" fieldPosition="0">
        <references count="1">
          <reference field="5" count="0"/>
        </references>
      </pivotArea>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5" type="button" dataOnly="0" labelOnly="1" outline="0" axis="axisRow" fieldPosition="0"/>
    </format>
    <format dxfId="163">
      <pivotArea dataOnly="0" labelOnly="1" fieldPosition="0">
        <references count="1">
          <reference field="5" count="0"/>
        </references>
      </pivotArea>
    </format>
    <format dxfId="1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52A9BB-7B20-4613-A269-518D4DF8A138}"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8">
  <location ref="N12:O18" firstHeaderRow="1" firstDataRow="1" firstDataCol="1"/>
  <pivotFields count="22">
    <pivotField showAll="0"/>
    <pivotField showAll="0"/>
    <pivotField numFmtId="1" showAll="0"/>
    <pivotField showAll="0"/>
    <pivotField axis="axisRow"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dataField="1" numFmtId="165" showAll="0"/>
    <pivotField showAll="0"/>
    <pivotField showAll="0"/>
    <pivotField numFmtId="165" showAll="0"/>
    <pivotField showAll="0"/>
    <pivotField showAll="0"/>
    <pivotField showAll="0"/>
    <pivotField showAll="0"/>
    <pivotField showAll="0"/>
    <pivotField showAll="0"/>
    <pivotField numFmtId="164" showAll="0"/>
  </pivotFields>
  <rowFields count="1">
    <field x="4"/>
  </rowFields>
  <rowItems count="6">
    <i>
      <x/>
    </i>
    <i>
      <x v="1"/>
    </i>
    <i>
      <x v="2"/>
    </i>
    <i>
      <x v="3"/>
    </i>
    <i>
      <x v="4"/>
    </i>
    <i>
      <x v="5"/>
    </i>
  </rowItems>
  <colItems count="1">
    <i/>
  </colItems>
  <dataFields count="1">
    <dataField name="Sum of Loan_Amount" fld="11" baseField="0" baseItem="0" numFmtId="165"/>
  </dataFields>
  <formats count="21">
    <format dxfId="203">
      <pivotArea outline="0" collapsedLevelsAreSubtotals="1" fieldPosition="0"/>
    </format>
    <format dxfId="202">
      <pivotArea type="all" dataOnly="0" outline="0" fieldPosition="0"/>
    </format>
    <format dxfId="201">
      <pivotArea outline="0" collapsedLevelsAreSubtotals="1" fieldPosition="0"/>
    </format>
    <format dxfId="200">
      <pivotArea field="4" type="button" dataOnly="0" labelOnly="1" outline="0" axis="axisRow" fieldPosition="0"/>
    </format>
    <format dxfId="199">
      <pivotArea dataOnly="0" labelOnly="1" fieldPosition="0">
        <references count="1">
          <reference field="4" count="0"/>
        </references>
      </pivotArea>
    </format>
    <format dxfId="198">
      <pivotArea dataOnly="0" labelOnly="1" outline="0" axis="axisValues" fieldPosition="0"/>
    </format>
    <format dxfId="197">
      <pivotArea type="all" dataOnly="0" outline="0" fieldPosition="0"/>
    </format>
    <format dxfId="196">
      <pivotArea outline="0" collapsedLevelsAreSubtotals="1" fieldPosition="0"/>
    </format>
    <format dxfId="195">
      <pivotArea field="4" type="button" dataOnly="0" labelOnly="1" outline="0" axis="axisRow" fieldPosition="0"/>
    </format>
    <format dxfId="194">
      <pivotArea dataOnly="0" labelOnly="1" fieldPosition="0">
        <references count="1">
          <reference field="4" count="0"/>
        </references>
      </pivotArea>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field="4" type="button" dataOnly="0" labelOnly="1" outline="0" axis="axisRow" fieldPosition="0"/>
    </format>
    <format dxfId="189">
      <pivotArea dataOnly="0" labelOnly="1" fieldPosition="0">
        <references count="1">
          <reference field="4" count="0"/>
        </references>
      </pivotArea>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4" type="button" dataOnly="0" labelOnly="1" outline="0" axis="axisRow" fieldPosition="0"/>
    </format>
    <format dxfId="184">
      <pivotArea dataOnly="0" labelOnly="1" fieldPosition="0">
        <references count="1">
          <reference field="4" count="0"/>
        </references>
      </pivotArea>
    </format>
    <format dxfId="18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57664C-4D34-445D-B958-592CE4C57F01}" name="PivotTable1" cacheId="0" dataOnRows="1" applyNumberFormats="0" applyBorderFormats="0" applyFontFormats="0" applyPatternFormats="0" applyAlignmentFormats="0" applyWidthHeightFormats="1" dataCaption="metrics" updatedVersion="6" minRefreshableVersion="3" useAutoFormatting="1" itemPrintTitles="1" createdVersion="6" indent="0" outline="1" outlineData="1" multipleFieldFilters="0">
  <location ref="A3:B9" firstHeaderRow="1" firstDataRow="1" firstDataCol="1"/>
  <pivotFields count="22">
    <pivotField dataField="1" showAll="0"/>
    <pivotField showAll="0"/>
    <pivotField numFmtId="1" showAll="0"/>
    <pivotField showAll="0"/>
    <pivotField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dataField="1" numFmtId="165" showAll="0"/>
    <pivotField dataField="1" showAll="0"/>
    <pivotField dataField="1" showAll="0"/>
    <pivotField numFmtId="165" showAll="0"/>
    <pivotField showAll="0"/>
    <pivotField showAll="0"/>
    <pivotField showAll="0"/>
    <pivotField showAll="0"/>
    <pivotField showAll="0"/>
    <pivotField dataField="1" showAll="0"/>
    <pivotField dataField="1" numFmtId="164" showAll="0"/>
  </pivotFields>
  <rowFields count="1">
    <field x="-2"/>
  </rowFields>
  <rowItems count="6">
    <i>
      <x/>
    </i>
    <i i="1">
      <x v="1"/>
    </i>
    <i i="2">
      <x v="2"/>
    </i>
    <i i="3">
      <x v="3"/>
    </i>
    <i i="4">
      <x v="4"/>
    </i>
    <i i="5">
      <x v="5"/>
    </i>
  </rowItems>
  <colItems count="1">
    <i/>
  </colItems>
  <dataFields count="6">
    <dataField name="Count of Loan_ID" fld="0" subtotal="count" baseField="0" baseItem="1"/>
    <dataField name="Sum of Loan_Amount" fld="11" baseField="0" baseItem="1"/>
    <dataField name="Average of Interest_Rate" fld="13" subtotal="average" baseField="0" baseItem="1"/>
    <dataField name="Average of total_amount_paid" fld="12" subtotal="average" baseField="0" baseItem="1"/>
    <dataField name="Average of DTI" fld="20" subtotal="average" baseField="0" baseItem="1"/>
    <dataField name="Sum of Profit" fld="21" baseField="0" baseItem="0"/>
  </dataFields>
  <formats count="24">
    <format dxfId="227">
      <pivotArea collapsedLevelsAreSubtotals="1" fieldPosition="0">
        <references count="1">
          <reference field="4294967294" count="1">
            <x v="1"/>
          </reference>
        </references>
      </pivotArea>
    </format>
    <format dxfId="226">
      <pivotArea collapsedLevelsAreSubtotals="1" fieldPosition="0">
        <references count="1">
          <reference field="4294967294" count="1">
            <x v="3"/>
          </reference>
        </references>
      </pivotArea>
    </format>
    <format dxfId="225">
      <pivotArea collapsedLevelsAreSubtotals="1" fieldPosition="0">
        <references count="1">
          <reference field="4294967294" count="1">
            <x v="5"/>
          </reference>
        </references>
      </pivotArea>
    </format>
    <format dxfId="224">
      <pivotArea type="all" dataOnly="0" outline="0" fieldPosition="0"/>
    </format>
    <format dxfId="223">
      <pivotArea outline="0" collapsedLevelsAreSubtotals="1" fieldPosition="0"/>
    </format>
    <format dxfId="222">
      <pivotArea field="-2" type="button" dataOnly="0" labelOnly="1" outline="0" axis="axisRow" fieldPosition="0"/>
    </format>
    <format dxfId="221">
      <pivotArea dataOnly="0" labelOnly="1" outline="0" fieldPosition="0">
        <references count="1">
          <reference field="4294967294" count="6">
            <x v="0"/>
            <x v="1"/>
            <x v="2"/>
            <x v="3"/>
            <x v="4"/>
            <x v="5"/>
          </reference>
        </references>
      </pivotArea>
    </format>
    <format dxfId="220">
      <pivotArea dataOnly="0" labelOnly="1" grandCol="1" outline="0" axis="axisCol" fieldPosition="0"/>
    </format>
    <format dxfId="219">
      <pivotArea type="all" dataOnly="0" outline="0" fieldPosition="0"/>
    </format>
    <format dxfId="218">
      <pivotArea outline="0" collapsedLevelsAreSubtotals="1" fieldPosition="0"/>
    </format>
    <format dxfId="217">
      <pivotArea field="-2" type="button" dataOnly="0" labelOnly="1" outline="0" axis="axisRow" fieldPosition="0"/>
    </format>
    <format dxfId="216">
      <pivotArea dataOnly="0" labelOnly="1" outline="0" fieldPosition="0">
        <references count="1">
          <reference field="4294967294" count="6">
            <x v="0"/>
            <x v="1"/>
            <x v="2"/>
            <x v="3"/>
            <x v="4"/>
            <x v="5"/>
          </reference>
        </references>
      </pivotArea>
    </format>
    <format dxfId="215">
      <pivotArea dataOnly="0" labelOnly="1" grandCol="1" outline="0" axis="axisCol" fieldPosition="0"/>
    </format>
    <format dxfId="214">
      <pivotArea type="all" dataOnly="0" outline="0" fieldPosition="0"/>
    </format>
    <format dxfId="213">
      <pivotArea outline="0" collapsedLevelsAreSubtotals="1" fieldPosition="0"/>
    </format>
    <format dxfId="212">
      <pivotArea field="-2" type="button" dataOnly="0" labelOnly="1" outline="0" axis="axisRow" fieldPosition="0"/>
    </format>
    <format dxfId="211">
      <pivotArea dataOnly="0" labelOnly="1" outline="0" fieldPosition="0">
        <references count="1">
          <reference field="4294967294" count="6">
            <x v="0"/>
            <x v="1"/>
            <x v="2"/>
            <x v="3"/>
            <x v="4"/>
            <x v="5"/>
          </reference>
        </references>
      </pivotArea>
    </format>
    <format dxfId="210">
      <pivotArea dataOnly="0" labelOnly="1" grandCol="1" outline="0" axis="axisCol" fieldPosition="0"/>
    </format>
    <format dxfId="209">
      <pivotArea type="all" dataOnly="0" outline="0" fieldPosition="0"/>
    </format>
    <format dxfId="208">
      <pivotArea outline="0" collapsedLevelsAreSubtotals="1" fieldPosition="0"/>
    </format>
    <format dxfId="207">
      <pivotArea field="-2" type="button" dataOnly="0" labelOnly="1" outline="0" axis="axisRow" fieldPosition="0"/>
    </format>
    <format dxfId="206">
      <pivotArea dataOnly="0" labelOnly="1" outline="0" fieldPosition="0">
        <references count="1">
          <reference field="4294967294" count="6">
            <x v="0"/>
            <x v="1"/>
            <x v="2"/>
            <x v="3"/>
            <x v="4"/>
            <x v="5"/>
          </reference>
        </references>
      </pivotArea>
    </format>
    <format dxfId="205">
      <pivotArea dataOnly="0" labelOnly="1" grandCol="1" outline="0" axis="axisCol" fieldPosition="0"/>
    </format>
    <format dxfId="204">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D42983-CB20-4BBE-B472-4162CC3FCD4A}" name="PivotTable2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H15:I20" firstHeaderRow="1" firstDataRow="1" firstDataCol="1"/>
  <pivotFields count="22">
    <pivotField showAll="0"/>
    <pivotField showAll="0"/>
    <pivotField numFmtId="1" showAll="0"/>
    <pivotField showAll="0"/>
    <pivotField showAll="0">
      <items count="7">
        <item x="3"/>
        <item x="2"/>
        <item x="1"/>
        <item x="4"/>
        <item x="5"/>
        <item x="0"/>
        <item t="default"/>
      </items>
    </pivotField>
    <pivotField axis="axisRow"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showAll="0"/>
    <pivotField showAll="0"/>
    <pivotField numFmtId="165" showAll="0"/>
    <pivotField showAll="0"/>
    <pivotField showAll="0"/>
    <pivotField showAll="0"/>
    <pivotField showAll="0"/>
    <pivotField showAll="0"/>
    <pivotField showAll="0"/>
    <pivotField dataField="1" numFmtId="164" showAll="0"/>
  </pivotFields>
  <rowFields count="1">
    <field x="5"/>
  </rowFields>
  <rowItems count="5">
    <i>
      <x/>
    </i>
    <i>
      <x v="1"/>
    </i>
    <i>
      <x v="2"/>
    </i>
    <i>
      <x v="3"/>
    </i>
    <i>
      <x v="4"/>
    </i>
  </rowItems>
  <colItems count="1">
    <i/>
  </colItems>
  <dataFields count="1">
    <dataField name="Sum of Profit" fld="21" baseField="0" baseItem="0" numFmtId="165"/>
  </dataFields>
  <formats count="21">
    <format dxfId="248">
      <pivotArea outline="0" collapsedLevelsAreSubtotals="1" fieldPosition="0"/>
    </format>
    <format dxfId="247">
      <pivotArea type="all" dataOnly="0" outline="0" fieldPosition="0"/>
    </format>
    <format dxfId="246">
      <pivotArea outline="0" collapsedLevelsAreSubtotals="1" fieldPosition="0"/>
    </format>
    <format dxfId="245">
      <pivotArea field="5" type="button" dataOnly="0" labelOnly="1" outline="0" axis="axisRow" fieldPosition="0"/>
    </format>
    <format dxfId="244">
      <pivotArea dataOnly="0" labelOnly="1" fieldPosition="0">
        <references count="1">
          <reference field="5" count="0"/>
        </references>
      </pivotArea>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field="5" type="button" dataOnly="0" labelOnly="1" outline="0" axis="axisRow" fieldPosition="0"/>
    </format>
    <format dxfId="239">
      <pivotArea dataOnly="0" labelOnly="1" fieldPosition="0">
        <references count="1">
          <reference field="5" count="0"/>
        </references>
      </pivotArea>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field="5" type="button" dataOnly="0" labelOnly="1" outline="0" axis="axisRow" fieldPosition="0"/>
    </format>
    <format dxfId="234">
      <pivotArea dataOnly="0" labelOnly="1" fieldPosition="0">
        <references count="1">
          <reference field="5" count="0"/>
        </references>
      </pivotArea>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field="5" type="button" dataOnly="0" labelOnly="1" outline="0" axis="axisRow" fieldPosition="0"/>
    </format>
    <format dxfId="229">
      <pivotArea dataOnly="0" labelOnly="1" fieldPosition="0">
        <references count="1">
          <reference field="5" count="0"/>
        </references>
      </pivotArea>
    </format>
    <format dxfId="228">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665C46-C797-41BA-A7F5-9269463B1491}" name="PivotTable2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D3:F5" firstHeaderRow="0" firstDataRow="1" firstDataCol="1"/>
  <pivotFields count="22">
    <pivotField dataField="1" showAll="0"/>
    <pivotField showAll="0"/>
    <pivotField numFmtId="1" showAll="0"/>
    <pivotField axis="axisRow" showAll="0">
      <items count="3">
        <item x="1"/>
        <item x="0"/>
        <item t="default"/>
      </items>
    </pivotField>
    <pivotField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dataField="1" numFmtId="165" showAll="0"/>
    <pivotField showAll="0"/>
    <pivotField showAll="0"/>
    <pivotField numFmtId="165" showAll="0"/>
    <pivotField showAll="0"/>
    <pivotField showAll="0"/>
    <pivotField showAll="0"/>
    <pivotField showAll="0"/>
    <pivotField showAll="0"/>
    <pivotField showAll="0"/>
    <pivotField numFmtId="164" showAll="0"/>
  </pivotFields>
  <rowFields count="1">
    <field x="3"/>
  </rowFields>
  <rowItems count="2">
    <i>
      <x/>
    </i>
    <i>
      <x v="1"/>
    </i>
  </rowItems>
  <colFields count="1">
    <field x="-2"/>
  </colFields>
  <colItems count="2">
    <i>
      <x/>
    </i>
    <i i="1">
      <x v="1"/>
    </i>
  </colItems>
  <dataFields count="2">
    <dataField name="Sum of Loan_Amount" fld="11" baseField="0" baseItem="0" numFmtId="165"/>
    <dataField name="Count of Loan_ID" fld="0" subtotal="count" baseField="0" baseItem="0"/>
  </dataFields>
  <formats count="21">
    <format dxfId="269">
      <pivotArea outline="0" collapsedLevelsAreSubtotals="1" fieldPosition="0">
        <references count="1">
          <reference field="4294967294" count="1" selected="0">
            <x v="0"/>
          </reference>
        </references>
      </pivotArea>
    </format>
    <format dxfId="268">
      <pivotArea type="all" dataOnly="0" outline="0" fieldPosition="0"/>
    </format>
    <format dxfId="267">
      <pivotArea outline="0" collapsedLevelsAreSubtotals="1" fieldPosition="0"/>
    </format>
    <format dxfId="266">
      <pivotArea field="3" type="button" dataOnly="0" labelOnly="1" outline="0" axis="axisRow" fieldPosition="0"/>
    </format>
    <format dxfId="265">
      <pivotArea dataOnly="0" labelOnly="1" fieldPosition="0">
        <references count="1">
          <reference field="3" count="0"/>
        </references>
      </pivotArea>
    </format>
    <format dxfId="264">
      <pivotArea dataOnly="0" labelOnly="1" outline="0" fieldPosition="0">
        <references count="1">
          <reference field="4294967294" count="2">
            <x v="0"/>
            <x v="1"/>
          </reference>
        </references>
      </pivotArea>
    </format>
    <format dxfId="263">
      <pivotArea type="all" dataOnly="0" outline="0" fieldPosition="0"/>
    </format>
    <format dxfId="262">
      <pivotArea outline="0" collapsedLevelsAreSubtotals="1" fieldPosition="0"/>
    </format>
    <format dxfId="261">
      <pivotArea field="3" type="button" dataOnly="0" labelOnly="1" outline="0" axis="axisRow" fieldPosition="0"/>
    </format>
    <format dxfId="260">
      <pivotArea dataOnly="0" labelOnly="1" fieldPosition="0">
        <references count="1">
          <reference field="3" count="0"/>
        </references>
      </pivotArea>
    </format>
    <format dxfId="259">
      <pivotArea dataOnly="0" labelOnly="1" outline="0" fieldPosition="0">
        <references count="1">
          <reference field="4294967294" count="2">
            <x v="0"/>
            <x v="1"/>
          </reference>
        </references>
      </pivotArea>
    </format>
    <format dxfId="258">
      <pivotArea type="all" dataOnly="0" outline="0" fieldPosition="0"/>
    </format>
    <format dxfId="257">
      <pivotArea outline="0" collapsedLevelsAreSubtotals="1" fieldPosition="0"/>
    </format>
    <format dxfId="256">
      <pivotArea field="3" type="button" dataOnly="0" labelOnly="1" outline="0" axis="axisRow" fieldPosition="0"/>
    </format>
    <format dxfId="255">
      <pivotArea dataOnly="0" labelOnly="1" fieldPosition="0">
        <references count="1">
          <reference field="3" count="0"/>
        </references>
      </pivotArea>
    </format>
    <format dxfId="254">
      <pivotArea dataOnly="0" labelOnly="1" outline="0" fieldPosition="0">
        <references count="1">
          <reference field="4294967294" count="2">
            <x v="0"/>
            <x v="1"/>
          </reference>
        </references>
      </pivotArea>
    </format>
    <format dxfId="253">
      <pivotArea type="all" dataOnly="0" outline="0" fieldPosition="0"/>
    </format>
    <format dxfId="252">
      <pivotArea outline="0" collapsedLevelsAreSubtotals="1" fieldPosition="0"/>
    </format>
    <format dxfId="251">
      <pivotArea field="3" type="button" dataOnly="0" labelOnly="1" outline="0" axis="axisRow" fieldPosition="0"/>
    </format>
    <format dxfId="250">
      <pivotArea dataOnly="0" labelOnly="1" fieldPosition="0">
        <references count="1">
          <reference field="3" count="0"/>
        </references>
      </pivotArea>
    </format>
    <format dxfId="24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EE3AA8-F278-4AD5-9D45-B0F4A3589BBA}" name="PivotTable16" cacheId="0" dataOnRows="1" applyNumberFormats="0" applyBorderFormats="0" applyFontFormats="0" applyPatternFormats="0" applyAlignmentFormats="0" applyWidthHeightFormats="1" dataCaption="metrics" updatedVersion="6" minRefreshableVersion="3" useAutoFormatting="1" rowGrandTotals="0" itemPrintTitles="1" createdVersion="6" indent="0" outline="1" outlineData="1" multipleFieldFilters="0" chartFormat="8">
  <location ref="K3:L9" firstHeaderRow="1" firstDataRow="1" firstDataCol="1"/>
  <pivotFields count="22">
    <pivotField dataField="1" showAll="0"/>
    <pivotField showAll="0"/>
    <pivotField numFmtId="1" showAll="0"/>
    <pivotField showAll="0"/>
    <pivotField axis="axisRow" showAll="0">
      <items count="7">
        <item x="3"/>
        <item x="2"/>
        <item x="1"/>
        <item x="4"/>
        <item x="5"/>
        <item x="0"/>
        <item t="default"/>
      </items>
    </pivotField>
    <pivotField showAll="0">
      <items count="6">
        <item x="3"/>
        <item x="4"/>
        <item x="0"/>
        <item x="2"/>
        <item x="1"/>
        <item t="default"/>
      </items>
    </pivotField>
    <pivotField showAll="0">
      <items count="4">
        <item x="0"/>
        <item x="1"/>
        <item x="2"/>
        <item t="default"/>
      </items>
    </pivotField>
    <pivotField numFmtId="14" showAll="0"/>
    <pivotField numFmtId="14" showAll="0"/>
    <pivotField numFmtId="165" showAll="0"/>
    <pivotField numFmtId="165" showAll="0"/>
    <pivotField numFmtId="165" showAll="0"/>
    <pivotField showAll="0"/>
    <pivotField showAll="0"/>
    <pivotField numFmtId="165" showAll="0"/>
    <pivotField showAll="0"/>
    <pivotField showAll="0"/>
    <pivotField showAll="0"/>
    <pivotField showAll="0"/>
    <pivotField showAll="0"/>
    <pivotField showAll="0"/>
    <pivotField numFmtId="164" showAll="0"/>
  </pivotFields>
  <rowFields count="1">
    <field x="4"/>
  </rowFields>
  <rowItems count="6">
    <i>
      <x/>
    </i>
    <i>
      <x v="1"/>
    </i>
    <i>
      <x v="2"/>
    </i>
    <i>
      <x v="3"/>
    </i>
    <i>
      <x v="4"/>
    </i>
    <i>
      <x v="5"/>
    </i>
  </rowItems>
  <colItems count="1">
    <i/>
  </colItems>
  <dataFields count="1">
    <dataField name="Count of Loan_ID" fld="0" subtotal="count" baseField="4" baseItem="0" numFmtId="1"/>
  </dataFields>
  <formats count="21">
    <format dxfId="290">
      <pivotArea outline="0" collapsedLevelsAreSubtotals="1" fieldPosition="0"/>
    </format>
    <format dxfId="289">
      <pivotArea type="all" dataOnly="0" outline="0" fieldPosition="0"/>
    </format>
    <format dxfId="288">
      <pivotArea outline="0" collapsedLevelsAreSubtotals="1" fieldPosition="0"/>
    </format>
    <format dxfId="287">
      <pivotArea field="4" type="button" dataOnly="0" labelOnly="1" outline="0" axis="axisRow" fieldPosition="0"/>
    </format>
    <format dxfId="286">
      <pivotArea dataOnly="0" labelOnly="1" fieldPosition="0">
        <references count="1">
          <reference field="4" count="0"/>
        </references>
      </pivotArea>
    </format>
    <format dxfId="285">
      <pivotArea dataOnly="0" labelOnly="1" outline="0" axis="axisValues" fieldPosition="0"/>
    </format>
    <format dxfId="284">
      <pivotArea type="all" dataOnly="0" outline="0" fieldPosition="0"/>
    </format>
    <format dxfId="283">
      <pivotArea outline="0" collapsedLevelsAreSubtotals="1" fieldPosition="0"/>
    </format>
    <format dxfId="282">
      <pivotArea field="4" type="button" dataOnly="0" labelOnly="1" outline="0" axis="axisRow" fieldPosition="0"/>
    </format>
    <format dxfId="281">
      <pivotArea dataOnly="0" labelOnly="1" fieldPosition="0">
        <references count="1">
          <reference field="4" count="0"/>
        </references>
      </pivotArea>
    </format>
    <format dxfId="280">
      <pivotArea dataOnly="0" labelOnly="1" outline="0" axis="axisValues" fieldPosition="0"/>
    </format>
    <format dxfId="279">
      <pivotArea type="all" dataOnly="0" outline="0" fieldPosition="0"/>
    </format>
    <format dxfId="278">
      <pivotArea outline="0" collapsedLevelsAreSubtotals="1" fieldPosition="0"/>
    </format>
    <format dxfId="277">
      <pivotArea field="4" type="button" dataOnly="0" labelOnly="1" outline="0" axis="axisRow" fieldPosition="0"/>
    </format>
    <format dxfId="276">
      <pivotArea dataOnly="0" labelOnly="1" fieldPosition="0">
        <references count="1">
          <reference field="4" count="0"/>
        </references>
      </pivotArea>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field="4" type="button" dataOnly="0" labelOnly="1" outline="0" axis="axisRow" fieldPosition="0"/>
    </format>
    <format dxfId="271">
      <pivotArea dataOnly="0" labelOnly="1" fieldPosition="0">
        <references count="1">
          <reference field="4" count="0"/>
        </references>
      </pivotArea>
    </format>
    <format dxfId="270">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1" xr10:uid="{5BD2C324-2883-4CB3-BE0D-680C80B64F07}" sourceName="Loan_Type">
  <pivotTables>
    <pivotTable tabId="2" name="PivotTable17"/>
    <pivotTable tabId="2" name="PivotTable1"/>
    <pivotTable tabId="2" name="PivotTable14"/>
    <pivotTable tabId="2" name="PivotTable16"/>
    <pivotTable tabId="2" name="PivotTable18"/>
    <pivotTable tabId="2" name="PivotTable22"/>
    <pivotTable tabId="2" name="PivotTable23"/>
    <pivotTable tabId="2" name="PivotTable25"/>
    <pivotTable tabId="2" name="PivotTable26"/>
    <pivotTable tabId="2" name="PivotTable27"/>
    <pivotTable tabId="2" name="PivotTable30"/>
    <pivotTable tabId="2" name="PivotTable31"/>
    <pivotTable tabId="2" name="PivotTable7"/>
    <pivotTable tabId="2" name="PivotTable4"/>
  </pivotTables>
  <data>
    <tabular pivotCacheId="675617471">
      <items count="5">
        <i x="3"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EB268751-A673-4DEF-AEC4-20607B1016F9}" sourceName="City">
  <pivotTables>
    <pivotTable tabId="2" name="PivotTable18"/>
    <pivotTable tabId="2" name="PivotTable1"/>
    <pivotTable tabId="2" name="PivotTable14"/>
    <pivotTable tabId="2" name="PivotTable16"/>
    <pivotTable tabId="2" name="PivotTable17"/>
    <pivotTable tabId="2" name="PivotTable22"/>
    <pivotTable tabId="2" name="PivotTable23"/>
    <pivotTable tabId="2" name="PivotTable25"/>
    <pivotTable tabId="2" name="PivotTable26"/>
    <pivotTable tabId="2" name="PivotTable27"/>
    <pivotTable tabId="2" name="PivotTable30"/>
    <pivotTable tabId="2" name="PivotTable31"/>
    <pivotTable tabId="2" name="PivotTable7"/>
    <pivotTable tabId="2" name="PivotTable4"/>
  </pivotTables>
  <data>
    <tabular pivotCacheId="675617471">
      <items count="6">
        <i x="3" s="1"/>
        <i x="2" s="1"/>
        <i x="1" s="1"/>
        <i x="4"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0F30F00-A4AA-42D7-8A7D-45670D5BE150}" sourceName="years">
  <pivotTables>
    <pivotTable tabId="2" name="PivotTable17"/>
    <pivotTable tabId="2" name="PivotTable1"/>
    <pivotTable tabId="2" name="PivotTable14"/>
    <pivotTable tabId="2" name="PivotTable16"/>
    <pivotTable tabId="2" name="PivotTable18"/>
    <pivotTable tabId="2" name="PivotTable22"/>
    <pivotTable tabId="2" name="PivotTable23"/>
    <pivotTable tabId="2" name="PivotTable25"/>
    <pivotTable tabId="2" name="PivotTable26"/>
    <pivotTable tabId="2" name="PivotTable27"/>
    <pivotTable tabId="2" name="PivotTable30"/>
    <pivotTable tabId="2" name="PivotTable31"/>
    <pivotTable tabId="2" name="PivotTable4"/>
    <pivotTable tabId="2" name="PivotTable7"/>
  </pivotTables>
  <data>
    <tabular pivotCacheId="6756174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3" xr10:uid="{6B96EB5F-F389-4B73-9663-48813E9A353B}" cache="Slicer_Loan_Type1" caption="Loan_Type" style="SlicerStyleLight5" rowHeight="241300"/>
  <slicer name="City 2" xr10:uid="{FC2DA615-7555-4D22-87BC-271EFAED667E}" cache="Slicer_City1" caption="City" style="SlicerStyleLight5" rowHeight="241300"/>
  <slicer name="years 1" xr10:uid="{9DD1DA45-745A-4014-AD28-97E29A21C4C7}" cache="Slicer_years" caption="yea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ED3103-AC53-48FD-9FAF-7CB785CCEEED}" name="Table1" displayName="Table1" ref="A2:X701" totalsRowShown="0" headerRowDxfId="316" dataDxfId="315">
  <autoFilter ref="A2:X701" xr:uid="{E702D085-F291-4555-A549-1C4FE1CDD382}"/>
  <sortState ref="A3:X701">
    <sortCondition ref="I2:I701"/>
  </sortState>
  <tableColumns count="24">
    <tableColumn id="1" xr3:uid="{CF5074C4-D40E-4922-AD8F-174AC1234B81}" name="Loan_ID" dataDxfId="314"/>
    <tableColumn id="2" xr3:uid="{AF0132FE-EFDE-4596-812C-70D9D3DCFAB3}" name="customer_name" dataDxfId="313"/>
    <tableColumn id="4" xr3:uid="{B7260908-0C16-47C7-A3D9-49227A2A9AED}" name="Age" dataDxfId="312"/>
    <tableColumn id="5" xr3:uid="{3D803F87-2772-4FDD-A4FA-599739EB60E2}" name="Gender" dataDxfId="311"/>
    <tableColumn id="6" xr3:uid="{2129C246-AC58-4ABE-B3B6-37D8FC01F733}" name="City" dataDxfId="310"/>
    <tableColumn id="7" xr3:uid="{4DD0FAA0-8599-4F09-AF21-90D4B398082F}" name="Loan_Type" dataDxfId="309"/>
    <tableColumn id="10" xr3:uid="{A598E558-12D2-4FD7-835C-04525B26CC50}" name="years" dataDxfId="308">
      <calculatedColumnFormula>YEAR(Table1[[#This Row],[Application_Date]])</calculatedColumnFormula>
    </tableColumn>
    <tableColumn id="19" xr3:uid="{7EF5DA8F-32B2-496F-9B77-96CC331A95E8}" name="months" dataDxfId="307">
      <calculatedColumnFormula>TEXT(Table1[[#This Row],[EMI_payment_date]],"mmmm")</calculatedColumnFormula>
    </tableColumn>
    <tableColumn id="8" xr3:uid="{F67F01CD-F270-406A-83EF-4498F29E3E31}" name="Application_Date" dataDxfId="306"/>
    <tableColumn id="3" xr3:uid="{E14D1D71-D83A-484E-8B4D-FEA53BC557D6}" name="EMI_payment_date" dataDxfId="305">
      <calculatedColumnFormula>EDATE(Table1[[#This Row],[Application_Date]],1)</calculatedColumnFormula>
    </tableColumn>
    <tableColumn id="22" xr3:uid="{601C8EAA-DF23-4508-AEF6-B3F0B91FCEFB}" name="Annual_Income" dataDxfId="304"/>
    <tableColumn id="24" xr3:uid="{559AAADA-729A-4BB0-A844-78F60840FDEE}" name="monthly_income" dataDxfId="303">
      <calculatedColumnFormula>Table1[[#This Row],[Annual_Income]]/12</calculatedColumnFormula>
    </tableColumn>
    <tableColumn id="26" xr3:uid="{2D658367-9B7E-400B-8368-BF30C04CF8C7}" name="Loan_Amount" dataDxfId="302"/>
    <tableColumn id="21" xr3:uid="{D8B6E01B-4C54-42A9-A79F-82CE24B7DDB6}" name="month_paid" dataDxfId="301">
      <calculatedColumnFormula>DATEDIF(Table1[[#This Row],[EMI_payment_date]],TODAY(),"m")</calculatedColumnFormula>
    </tableColumn>
    <tableColumn id="9" xr3:uid="{2919E1AC-CEA6-4FAD-9167-9E958FF791C1}" name="total_amount_paid" dataDxfId="300"/>
    <tableColumn id="11" xr3:uid="{E260CC57-6DCC-4064-B37B-A504B878D806}" name="Interest_Rate" dataDxfId="299"/>
    <tableColumn id="25" xr3:uid="{90204A71-D032-4754-BB3B-7B0D260289E9}" name="monthly_EMI" dataDxfId="298">
      <calculatedColumnFormula>Table1[[#This Row],[monthly_income]]*30%</calculatedColumnFormula>
    </tableColumn>
    <tableColumn id="12" xr3:uid="{71F1324A-310B-4E8B-A73D-186321F380F8}" name="Loan_Term_Months" dataDxfId="297">
      <calculatedColumnFormula>ROUNDUP(NPER(P3/100/12,-Q3,Table1[[#This Row],[Loan_Amount]]),0)</calculatedColumnFormula>
    </tableColumn>
    <tableColumn id="13" xr3:uid="{EF41A70A-73F1-4566-A742-A3E54092EE1D}" name="Credit_Score" dataDxfId="296"/>
    <tableColumn id="14" xr3:uid="{3BFD7143-7866-4481-880A-F31C30978DA6}" name="Repayment_Status" dataDxfId="295"/>
    <tableColumn id="17" xr3:uid="{98C222F0-C533-4A03-A52F-B0755D3B2AB4}" name="good vs bad loan" dataDxfId="294">
      <calculatedColumnFormula>IF(Table1[[#This Row],[Repayment_Status]]="late","bad loan","good loan")</calculatedColumnFormula>
    </tableColumn>
    <tableColumn id="15" xr3:uid="{A44E4E9E-7295-47A4-A7D3-5738CCF18A27}" name="Default_Risk" dataDxfId="293">
      <calculatedColumnFormula>IF(Table1[[#This Row],[Repayment_Status]]="late","high","low")</calculatedColumnFormula>
    </tableColumn>
    <tableColumn id="27" xr3:uid="{CB5F7105-E142-4743-9125-7FCEBB535BA0}" name="DTI" dataDxfId="292">
      <calculatedColumnFormula>(Table1[[#This Row],[monthly_EMI]]/Table1[[#This Row],[monthly_income]])*100</calculatedColumnFormula>
    </tableColumn>
    <tableColumn id="16" xr3:uid="{BA570110-FA59-4F82-8E4B-D72744BAEC38}" name="Profit" dataDxfId="29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21D5-499E-4631-B76B-C543EA263C76}">
  <dimension ref="A1"/>
  <sheetViews>
    <sheetView showGridLines="0" zoomScale="82" zoomScaleNormal="82" workbookViewId="0"/>
  </sheetViews>
  <sheetFormatPr defaultRowHeight="15" x14ac:dyDescent="0.25"/>
  <cols>
    <col min="1" max="16384" width="9.140625" style="17"/>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01"/>
  <sheetViews>
    <sheetView topLeftCell="C1" zoomScale="87" zoomScaleNormal="82" workbookViewId="0">
      <selection activeCell="W3" sqref="W3"/>
    </sheetView>
  </sheetViews>
  <sheetFormatPr defaultRowHeight="15" x14ac:dyDescent="0.25"/>
  <cols>
    <col min="1" max="1" width="12.5703125" bestFit="1" customWidth="1"/>
    <col min="2" max="2" width="20" bestFit="1" customWidth="1"/>
    <col min="3" max="3" width="9" style="6" bestFit="1" customWidth="1"/>
    <col min="4" max="4" width="12.28515625" bestFit="1" customWidth="1"/>
    <col min="5" max="5" width="10.5703125" bestFit="1" customWidth="1"/>
    <col min="6" max="6" width="15.85546875" bestFit="1" customWidth="1"/>
    <col min="7" max="7" width="21" style="4" bestFit="1" customWidth="1"/>
    <col min="8" max="9" width="21" style="4" customWidth="1"/>
    <col min="10" max="14" width="21" style="10" customWidth="1"/>
    <col min="15" max="15" width="23.5703125" bestFit="1" customWidth="1"/>
    <col min="16" max="16" width="18.7109375" style="10" bestFit="1" customWidth="1"/>
    <col min="17" max="17" width="23.42578125" bestFit="1" customWidth="1"/>
    <col min="18" max="18" width="24.42578125" bestFit="1" customWidth="1"/>
    <col min="19" max="19" width="22.42578125" bestFit="1" customWidth="1"/>
    <col min="20" max="20" width="23.42578125" bestFit="1" customWidth="1"/>
    <col min="21" max="21" width="21.28515625" bestFit="1" customWidth="1"/>
    <col min="22" max="22" width="17.42578125" bestFit="1" customWidth="1"/>
    <col min="23" max="23" width="13.28515625" style="8" customWidth="1"/>
    <col min="24" max="24" width="11.85546875" bestFit="1" customWidth="1"/>
  </cols>
  <sheetData>
    <row r="1" spans="1:26" ht="57.75" customHeight="1" x14ac:dyDescent="0.25">
      <c r="A1" s="39" t="s">
        <v>952</v>
      </c>
      <c r="B1" s="40"/>
      <c r="C1" s="40"/>
      <c r="D1" s="40"/>
      <c r="E1" s="40"/>
      <c r="F1" s="40"/>
      <c r="G1" s="40"/>
      <c r="H1" s="40"/>
      <c r="I1" s="40"/>
      <c r="J1" s="40"/>
      <c r="K1" s="40"/>
      <c r="L1" s="40"/>
      <c r="M1" s="40"/>
      <c r="N1" s="40"/>
      <c r="O1" s="40"/>
      <c r="P1" s="40"/>
      <c r="Q1" s="40"/>
      <c r="R1" s="40"/>
      <c r="S1" s="40"/>
      <c r="T1" s="40"/>
      <c r="U1" s="40"/>
      <c r="V1" s="40"/>
      <c r="W1" s="40"/>
      <c r="X1" s="33"/>
    </row>
    <row r="2" spans="1:26" x14ac:dyDescent="0.25">
      <c r="A2" s="12" t="s">
        <v>0</v>
      </c>
      <c r="B2" s="12" t="s">
        <v>728</v>
      </c>
      <c r="C2" s="13" t="s">
        <v>1</v>
      </c>
      <c r="D2" s="12" t="s">
        <v>2</v>
      </c>
      <c r="E2" s="12" t="s">
        <v>3</v>
      </c>
      <c r="F2" s="12" t="s">
        <v>4</v>
      </c>
      <c r="G2" s="12" t="s">
        <v>961</v>
      </c>
      <c r="H2" s="12" t="s">
        <v>964</v>
      </c>
      <c r="I2" s="14" t="s">
        <v>5</v>
      </c>
      <c r="J2" s="14" t="s">
        <v>924</v>
      </c>
      <c r="K2" s="15" t="s">
        <v>6</v>
      </c>
      <c r="L2" s="15" t="s">
        <v>946</v>
      </c>
      <c r="M2" s="15" t="s">
        <v>7</v>
      </c>
      <c r="N2" s="15" t="s">
        <v>966</v>
      </c>
      <c r="O2" s="15" t="s">
        <v>925</v>
      </c>
      <c r="P2" s="12" t="s">
        <v>8</v>
      </c>
      <c r="Q2" s="15" t="s">
        <v>922</v>
      </c>
      <c r="R2" s="12" t="s">
        <v>9</v>
      </c>
      <c r="S2" s="12" t="s">
        <v>10</v>
      </c>
      <c r="T2" s="12" t="s">
        <v>11</v>
      </c>
      <c r="U2" s="12" t="s">
        <v>921</v>
      </c>
      <c r="V2" s="12" t="s">
        <v>12</v>
      </c>
      <c r="W2" s="12" t="s">
        <v>923</v>
      </c>
      <c r="X2" s="16" t="s">
        <v>13</v>
      </c>
      <c r="Z2" s="4"/>
    </row>
    <row r="3" spans="1:26" x14ac:dyDescent="0.25">
      <c r="A3" s="1" t="s">
        <v>122</v>
      </c>
      <c r="B3" s="2" t="s">
        <v>806</v>
      </c>
      <c r="C3" s="5">
        <v>55</v>
      </c>
      <c r="D3" s="1" t="s">
        <v>15</v>
      </c>
      <c r="E3" s="1" t="s">
        <v>27</v>
      </c>
      <c r="F3" s="1" t="s">
        <v>22</v>
      </c>
      <c r="G3" s="1">
        <f>YEAR(Table1[[#This Row],[Application_Date]])</f>
        <v>2024</v>
      </c>
      <c r="H3" s="1" t="str">
        <f>TEXT(Table1[[#This Row],[EMI_payment_date]],"mmmm")</f>
        <v>May</v>
      </c>
      <c r="I3" s="3">
        <v>45383</v>
      </c>
      <c r="J3" s="3">
        <f>EDATE(Table1[[#This Row],[Application_Date]],1)</f>
        <v>45413</v>
      </c>
      <c r="K3" s="9">
        <v>1728000</v>
      </c>
      <c r="L3" s="9">
        <f>Table1[[#This Row],[Annual_Income]]/12</f>
        <v>144000</v>
      </c>
      <c r="M3" s="9">
        <v>1928000</v>
      </c>
      <c r="N3" s="5">
        <f ca="1">DATEDIF(Table1[[#This Row],[EMI_payment_date]],TODAY(),"m")</f>
        <v>26</v>
      </c>
      <c r="O3" s="9">
        <f ca="1">Table1[[#This Row],[month_paid]]*Table1[[#This Row],[monthly_EMI]]</f>
        <v>1123200</v>
      </c>
      <c r="P3" s="1">
        <v>7.51</v>
      </c>
      <c r="Q3" s="9">
        <f>Table1[[#This Row],[monthly_income]]*30%</f>
        <v>43200</v>
      </c>
      <c r="R3" s="1">
        <f>ROUNDUP(NPER(P3/100/12,-Q3,Table1[[#This Row],[Loan_Amount]]),0)</f>
        <v>53</v>
      </c>
      <c r="S3" s="1">
        <v>688</v>
      </c>
      <c r="T3" s="1" t="s">
        <v>37</v>
      </c>
      <c r="U3" s="1" t="str">
        <f>IF(Table1[[#This Row],[Repayment_Status]]="late","bad loan","good loan")</f>
        <v>bad loan</v>
      </c>
      <c r="V3" s="1" t="str">
        <f>IF(Table1[[#This Row],[Repayment_Status]]="late","high","low")</f>
        <v>high</v>
      </c>
      <c r="W3" s="1">
        <f>(Table1[[#This Row],[monthly_EMI]]/Table1[[#This Row],[monthly_income]])*100</f>
        <v>30</v>
      </c>
      <c r="X3" s="7">
        <v>31178.55</v>
      </c>
    </row>
    <row r="4" spans="1:26" x14ac:dyDescent="0.25">
      <c r="A4" s="1" t="s">
        <v>114</v>
      </c>
      <c r="B4" s="2" t="s">
        <v>800</v>
      </c>
      <c r="C4" s="5">
        <v>26</v>
      </c>
      <c r="D4" s="1" t="s">
        <v>26</v>
      </c>
      <c r="E4" s="1" t="s">
        <v>33</v>
      </c>
      <c r="F4" s="1" t="s">
        <v>31</v>
      </c>
      <c r="G4" s="1">
        <f>YEAR(Table1[[#This Row],[Application_Date]])</f>
        <v>2024</v>
      </c>
      <c r="H4" s="1" t="str">
        <f>TEXT(Table1[[#This Row],[EMI_payment_date]],"mmmm")</f>
        <v>May</v>
      </c>
      <c r="I4" s="3">
        <v>45384</v>
      </c>
      <c r="J4" s="3">
        <f>EDATE(Table1[[#This Row],[Application_Date]],1)</f>
        <v>45414</v>
      </c>
      <c r="K4" s="9">
        <v>1632000</v>
      </c>
      <c r="L4" s="9">
        <f>Table1[[#This Row],[Annual_Income]]/12</f>
        <v>136000</v>
      </c>
      <c r="M4" s="9">
        <v>1832000</v>
      </c>
      <c r="N4" s="5">
        <f ca="1">DATEDIF(Table1[[#This Row],[EMI_payment_date]],TODAY(),"m")</f>
        <v>26</v>
      </c>
      <c r="O4" s="9">
        <f ca="1">Table1[[#This Row],[month_paid]]*Table1[[#This Row],[monthly_EMI]]</f>
        <v>1060800</v>
      </c>
      <c r="P4" s="1">
        <v>8.51</v>
      </c>
      <c r="Q4" s="9">
        <f>Table1[[#This Row],[monthly_income]]*30%</f>
        <v>40800</v>
      </c>
      <c r="R4" s="1">
        <f>ROUNDUP(NPER(P4/100/12,-Q4,Table1[[#This Row],[Loan_Amount]]),0)</f>
        <v>55</v>
      </c>
      <c r="S4" s="1">
        <v>750</v>
      </c>
      <c r="T4" s="1" t="s">
        <v>20</v>
      </c>
      <c r="U4" s="1" t="str">
        <f>IF(Table1[[#This Row],[Repayment_Status]]="late","bad loan","good loan")</f>
        <v>good loan</v>
      </c>
      <c r="V4" s="1" t="str">
        <f>IF(Table1[[#This Row],[Repayment_Status]]="late","high","low")</f>
        <v>low</v>
      </c>
      <c r="W4" s="1">
        <f>(Table1[[#This Row],[monthly_EMI]]/Table1[[#This Row],[monthly_income]])*100</f>
        <v>30</v>
      </c>
      <c r="X4" s="7">
        <v>23469.34</v>
      </c>
    </row>
    <row r="5" spans="1:26" x14ac:dyDescent="0.25">
      <c r="A5" s="1" t="s">
        <v>576</v>
      </c>
      <c r="B5" s="2" t="s">
        <v>811</v>
      </c>
      <c r="C5" s="5">
        <v>29</v>
      </c>
      <c r="D5" s="1" t="s">
        <v>26</v>
      </c>
      <c r="E5" s="1" t="s">
        <v>24</v>
      </c>
      <c r="F5" s="1" t="s">
        <v>31</v>
      </c>
      <c r="G5" s="1">
        <f>YEAR(Table1[[#This Row],[Application_Date]])</f>
        <v>2024</v>
      </c>
      <c r="H5" s="1" t="str">
        <f>TEXT(Table1[[#This Row],[EMI_payment_date]],"mmmm")</f>
        <v>May</v>
      </c>
      <c r="I5" s="3">
        <v>45385</v>
      </c>
      <c r="J5" s="3">
        <f>EDATE(Table1[[#This Row],[Application_Date]],1)</f>
        <v>45415</v>
      </c>
      <c r="K5" s="9">
        <v>7176000</v>
      </c>
      <c r="L5" s="9">
        <f>Table1[[#This Row],[Annual_Income]]/12</f>
        <v>598000</v>
      </c>
      <c r="M5" s="9">
        <v>7376000</v>
      </c>
      <c r="N5" s="5">
        <f ca="1">DATEDIF(Table1[[#This Row],[EMI_payment_date]],TODAY(),"m")</f>
        <v>26</v>
      </c>
      <c r="O5" s="9">
        <f ca="1">Table1[[#This Row],[month_paid]]*Table1[[#This Row],[monthly_EMI]]</f>
        <v>4664400</v>
      </c>
      <c r="P5" s="1">
        <v>5.21</v>
      </c>
      <c r="Q5" s="9">
        <f>Table1[[#This Row],[monthly_income]]*30%</f>
        <v>179400</v>
      </c>
      <c r="R5" s="1">
        <f>ROUNDUP(NPER(P5/100/12,-Q5,Table1[[#This Row],[Loan_Amount]]),0)</f>
        <v>46</v>
      </c>
      <c r="S5" s="1">
        <v>707</v>
      </c>
      <c r="T5" s="1" t="s">
        <v>20</v>
      </c>
      <c r="U5" s="1" t="str">
        <f>IF(Table1[[#This Row],[Repayment_Status]]="late","bad loan","good loan")</f>
        <v>good loan</v>
      </c>
      <c r="V5" s="1" t="str">
        <f>IF(Table1[[#This Row],[Repayment_Status]]="late","high","low")</f>
        <v>low</v>
      </c>
      <c r="W5" s="1">
        <f>(Table1[[#This Row],[monthly_EMI]]/Table1[[#This Row],[monthly_income]])*100</f>
        <v>30</v>
      </c>
      <c r="X5" s="7">
        <v>10514.14</v>
      </c>
    </row>
    <row r="6" spans="1:26" x14ac:dyDescent="0.25">
      <c r="A6" s="1" t="s">
        <v>469</v>
      </c>
      <c r="B6" s="2" t="s">
        <v>848</v>
      </c>
      <c r="C6" s="11">
        <v>48</v>
      </c>
      <c r="D6" s="1" t="s">
        <v>26</v>
      </c>
      <c r="E6" s="1" t="s">
        <v>33</v>
      </c>
      <c r="F6" s="1" t="s">
        <v>17</v>
      </c>
      <c r="G6" s="1">
        <f>YEAR(Table1[[#This Row],[Application_Date]])</f>
        <v>2024</v>
      </c>
      <c r="H6" s="1" t="str">
        <f>TEXT(Table1[[#This Row],[EMI_payment_date]],"mmmm")</f>
        <v>May</v>
      </c>
      <c r="I6" s="3">
        <v>45386</v>
      </c>
      <c r="J6" s="3">
        <f>EDATE(Table1[[#This Row],[Application_Date]],1)</f>
        <v>45416</v>
      </c>
      <c r="K6" s="9">
        <v>5892000</v>
      </c>
      <c r="L6" s="9">
        <f>Table1[[#This Row],[Annual_Income]]/12</f>
        <v>491000</v>
      </c>
      <c r="M6" s="9">
        <v>6092000</v>
      </c>
      <c r="N6" s="5">
        <f ca="1">DATEDIF(Table1[[#This Row],[EMI_payment_date]],TODAY(),"m")</f>
        <v>26</v>
      </c>
      <c r="O6" s="9">
        <f ca="1">Table1[[#This Row],[month_paid]]*Table1[[#This Row],[monthly_EMI]]</f>
        <v>3829800</v>
      </c>
      <c r="P6" s="1">
        <v>9.9499999999999993</v>
      </c>
      <c r="Q6" s="9">
        <f>Table1[[#This Row],[monthly_income]]*30%</f>
        <v>147300</v>
      </c>
      <c r="R6" s="1">
        <f>ROUNDUP(NPER(P6/100/12,-Q6,Table1[[#This Row],[Loan_Amount]]),0)</f>
        <v>51</v>
      </c>
      <c r="S6" s="1">
        <v>848</v>
      </c>
      <c r="T6" s="1" t="s">
        <v>37</v>
      </c>
      <c r="U6" s="1" t="str">
        <f>IF(Table1[[#This Row],[Repayment_Status]]="late","bad loan","good loan")</f>
        <v>bad loan</v>
      </c>
      <c r="V6" s="1" t="str">
        <f>IF(Table1[[#This Row],[Repayment_Status]]="late","high","low")</f>
        <v>high</v>
      </c>
      <c r="W6" s="1">
        <f>(Table1[[#This Row],[monthly_EMI]]/Table1[[#This Row],[monthly_income]])*100</f>
        <v>30</v>
      </c>
      <c r="X6" s="7">
        <v>26808.54</v>
      </c>
    </row>
    <row r="7" spans="1:26" x14ac:dyDescent="0.25">
      <c r="A7" s="1" t="s">
        <v>436</v>
      </c>
      <c r="B7" s="2" t="s">
        <v>795</v>
      </c>
      <c r="C7" s="5">
        <v>50</v>
      </c>
      <c r="D7" s="1" t="s">
        <v>15</v>
      </c>
      <c r="E7" s="1" t="s">
        <v>24</v>
      </c>
      <c r="F7" s="1" t="s">
        <v>17</v>
      </c>
      <c r="G7" s="1">
        <f>YEAR(Table1[[#This Row],[Application_Date]])</f>
        <v>2024</v>
      </c>
      <c r="H7" s="1" t="str">
        <f>TEXT(Table1[[#This Row],[EMI_payment_date]],"mmmm")</f>
        <v>May</v>
      </c>
      <c r="I7" s="3">
        <v>45387</v>
      </c>
      <c r="J7" s="3">
        <f>EDATE(Table1[[#This Row],[Application_Date]],1)</f>
        <v>45417</v>
      </c>
      <c r="K7" s="9">
        <v>5496000</v>
      </c>
      <c r="L7" s="9">
        <f>Table1[[#This Row],[Annual_Income]]/12</f>
        <v>458000</v>
      </c>
      <c r="M7" s="9">
        <v>5696000</v>
      </c>
      <c r="N7" s="5">
        <f ca="1">DATEDIF(Table1[[#This Row],[EMI_payment_date]],TODAY(),"m")</f>
        <v>26</v>
      </c>
      <c r="O7" s="9">
        <f ca="1">Table1[[#This Row],[month_paid]]*Table1[[#This Row],[monthly_EMI]]</f>
        <v>3572400</v>
      </c>
      <c r="P7" s="1">
        <v>6.55</v>
      </c>
      <c r="Q7" s="9">
        <f>Table1[[#This Row],[monthly_income]]*30%</f>
        <v>137400</v>
      </c>
      <c r="R7" s="1">
        <f>ROUNDUP(NPER(P7/100/12,-Q7,Table1[[#This Row],[Loan_Amount]]),0)</f>
        <v>48</v>
      </c>
      <c r="S7" s="1">
        <v>804</v>
      </c>
      <c r="T7" s="1" t="s">
        <v>20</v>
      </c>
      <c r="U7" s="1" t="str">
        <f>IF(Table1[[#This Row],[Repayment_Status]]="late","bad loan","good loan")</f>
        <v>good loan</v>
      </c>
      <c r="V7" s="1" t="str">
        <f>IF(Table1[[#This Row],[Repayment_Status]]="late","high","low")</f>
        <v>low</v>
      </c>
      <c r="W7" s="1">
        <f>(Table1[[#This Row],[monthly_EMI]]/Table1[[#This Row],[monthly_income]])*100</f>
        <v>30</v>
      </c>
      <c r="X7" s="7">
        <v>25945.11</v>
      </c>
    </row>
    <row r="8" spans="1:26" x14ac:dyDescent="0.25">
      <c r="A8" s="1" t="s">
        <v>484</v>
      </c>
      <c r="B8" s="2" t="s">
        <v>733</v>
      </c>
      <c r="C8" s="5">
        <v>36</v>
      </c>
      <c r="D8" s="1" t="s">
        <v>26</v>
      </c>
      <c r="E8" s="1" t="s">
        <v>27</v>
      </c>
      <c r="F8" s="1" t="s">
        <v>31</v>
      </c>
      <c r="G8" s="1">
        <f>YEAR(Table1[[#This Row],[Application_Date]])</f>
        <v>2024</v>
      </c>
      <c r="H8" s="1" t="str">
        <f>TEXT(Table1[[#This Row],[EMI_payment_date]],"mmmm")</f>
        <v>May</v>
      </c>
      <c r="I8" s="3">
        <v>45388</v>
      </c>
      <c r="J8" s="3">
        <f>EDATE(Table1[[#This Row],[Application_Date]],1)</f>
        <v>45418</v>
      </c>
      <c r="K8" s="9">
        <v>6072000</v>
      </c>
      <c r="L8" s="9">
        <f>Table1[[#This Row],[Annual_Income]]/12</f>
        <v>506000</v>
      </c>
      <c r="M8" s="9">
        <v>6272000</v>
      </c>
      <c r="N8" s="5">
        <f ca="1">DATEDIF(Table1[[#This Row],[EMI_payment_date]],TODAY(),"m")</f>
        <v>26</v>
      </c>
      <c r="O8" s="9">
        <f ca="1">Table1[[#This Row],[month_paid]]*Table1[[#This Row],[monthly_EMI]]</f>
        <v>3946800</v>
      </c>
      <c r="P8" s="1">
        <v>9.26</v>
      </c>
      <c r="Q8" s="9">
        <f>Table1[[#This Row],[monthly_income]]*30%</f>
        <v>151800</v>
      </c>
      <c r="R8" s="1">
        <f>ROUNDUP(NPER(P8/100/12,-Q8,Table1[[#This Row],[Loan_Amount]]),0)</f>
        <v>50</v>
      </c>
      <c r="S8" s="1">
        <v>812</v>
      </c>
      <c r="T8" s="1" t="s">
        <v>20</v>
      </c>
      <c r="U8" s="1" t="str">
        <f>IF(Table1[[#This Row],[Repayment_Status]]="late","bad loan","good loan")</f>
        <v>good loan</v>
      </c>
      <c r="V8" s="1" t="str">
        <f>IF(Table1[[#This Row],[Repayment_Status]]="late","high","low")</f>
        <v>low</v>
      </c>
      <c r="W8" s="1">
        <f>(Table1[[#This Row],[monthly_EMI]]/Table1[[#This Row],[monthly_income]])*100</f>
        <v>30</v>
      </c>
      <c r="X8" s="7">
        <v>22853.64</v>
      </c>
    </row>
    <row r="9" spans="1:26" x14ac:dyDescent="0.25">
      <c r="A9" s="1" t="s">
        <v>69</v>
      </c>
      <c r="B9" s="2" t="s">
        <v>768</v>
      </c>
      <c r="C9" s="5">
        <v>23</v>
      </c>
      <c r="D9" s="1" t="s">
        <v>15</v>
      </c>
      <c r="E9" s="1" t="s">
        <v>33</v>
      </c>
      <c r="F9" s="1" t="s">
        <v>51</v>
      </c>
      <c r="G9" s="1">
        <f>YEAR(Table1[[#This Row],[Application_Date]])</f>
        <v>2024</v>
      </c>
      <c r="H9" s="1" t="str">
        <f>TEXT(Table1[[#This Row],[EMI_payment_date]],"mmmm")</f>
        <v>May</v>
      </c>
      <c r="I9" s="3">
        <v>45389</v>
      </c>
      <c r="J9" s="3">
        <f>EDATE(Table1[[#This Row],[Application_Date]],1)</f>
        <v>45419</v>
      </c>
      <c r="K9" s="9">
        <v>1080000</v>
      </c>
      <c r="L9" s="9">
        <f>Table1[[#This Row],[Annual_Income]]/12</f>
        <v>90000</v>
      </c>
      <c r="M9" s="9">
        <v>1280000</v>
      </c>
      <c r="N9" s="5">
        <f ca="1">DATEDIF(Table1[[#This Row],[EMI_payment_date]],TODAY(),"m")</f>
        <v>26</v>
      </c>
      <c r="O9" s="9">
        <f ca="1">Table1[[#This Row],[month_paid]]*Table1[[#This Row],[monthly_EMI]]</f>
        <v>702000</v>
      </c>
      <c r="P9" s="1">
        <v>5.39</v>
      </c>
      <c r="Q9" s="9">
        <f>Table1[[#This Row],[monthly_income]]*30%</f>
        <v>27000</v>
      </c>
      <c r="R9" s="1">
        <f>ROUNDUP(NPER(P9/100/12,-Q9,Table1[[#This Row],[Loan_Amount]]),0)</f>
        <v>54</v>
      </c>
      <c r="S9" s="1">
        <v>831</v>
      </c>
      <c r="T9" s="1" t="s">
        <v>37</v>
      </c>
      <c r="U9" s="1" t="str">
        <f>IF(Table1[[#This Row],[Repayment_Status]]="late","bad loan","good loan")</f>
        <v>bad loan</v>
      </c>
      <c r="V9" s="1" t="str">
        <f>IF(Table1[[#This Row],[Repayment_Status]]="late","high","low")</f>
        <v>high</v>
      </c>
      <c r="W9" s="1">
        <f>(Table1[[#This Row],[monthly_EMI]]/Table1[[#This Row],[monthly_income]])*100</f>
        <v>30</v>
      </c>
      <c r="X9" s="7">
        <v>12860.1</v>
      </c>
    </row>
    <row r="10" spans="1:26" x14ac:dyDescent="0.25">
      <c r="A10" s="1" t="s">
        <v>572</v>
      </c>
      <c r="B10" s="2" t="s">
        <v>745</v>
      </c>
      <c r="C10" s="5">
        <v>27</v>
      </c>
      <c r="D10" s="1" t="s">
        <v>15</v>
      </c>
      <c r="E10" s="1" t="s">
        <v>29</v>
      </c>
      <c r="F10" s="1" t="s">
        <v>17</v>
      </c>
      <c r="G10" s="1">
        <f>YEAR(Table1[[#This Row],[Application_Date]])</f>
        <v>2024</v>
      </c>
      <c r="H10" s="1" t="str">
        <f>TEXT(Table1[[#This Row],[EMI_payment_date]],"mmmm")</f>
        <v>May</v>
      </c>
      <c r="I10" s="3">
        <v>45390</v>
      </c>
      <c r="J10" s="3">
        <f>EDATE(Table1[[#This Row],[Application_Date]],1)</f>
        <v>45420</v>
      </c>
      <c r="K10" s="9">
        <v>7128000</v>
      </c>
      <c r="L10" s="9">
        <f>Table1[[#This Row],[Annual_Income]]/12</f>
        <v>594000</v>
      </c>
      <c r="M10" s="9">
        <v>7328000</v>
      </c>
      <c r="N10" s="5">
        <f ca="1">DATEDIF(Table1[[#This Row],[EMI_payment_date]],TODAY(),"m")</f>
        <v>26</v>
      </c>
      <c r="O10" s="9">
        <f ca="1">Table1[[#This Row],[month_paid]]*Table1[[#This Row],[monthly_EMI]]</f>
        <v>4633200</v>
      </c>
      <c r="P10" s="1">
        <v>8.64</v>
      </c>
      <c r="Q10" s="9">
        <f>Table1[[#This Row],[monthly_income]]*30%</f>
        <v>178200</v>
      </c>
      <c r="R10" s="1">
        <f>ROUNDUP(NPER(P10/100/12,-Q10,Table1[[#This Row],[Loan_Amount]]),0)</f>
        <v>49</v>
      </c>
      <c r="S10" s="1">
        <v>732</v>
      </c>
      <c r="T10" s="1" t="s">
        <v>37</v>
      </c>
      <c r="U10" s="1" t="str">
        <f>IF(Table1[[#This Row],[Repayment_Status]]="late","bad loan","good loan")</f>
        <v>bad loan</v>
      </c>
      <c r="V10" s="1" t="str">
        <f>IF(Table1[[#This Row],[Repayment_Status]]="late","high","low")</f>
        <v>high</v>
      </c>
      <c r="W10" s="1">
        <f>(Table1[[#This Row],[monthly_EMI]]/Table1[[#This Row],[monthly_income]])*100</f>
        <v>30</v>
      </c>
      <c r="X10" s="7">
        <v>30989.8</v>
      </c>
    </row>
    <row r="11" spans="1:26" x14ac:dyDescent="0.25">
      <c r="A11" s="1" t="s">
        <v>373</v>
      </c>
      <c r="B11" s="2" t="s">
        <v>783</v>
      </c>
      <c r="C11" s="5">
        <v>30</v>
      </c>
      <c r="D11" s="1" t="s">
        <v>26</v>
      </c>
      <c r="E11" s="1" t="s">
        <v>36</v>
      </c>
      <c r="F11" s="1" t="s">
        <v>19</v>
      </c>
      <c r="G11" s="1">
        <f>YEAR(Table1[[#This Row],[Application_Date]])</f>
        <v>2024</v>
      </c>
      <c r="H11" s="1" t="str">
        <f>TEXT(Table1[[#This Row],[EMI_payment_date]],"mmmm")</f>
        <v>May</v>
      </c>
      <c r="I11" s="3">
        <v>45391</v>
      </c>
      <c r="J11" s="3">
        <f>EDATE(Table1[[#This Row],[Application_Date]],1)</f>
        <v>45421</v>
      </c>
      <c r="K11" s="9">
        <v>4740000</v>
      </c>
      <c r="L11" s="9">
        <f>Table1[[#This Row],[Annual_Income]]/12</f>
        <v>395000</v>
      </c>
      <c r="M11" s="9">
        <v>4940000</v>
      </c>
      <c r="N11" s="5">
        <f ca="1">DATEDIF(Table1[[#This Row],[EMI_payment_date]],TODAY(),"m")</f>
        <v>26</v>
      </c>
      <c r="O11" s="9">
        <f ca="1">Table1[[#This Row],[month_paid]]*Table1[[#This Row],[monthly_EMI]]</f>
        <v>3081000</v>
      </c>
      <c r="P11" s="1">
        <v>7.16</v>
      </c>
      <c r="Q11" s="9">
        <f>Table1[[#This Row],[monthly_income]]*30%</f>
        <v>118500</v>
      </c>
      <c r="R11" s="1">
        <f>ROUNDUP(NPER(P11/100/12,-Q11,Table1[[#This Row],[Loan_Amount]]),0)</f>
        <v>49</v>
      </c>
      <c r="S11" s="1">
        <v>746</v>
      </c>
      <c r="T11" s="1" t="s">
        <v>20</v>
      </c>
      <c r="U11" s="1" t="str">
        <f>IF(Table1[[#This Row],[Repayment_Status]]="late","bad loan","good loan")</f>
        <v>good loan</v>
      </c>
      <c r="V11" s="1" t="str">
        <f>IF(Table1[[#This Row],[Repayment_Status]]="late","high","low")</f>
        <v>low</v>
      </c>
      <c r="W11" s="1">
        <f>(Table1[[#This Row],[monthly_EMI]]/Table1[[#This Row],[monthly_income]])*100</f>
        <v>30</v>
      </c>
      <c r="X11" s="7">
        <v>26278.03</v>
      </c>
    </row>
    <row r="12" spans="1:26" x14ac:dyDescent="0.25">
      <c r="A12" s="1" t="s">
        <v>561</v>
      </c>
      <c r="B12" s="2" t="s">
        <v>870</v>
      </c>
      <c r="C12" s="5">
        <v>37</v>
      </c>
      <c r="D12" s="1" t="s">
        <v>15</v>
      </c>
      <c r="E12" s="1" t="s">
        <v>36</v>
      </c>
      <c r="F12" s="1" t="s">
        <v>51</v>
      </c>
      <c r="G12" s="1">
        <f>YEAR(Table1[[#This Row],[Application_Date]])</f>
        <v>2024</v>
      </c>
      <c r="H12" s="1" t="str">
        <f>TEXT(Table1[[#This Row],[EMI_payment_date]],"mmmm")</f>
        <v>May</v>
      </c>
      <c r="I12" s="3">
        <v>45392</v>
      </c>
      <c r="J12" s="3">
        <f>EDATE(Table1[[#This Row],[Application_Date]],1)</f>
        <v>45422</v>
      </c>
      <c r="K12" s="9">
        <v>6996000</v>
      </c>
      <c r="L12" s="9">
        <f>Table1[[#This Row],[Annual_Income]]/12</f>
        <v>583000</v>
      </c>
      <c r="M12" s="9">
        <v>7196000</v>
      </c>
      <c r="N12" s="5">
        <f ca="1">DATEDIF(Table1[[#This Row],[EMI_payment_date]],TODAY(),"m")</f>
        <v>26</v>
      </c>
      <c r="O12" s="9">
        <f ca="1">Table1[[#This Row],[month_paid]]*Table1[[#This Row],[monthly_EMI]]</f>
        <v>4547400</v>
      </c>
      <c r="P12" s="1">
        <v>9.6300000000000008</v>
      </c>
      <c r="Q12" s="9">
        <f>Table1[[#This Row],[monthly_income]]*30%</f>
        <v>174900</v>
      </c>
      <c r="R12" s="1">
        <f>ROUNDUP(NPER(P12/100/12,-Q12,Table1[[#This Row],[Loan_Amount]]),0)</f>
        <v>51</v>
      </c>
      <c r="S12" s="1">
        <v>753</v>
      </c>
      <c r="T12" s="1" t="s">
        <v>20</v>
      </c>
      <c r="U12" s="1" t="str">
        <f>IF(Table1[[#This Row],[Repayment_Status]]="late","bad loan","good loan")</f>
        <v>good loan</v>
      </c>
      <c r="V12" s="1" t="str">
        <f>IF(Table1[[#This Row],[Repayment_Status]]="late","high","low")</f>
        <v>low</v>
      </c>
      <c r="W12" s="1">
        <f>(Table1[[#This Row],[monthly_EMI]]/Table1[[#This Row],[monthly_income]])*100</f>
        <v>30</v>
      </c>
      <c r="X12" s="7">
        <v>23757.02</v>
      </c>
    </row>
    <row r="13" spans="1:26" x14ac:dyDescent="0.25">
      <c r="A13" s="1" t="s">
        <v>143</v>
      </c>
      <c r="B13" s="2" t="s">
        <v>818</v>
      </c>
      <c r="C13" s="5">
        <v>29</v>
      </c>
      <c r="D13" s="1" t="s">
        <v>26</v>
      </c>
      <c r="E13" s="1" t="s">
        <v>16</v>
      </c>
      <c r="F13" s="1" t="s">
        <v>17</v>
      </c>
      <c r="G13" s="1">
        <f>YEAR(Table1[[#This Row],[Application_Date]])</f>
        <v>2024</v>
      </c>
      <c r="H13" s="1" t="str">
        <f>TEXT(Table1[[#This Row],[EMI_payment_date]],"mmmm")</f>
        <v>May</v>
      </c>
      <c r="I13" s="3">
        <v>45393</v>
      </c>
      <c r="J13" s="3">
        <f>EDATE(Table1[[#This Row],[Application_Date]],1)</f>
        <v>45423</v>
      </c>
      <c r="K13" s="9">
        <v>1980000</v>
      </c>
      <c r="L13" s="9">
        <f>Table1[[#This Row],[Annual_Income]]/12</f>
        <v>165000</v>
      </c>
      <c r="M13" s="9">
        <v>2180000</v>
      </c>
      <c r="N13" s="5">
        <f ca="1">DATEDIF(Table1[[#This Row],[EMI_payment_date]],TODAY(),"m")</f>
        <v>26</v>
      </c>
      <c r="O13" s="9">
        <f ca="1">Table1[[#This Row],[month_paid]]*Table1[[#This Row],[monthly_EMI]]</f>
        <v>1287000</v>
      </c>
      <c r="P13" s="1">
        <v>7.42</v>
      </c>
      <c r="Q13" s="9">
        <f>Table1[[#This Row],[monthly_income]]*30%</f>
        <v>49500</v>
      </c>
      <c r="R13" s="1">
        <f>ROUNDUP(NPER(P13/100/12,-Q13,Table1[[#This Row],[Loan_Amount]]),0)</f>
        <v>52</v>
      </c>
      <c r="S13" s="1">
        <v>838</v>
      </c>
      <c r="T13" s="1" t="s">
        <v>37</v>
      </c>
      <c r="U13" s="1" t="str">
        <f>IF(Table1[[#This Row],[Repayment_Status]]="late","bad loan","good loan")</f>
        <v>bad loan</v>
      </c>
      <c r="V13" s="1" t="str">
        <f>IF(Table1[[#This Row],[Repayment_Status]]="late","high","low")</f>
        <v>high</v>
      </c>
      <c r="W13" s="1">
        <f>(Table1[[#This Row],[monthly_EMI]]/Table1[[#This Row],[monthly_income]])*100</f>
        <v>30</v>
      </c>
      <c r="X13" s="7">
        <v>22554.62</v>
      </c>
    </row>
    <row r="14" spans="1:26" x14ac:dyDescent="0.25">
      <c r="A14" s="1" t="s">
        <v>348</v>
      </c>
      <c r="B14" s="2" t="s">
        <v>747</v>
      </c>
      <c r="C14" s="5">
        <v>58</v>
      </c>
      <c r="D14" s="1" t="s">
        <v>26</v>
      </c>
      <c r="E14" s="1" t="s">
        <v>16</v>
      </c>
      <c r="F14" s="1" t="s">
        <v>31</v>
      </c>
      <c r="G14" s="1">
        <f>YEAR(Table1[[#This Row],[Application_Date]])</f>
        <v>2024</v>
      </c>
      <c r="H14" s="1" t="str">
        <f>TEXT(Table1[[#This Row],[EMI_payment_date]],"mmmm")</f>
        <v>May</v>
      </c>
      <c r="I14" s="3">
        <v>45394</v>
      </c>
      <c r="J14" s="3">
        <f>EDATE(Table1[[#This Row],[Application_Date]],1)</f>
        <v>45424</v>
      </c>
      <c r="K14" s="9">
        <v>4440000</v>
      </c>
      <c r="L14" s="9">
        <f>Table1[[#This Row],[Annual_Income]]/12</f>
        <v>370000</v>
      </c>
      <c r="M14" s="9">
        <v>4640000</v>
      </c>
      <c r="N14" s="5">
        <f ca="1">DATEDIF(Table1[[#This Row],[EMI_payment_date]],TODAY(),"m")</f>
        <v>26</v>
      </c>
      <c r="O14" s="9">
        <f ca="1">Table1[[#This Row],[month_paid]]*Table1[[#This Row],[monthly_EMI]]</f>
        <v>2886000</v>
      </c>
      <c r="P14" s="1">
        <v>7.88</v>
      </c>
      <c r="Q14" s="9">
        <f>Table1[[#This Row],[monthly_income]]*30%</f>
        <v>111000</v>
      </c>
      <c r="R14" s="1">
        <f>ROUNDUP(NPER(P14/100/12,-Q14,Table1[[#This Row],[Loan_Amount]]),0)</f>
        <v>50</v>
      </c>
      <c r="S14" s="1">
        <v>778</v>
      </c>
      <c r="T14" s="1" t="s">
        <v>20</v>
      </c>
      <c r="U14" s="1" t="str">
        <f>IF(Table1[[#This Row],[Repayment_Status]]="late","bad loan","good loan")</f>
        <v>good loan</v>
      </c>
      <c r="V14" s="1" t="str">
        <f>IF(Table1[[#This Row],[Repayment_Status]]="late","high","low")</f>
        <v>low</v>
      </c>
      <c r="W14" s="1">
        <f>(Table1[[#This Row],[monthly_EMI]]/Table1[[#This Row],[monthly_income]])*100</f>
        <v>30</v>
      </c>
      <c r="X14" s="7">
        <v>18855.34</v>
      </c>
    </row>
    <row r="15" spans="1:26" x14ac:dyDescent="0.25">
      <c r="A15" s="1" t="s">
        <v>387</v>
      </c>
      <c r="B15" s="2" t="s">
        <v>880</v>
      </c>
      <c r="C15" s="5">
        <v>49</v>
      </c>
      <c r="D15" s="1" t="s">
        <v>15</v>
      </c>
      <c r="E15" s="1" t="s">
        <v>29</v>
      </c>
      <c r="F15" s="1" t="s">
        <v>19</v>
      </c>
      <c r="G15" s="1">
        <f>YEAR(Table1[[#This Row],[Application_Date]])</f>
        <v>2024</v>
      </c>
      <c r="H15" s="1" t="str">
        <f>TEXT(Table1[[#This Row],[EMI_payment_date]],"mmmm")</f>
        <v>May</v>
      </c>
      <c r="I15" s="3">
        <v>45395</v>
      </c>
      <c r="J15" s="3">
        <f>EDATE(Table1[[#This Row],[Application_Date]],1)</f>
        <v>45425</v>
      </c>
      <c r="K15" s="9">
        <v>4908000</v>
      </c>
      <c r="L15" s="9">
        <f>Table1[[#This Row],[Annual_Income]]/12</f>
        <v>409000</v>
      </c>
      <c r="M15" s="9">
        <v>5108000</v>
      </c>
      <c r="N15" s="5">
        <f ca="1">DATEDIF(Table1[[#This Row],[EMI_payment_date]],TODAY(),"m")</f>
        <v>26</v>
      </c>
      <c r="O15" s="9">
        <f ca="1">Table1[[#This Row],[month_paid]]*Table1[[#This Row],[monthly_EMI]]</f>
        <v>3190200</v>
      </c>
      <c r="P15" s="1">
        <v>6.34</v>
      </c>
      <c r="Q15" s="9">
        <f>Table1[[#This Row],[monthly_income]]*30%</f>
        <v>122700</v>
      </c>
      <c r="R15" s="1">
        <f>ROUNDUP(NPER(P15/100/12,-Q15,Table1[[#This Row],[Loan_Amount]]),0)</f>
        <v>48</v>
      </c>
      <c r="S15" s="1">
        <v>836</v>
      </c>
      <c r="T15" s="1" t="s">
        <v>20</v>
      </c>
      <c r="U15" s="1" t="str">
        <f>IF(Table1[[#This Row],[Repayment_Status]]="late","bad loan","good loan")</f>
        <v>good loan</v>
      </c>
      <c r="V15" s="1" t="str">
        <f>IF(Table1[[#This Row],[Repayment_Status]]="late","high","low")</f>
        <v>low</v>
      </c>
      <c r="W15" s="1">
        <f>(Table1[[#This Row],[monthly_EMI]]/Table1[[#This Row],[monthly_income]])*100</f>
        <v>30</v>
      </c>
      <c r="X15" s="7">
        <v>22184.03</v>
      </c>
    </row>
    <row r="16" spans="1:26" x14ac:dyDescent="0.25">
      <c r="A16" s="1" t="s">
        <v>226</v>
      </c>
      <c r="B16" s="2" t="s">
        <v>860</v>
      </c>
      <c r="C16" s="5">
        <v>48</v>
      </c>
      <c r="D16" s="1" t="s">
        <v>15</v>
      </c>
      <c r="E16" s="1" t="s">
        <v>16</v>
      </c>
      <c r="F16" s="1" t="s">
        <v>22</v>
      </c>
      <c r="G16" s="1">
        <f>YEAR(Table1[[#This Row],[Application_Date]])</f>
        <v>2024</v>
      </c>
      <c r="H16" s="1" t="str">
        <f>TEXT(Table1[[#This Row],[EMI_payment_date]],"mmmm")</f>
        <v>May</v>
      </c>
      <c r="I16" s="3">
        <v>45396</v>
      </c>
      <c r="J16" s="3">
        <f>EDATE(Table1[[#This Row],[Application_Date]],1)</f>
        <v>45426</v>
      </c>
      <c r="K16" s="9">
        <v>2976000</v>
      </c>
      <c r="L16" s="9">
        <f>Table1[[#This Row],[Annual_Income]]/12</f>
        <v>248000</v>
      </c>
      <c r="M16" s="9">
        <v>3176000</v>
      </c>
      <c r="N16" s="5">
        <f ca="1">DATEDIF(Table1[[#This Row],[EMI_payment_date]],TODAY(),"m")</f>
        <v>26</v>
      </c>
      <c r="O16" s="9">
        <f ca="1">Table1[[#This Row],[month_paid]]*Table1[[#This Row],[monthly_EMI]]</f>
        <v>1934400</v>
      </c>
      <c r="P16" s="1">
        <v>5.72</v>
      </c>
      <c r="Q16" s="9">
        <f>Table1[[#This Row],[monthly_income]]*30%</f>
        <v>74400</v>
      </c>
      <c r="R16" s="1">
        <f>ROUNDUP(NPER(P16/100/12,-Q16,Table1[[#This Row],[Loan_Amount]]),0)</f>
        <v>48</v>
      </c>
      <c r="S16" s="1">
        <v>839</v>
      </c>
      <c r="T16" s="1" t="s">
        <v>20</v>
      </c>
      <c r="U16" s="1" t="str">
        <f>IF(Table1[[#This Row],[Repayment_Status]]="late","bad loan","good loan")</f>
        <v>good loan</v>
      </c>
      <c r="V16" s="1" t="str">
        <f>IF(Table1[[#This Row],[Repayment_Status]]="late","high","low")</f>
        <v>low</v>
      </c>
      <c r="W16" s="1">
        <f>(Table1[[#This Row],[monthly_EMI]]/Table1[[#This Row],[monthly_income]])*100</f>
        <v>30</v>
      </c>
      <c r="X16" s="7">
        <v>14398.69</v>
      </c>
    </row>
    <row r="17" spans="1:24" x14ac:dyDescent="0.25">
      <c r="A17" s="1" t="s">
        <v>499</v>
      </c>
      <c r="B17" s="2" t="s">
        <v>847</v>
      </c>
      <c r="C17" s="5">
        <v>46</v>
      </c>
      <c r="D17" s="1" t="s">
        <v>26</v>
      </c>
      <c r="E17" s="1" t="s">
        <v>29</v>
      </c>
      <c r="F17" s="1" t="s">
        <v>17</v>
      </c>
      <c r="G17" s="1">
        <f>YEAR(Table1[[#This Row],[Application_Date]])</f>
        <v>2024</v>
      </c>
      <c r="H17" s="1" t="str">
        <f>TEXT(Table1[[#This Row],[EMI_payment_date]],"mmmm")</f>
        <v>May</v>
      </c>
      <c r="I17" s="3">
        <v>45397</v>
      </c>
      <c r="J17" s="3">
        <f>EDATE(Table1[[#This Row],[Application_Date]],1)</f>
        <v>45427</v>
      </c>
      <c r="K17" s="9">
        <v>6252000</v>
      </c>
      <c r="L17" s="9">
        <f>Table1[[#This Row],[Annual_Income]]/12</f>
        <v>521000</v>
      </c>
      <c r="M17" s="9">
        <v>6452000</v>
      </c>
      <c r="N17" s="5">
        <f ca="1">DATEDIF(Table1[[#This Row],[EMI_payment_date]],TODAY(),"m")</f>
        <v>26</v>
      </c>
      <c r="O17" s="9">
        <f ca="1">Table1[[#This Row],[month_paid]]*Table1[[#This Row],[monthly_EMI]]</f>
        <v>4063800</v>
      </c>
      <c r="P17" s="1">
        <v>5.52</v>
      </c>
      <c r="Q17" s="9">
        <f>Table1[[#This Row],[monthly_income]]*30%</f>
        <v>156300</v>
      </c>
      <c r="R17" s="1">
        <f>ROUNDUP(NPER(P17/100/12,-Q17,Table1[[#This Row],[Loan_Amount]]),0)</f>
        <v>46</v>
      </c>
      <c r="S17" s="1">
        <v>615</v>
      </c>
      <c r="T17" s="1" t="s">
        <v>37</v>
      </c>
      <c r="U17" s="1" t="str">
        <f>IF(Table1[[#This Row],[Repayment_Status]]="late","bad loan","good loan")</f>
        <v>bad loan</v>
      </c>
      <c r="V17" s="1" t="str">
        <f>IF(Table1[[#This Row],[Repayment_Status]]="late","high","low")</f>
        <v>high</v>
      </c>
      <c r="W17" s="1">
        <f>(Table1[[#This Row],[monthly_EMI]]/Table1[[#This Row],[monthly_income]])*100</f>
        <v>30</v>
      </c>
      <c r="X17" s="7">
        <v>22609.68</v>
      </c>
    </row>
    <row r="18" spans="1:24" x14ac:dyDescent="0.25">
      <c r="A18" s="1" t="s">
        <v>557</v>
      </c>
      <c r="B18" s="2" t="s">
        <v>804</v>
      </c>
      <c r="C18" s="5">
        <v>58</v>
      </c>
      <c r="D18" s="1" t="s">
        <v>15</v>
      </c>
      <c r="E18" s="1" t="s">
        <v>16</v>
      </c>
      <c r="F18" s="1" t="s">
        <v>17</v>
      </c>
      <c r="G18" s="1">
        <f>YEAR(Table1[[#This Row],[Application_Date]])</f>
        <v>2024</v>
      </c>
      <c r="H18" s="1" t="str">
        <f>TEXT(Table1[[#This Row],[EMI_payment_date]],"mmmm")</f>
        <v>May</v>
      </c>
      <c r="I18" s="3">
        <v>45398</v>
      </c>
      <c r="J18" s="3">
        <f>EDATE(Table1[[#This Row],[Application_Date]],1)</f>
        <v>45428</v>
      </c>
      <c r="K18" s="9">
        <v>6948000</v>
      </c>
      <c r="L18" s="9">
        <f>Table1[[#This Row],[Annual_Income]]/12</f>
        <v>579000</v>
      </c>
      <c r="M18" s="9">
        <v>7148000</v>
      </c>
      <c r="N18" s="5">
        <f ca="1">DATEDIF(Table1[[#This Row],[EMI_payment_date]],TODAY(),"m")</f>
        <v>26</v>
      </c>
      <c r="O18" s="9">
        <f ca="1">Table1[[#This Row],[month_paid]]*Table1[[#This Row],[monthly_EMI]]</f>
        <v>4516200</v>
      </c>
      <c r="P18" s="1">
        <v>8.2799999999999994</v>
      </c>
      <c r="Q18" s="9">
        <f>Table1[[#This Row],[monthly_income]]*30%</f>
        <v>173700</v>
      </c>
      <c r="R18" s="1">
        <f>ROUNDUP(NPER(P18/100/12,-Q18,Table1[[#This Row],[Loan_Amount]]),0)</f>
        <v>49</v>
      </c>
      <c r="S18" s="1">
        <v>728</v>
      </c>
      <c r="T18" s="1" t="s">
        <v>37</v>
      </c>
      <c r="U18" s="1" t="str">
        <f>IF(Table1[[#This Row],[Repayment_Status]]="late","bad loan","good loan")</f>
        <v>bad loan</v>
      </c>
      <c r="V18" s="1" t="str">
        <f>IF(Table1[[#This Row],[Repayment_Status]]="late","high","low")</f>
        <v>high</v>
      </c>
      <c r="W18" s="1">
        <f>(Table1[[#This Row],[monthly_EMI]]/Table1[[#This Row],[monthly_income]])*100</f>
        <v>30</v>
      </c>
      <c r="X18" s="7">
        <v>26359.46</v>
      </c>
    </row>
    <row r="19" spans="1:24" x14ac:dyDescent="0.25">
      <c r="A19" s="1" t="s">
        <v>590</v>
      </c>
      <c r="B19" s="2" t="s">
        <v>777</v>
      </c>
      <c r="C19" s="5">
        <v>24</v>
      </c>
      <c r="D19" s="1" t="s">
        <v>15</v>
      </c>
      <c r="E19" s="1" t="s">
        <v>33</v>
      </c>
      <c r="F19" s="1" t="s">
        <v>17</v>
      </c>
      <c r="G19" s="1">
        <f>YEAR(Table1[[#This Row],[Application_Date]])</f>
        <v>2024</v>
      </c>
      <c r="H19" s="1" t="str">
        <f>TEXT(Table1[[#This Row],[EMI_payment_date]],"mmmm")</f>
        <v>May</v>
      </c>
      <c r="I19" s="3">
        <v>45399</v>
      </c>
      <c r="J19" s="3">
        <f>EDATE(Table1[[#This Row],[Application_Date]],1)</f>
        <v>45429</v>
      </c>
      <c r="K19" s="9">
        <v>7344000</v>
      </c>
      <c r="L19" s="9">
        <f>Table1[[#This Row],[Annual_Income]]/12</f>
        <v>612000</v>
      </c>
      <c r="M19" s="9">
        <v>7544000</v>
      </c>
      <c r="N19" s="5">
        <f ca="1">DATEDIF(Table1[[#This Row],[EMI_payment_date]],TODAY(),"m")</f>
        <v>26</v>
      </c>
      <c r="O19" s="9">
        <f ca="1">Table1[[#This Row],[month_paid]]*Table1[[#This Row],[monthly_EMI]]</f>
        <v>4773600</v>
      </c>
      <c r="P19" s="1">
        <v>5.2</v>
      </c>
      <c r="Q19" s="9">
        <f>Table1[[#This Row],[monthly_income]]*30%</f>
        <v>183600</v>
      </c>
      <c r="R19" s="1">
        <f>ROUNDUP(NPER(P19/100/12,-Q19,Table1[[#This Row],[Loan_Amount]]),0)</f>
        <v>46</v>
      </c>
      <c r="S19" s="1">
        <v>614</v>
      </c>
      <c r="T19" s="1" t="s">
        <v>20</v>
      </c>
      <c r="U19" s="1" t="str">
        <f>IF(Table1[[#This Row],[Repayment_Status]]="late","bad loan","good loan")</f>
        <v>good loan</v>
      </c>
      <c r="V19" s="1" t="str">
        <f>IF(Table1[[#This Row],[Repayment_Status]]="late","high","low")</f>
        <v>low</v>
      </c>
      <c r="W19" s="1">
        <f>(Table1[[#This Row],[monthly_EMI]]/Table1[[#This Row],[monthly_income]])*100</f>
        <v>30</v>
      </c>
      <c r="X19" s="7">
        <v>9169.41</v>
      </c>
    </row>
    <row r="20" spans="1:24" x14ac:dyDescent="0.25">
      <c r="A20" s="1" t="s">
        <v>656</v>
      </c>
      <c r="B20" s="2" t="s">
        <v>834</v>
      </c>
      <c r="C20" s="5">
        <v>25</v>
      </c>
      <c r="D20" s="1" t="s">
        <v>15</v>
      </c>
      <c r="E20" s="1" t="s">
        <v>36</v>
      </c>
      <c r="F20" s="1" t="s">
        <v>22</v>
      </c>
      <c r="G20" s="1">
        <f>YEAR(Table1[[#This Row],[Application_Date]])</f>
        <v>2024</v>
      </c>
      <c r="H20" s="1" t="str">
        <f>TEXT(Table1[[#This Row],[EMI_payment_date]],"mmmm")</f>
        <v>May</v>
      </c>
      <c r="I20" s="3">
        <v>45400</v>
      </c>
      <c r="J20" s="3">
        <f>EDATE(Table1[[#This Row],[Application_Date]],1)</f>
        <v>45430</v>
      </c>
      <c r="K20" s="9">
        <v>8136000</v>
      </c>
      <c r="L20" s="9">
        <f>Table1[[#This Row],[Annual_Income]]/12</f>
        <v>678000</v>
      </c>
      <c r="M20" s="9">
        <v>8336000</v>
      </c>
      <c r="N20" s="5">
        <f ca="1">DATEDIF(Table1[[#This Row],[EMI_payment_date]],TODAY(),"m")</f>
        <v>26</v>
      </c>
      <c r="O20" s="9">
        <f ca="1">Table1[[#This Row],[month_paid]]*Table1[[#This Row],[monthly_EMI]]</f>
        <v>5288400</v>
      </c>
      <c r="P20" s="1">
        <v>5.98</v>
      </c>
      <c r="Q20" s="9">
        <f>Table1[[#This Row],[monthly_income]]*30%</f>
        <v>203400</v>
      </c>
      <c r="R20" s="1">
        <f>ROUNDUP(NPER(P20/100/12,-Q20,Table1[[#This Row],[Loan_Amount]]),0)</f>
        <v>46</v>
      </c>
      <c r="S20" s="1">
        <v>673</v>
      </c>
      <c r="T20" s="1" t="s">
        <v>37</v>
      </c>
      <c r="U20" s="1" t="str">
        <f>IF(Table1[[#This Row],[Repayment_Status]]="late","bad loan","good loan")</f>
        <v>bad loan</v>
      </c>
      <c r="V20" s="1" t="str">
        <f>IF(Table1[[#This Row],[Repayment_Status]]="late","high","low")</f>
        <v>high</v>
      </c>
      <c r="W20" s="1">
        <f>(Table1[[#This Row],[monthly_EMI]]/Table1[[#This Row],[monthly_income]])*100</f>
        <v>30</v>
      </c>
      <c r="X20" s="7">
        <v>19600.189999999999</v>
      </c>
    </row>
    <row r="21" spans="1:24" x14ac:dyDescent="0.25">
      <c r="A21" s="1" t="s">
        <v>34</v>
      </c>
      <c r="B21" s="2" t="s">
        <v>737</v>
      </c>
      <c r="C21" s="5">
        <v>23</v>
      </c>
      <c r="D21" s="1" t="s">
        <v>26</v>
      </c>
      <c r="E21" s="1" t="s">
        <v>33</v>
      </c>
      <c r="F21" s="1" t="s">
        <v>17</v>
      </c>
      <c r="G21" s="1">
        <f>YEAR(Table1[[#This Row],[Application_Date]])</f>
        <v>2024</v>
      </c>
      <c r="H21" s="1" t="str">
        <f>TEXT(Table1[[#This Row],[EMI_payment_date]],"mmmm")</f>
        <v>May</v>
      </c>
      <c r="I21" s="3">
        <v>45401</v>
      </c>
      <c r="J21" s="3">
        <f>EDATE(Table1[[#This Row],[Application_Date]],1)</f>
        <v>45431</v>
      </c>
      <c r="K21" s="9">
        <v>696000</v>
      </c>
      <c r="L21" s="9">
        <f>Table1[[#This Row],[Annual_Income]]/12</f>
        <v>58000</v>
      </c>
      <c r="M21" s="9">
        <v>896000</v>
      </c>
      <c r="N21" s="5">
        <f ca="1">DATEDIF(Table1[[#This Row],[EMI_payment_date]],TODAY(),"m")</f>
        <v>26</v>
      </c>
      <c r="O21" s="9">
        <f ca="1">Table1[[#This Row],[month_paid]]*Table1[[#This Row],[monthly_EMI]]</f>
        <v>452400</v>
      </c>
      <c r="P21" s="1">
        <v>8.9499999999999993</v>
      </c>
      <c r="Q21" s="9">
        <f>Table1[[#This Row],[monthly_income]]*30%</f>
        <v>17400</v>
      </c>
      <c r="R21" s="1">
        <f>ROUNDUP(NPER(P21/100/12,-Q21,Table1[[#This Row],[Loan_Amount]]),0)</f>
        <v>66</v>
      </c>
      <c r="S21" s="1">
        <v>613</v>
      </c>
      <c r="T21" s="1" t="s">
        <v>20</v>
      </c>
      <c r="U21" s="1" t="str">
        <f>IF(Table1[[#This Row],[Repayment_Status]]="late","bad loan","good loan")</f>
        <v>good loan</v>
      </c>
      <c r="V21" s="1" t="str">
        <f>IF(Table1[[#This Row],[Repayment_Status]]="late","high","low")</f>
        <v>low</v>
      </c>
      <c r="W21" s="1">
        <f>(Table1[[#This Row],[monthly_EMI]]/Table1[[#This Row],[monthly_income]])*100</f>
        <v>30</v>
      </c>
      <c r="X21" s="7">
        <v>33131.879999999997</v>
      </c>
    </row>
    <row r="22" spans="1:24" x14ac:dyDescent="0.25">
      <c r="A22" s="1" t="s">
        <v>726</v>
      </c>
      <c r="B22" s="2" t="s">
        <v>836</v>
      </c>
      <c r="C22" s="5">
        <v>34</v>
      </c>
      <c r="D22" s="1" t="s">
        <v>15</v>
      </c>
      <c r="E22" s="1" t="s">
        <v>36</v>
      </c>
      <c r="F22" s="1" t="s">
        <v>19</v>
      </c>
      <c r="G22" s="1">
        <f>YEAR(Table1[[#This Row],[Application_Date]])</f>
        <v>2024</v>
      </c>
      <c r="H22" s="1" t="str">
        <f>TEXT(Table1[[#This Row],[EMI_payment_date]],"mmmm")</f>
        <v>May</v>
      </c>
      <c r="I22" s="3">
        <v>45402</v>
      </c>
      <c r="J22" s="3">
        <f>EDATE(Table1[[#This Row],[Application_Date]],1)</f>
        <v>45432</v>
      </c>
      <c r="K22" s="9">
        <v>8976000</v>
      </c>
      <c r="L22" s="9">
        <f>Table1[[#This Row],[Annual_Income]]/12</f>
        <v>748000</v>
      </c>
      <c r="M22" s="9">
        <v>9176000</v>
      </c>
      <c r="N22" s="5">
        <f ca="1">DATEDIF(Table1[[#This Row],[EMI_payment_date]],TODAY(),"m")</f>
        <v>26</v>
      </c>
      <c r="O22" s="9">
        <f ca="1">Table1[[#This Row],[month_paid]]*Table1[[#This Row],[monthly_EMI]]</f>
        <v>5834400</v>
      </c>
      <c r="P22" s="1">
        <v>8.14</v>
      </c>
      <c r="Q22" s="9">
        <f>Table1[[#This Row],[monthly_income]]*30%</f>
        <v>224400</v>
      </c>
      <c r="R22" s="1">
        <f>ROUNDUP(NPER(P22/100/12,-Q22,Table1[[#This Row],[Loan_Amount]]),0)</f>
        <v>49</v>
      </c>
      <c r="S22" s="1">
        <v>720</v>
      </c>
      <c r="T22" s="1" t="s">
        <v>20</v>
      </c>
      <c r="U22" s="1" t="str">
        <f>IF(Table1[[#This Row],[Repayment_Status]]="late","bad loan","good loan")</f>
        <v>good loan</v>
      </c>
      <c r="V22" s="1" t="str">
        <f>IF(Table1[[#This Row],[Repayment_Status]]="late","high","low")</f>
        <v>low</v>
      </c>
      <c r="W22" s="1">
        <f>(Table1[[#This Row],[monthly_EMI]]/Table1[[#This Row],[monthly_income]])*100</f>
        <v>30</v>
      </c>
      <c r="X22" s="7">
        <v>22545.1</v>
      </c>
    </row>
    <row r="23" spans="1:24" x14ac:dyDescent="0.25">
      <c r="A23" s="1" t="s">
        <v>157</v>
      </c>
      <c r="B23" s="2" t="s">
        <v>779</v>
      </c>
      <c r="C23" s="5">
        <v>50</v>
      </c>
      <c r="D23" s="1" t="s">
        <v>26</v>
      </c>
      <c r="E23" s="1" t="s">
        <v>29</v>
      </c>
      <c r="F23" s="1" t="s">
        <v>51</v>
      </c>
      <c r="G23" s="1">
        <f>YEAR(Table1[[#This Row],[Application_Date]])</f>
        <v>2024</v>
      </c>
      <c r="H23" s="1" t="str">
        <f>TEXT(Table1[[#This Row],[EMI_payment_date]],"mmmm")</f>
        <v>May</v>
      </c>
      <c r="I23" s="3">
        <v>45403</v>
      </c>
      <c r="J23" s="3">
        <f>EDATE(Table1[[#This Row],[Application_Date]],1)</f>
        <v>45433</v>
      </c>
      <c r="K23" s="9">
        <v>2148000</v>
      </c>
      <c r="L23" s="9">
        <f>Table1[[#This Row],[Annual_Income]]/12</f>
        <v>179000</v>
      </c>
      <c r="M23" s="9">
        <v>2348000</v>
      </c>
      <c r="N23" s="5">
        <f ca="1">DATEDIF(Table1[[#This Row],[EMI_payment_date]],TODAY(),"m")</f>
        <v>26</v>
      </c>
      <c r="O23" s="9">
        <f ca="1">Table1[[#This Row],[month_paid]]*Table1[[#This Row],[monthly_EMI]]</f>
        <v>1396200</v>
      </c>
      <c r="P23" s="1">
        <v>8.4700000000000006</v>
      </c>
      <c r="Q23" s="9">
        <f>Table1[[#This Row],[monthly_income]]*30%</f>
        <v>53700</v>
      </c>
      <c r="R23" s="1">
        <f>ROUNDUP(NPER(P23/100/12,-Q23,Table1[[#This Row],[Loan_Amount]]),0)</f>
        <v>53</v>
      </c>
      <c r="S23" s="1">
        <v>828</v>
      </c>
      <c r="T23" s="1" t="s">
        <v>37</v>
      </c>
      <c r="U23" s="1" t="str">
        <f>IF(Table1[[#This Row],[Repayment_Status]]="late","bad loan","good loan")</f>
        <v>bad loan</v>
      </c>
      <c r="V23" s="1" t="str">
        <f>IF(Table1[[#This Row],[Repayment_Status]]="late","high","low")</f>
        <v>high</v>
      </c>
      <c r="W23" s="1">
        <f>(Table1[[#This Row],[monthly_EMI]]/Table1[[#This Row],[monthly_income]])*100</f>
        <v>30</v>
      </c>
      <c r="X23" s="7">
        <v>37518.97</v>
      </c>
    </row>
    <row r="24" spans="1:24" x14ac:dyDescent="0.25">
      <c r="A24" s="1" t="s">
        <v>77</v>
      </c>
      <c r="B24" s="2" t="s">
        <v>774</v>
      </c>
      <c r="C24" s="5">
        <v>48</v>
      </c>
      <c r="D24" s="1" t="s">
        <v>15</v>
      </c>
      <c r="E24" s="1" t="s">
        <v>36</v>
      </c>
      <c r="F24" s="1" t="s">
        <v>19</v>
      </c>
      <c r="G24" s="1">
        <f>YEAR(Table1[[#This Row],[Application_Date]])</f>
        <v>2024</v>
      </c>
      <c r="H24" s="1" t="str">
        <f>TEXT(Table1[[#This Row],[EMI_payment_date]],"mmmm")</f>
        <v>May</v>
      </c>
      <c r="I24" s="3">
        <v>45404</v>
      </c>
      <c r="J24" s="3">
        <f>EDATE(Table1[[#This Row],[Application_Date]],1)</f>
        <v>45434</v>
      </c>
      <c r="K24" s="9">
        <v>1176000</v>
      </c>
      <c r="L24" s="9">
        <f>Table1[[#This Row],[Annual_Income]]/12</f>
        <v>98000</v>
      </c>
      <c r="M24" s="9">
        <v>1376000</v>
      </c>
      <c r="N24" s="5">
        <f ca="1">DATEDIF(Table1[[#This Row],[EMI_payment_date]],TODAY(),"m")</f>
        <v>26</v>
      </c>
      <c r="O24" s="9">
        <f ca="1">Table1[[#This Row],[month_paid]]*Table1[[#This Row],[monthly_EMI]]</f>
        <v>764400</v>
      </c>
      <c r="P24" s="1">
        <v>7.82</v>
      </c>
      <c r="Q24" s="9">
        <f>Table1[[#This Row],[monthly_income]]*30%</f>
        <v>29400</v>
      </c>
      <c r="R24" s="1">
        <f>ROUNDUP(NPER(P24/100/12,-Q24,Table1[[#This Row],[Loan_Amount]]),0)</f>
        <v>57</v>
      </c>
      <c r="S24" s="1">
        <v>779</v>
      </c>
      <c r="T24" s="1" t="s">
        <v>20</v>
      </c>
      <c r="U24" s="1" t="str">
        <f>IF(Table1[[#This Row],[Repayment_Status]]="late","bad loan","good loan")</f>
        <v>good loan</v>
      </c>
      <c r="V24" s="1" t="str">
        <f>IF(Table1[[#This Row],[Repayment_Status]]="late","high","low")</f>
        <v>low</v>
      </c>
      <c r="W24" s="1">
        <f>(Table1[[#This Row],[monthly_EMI]]/Table1[[#This Row],[monthly_income]])*100</f>
        <v>30</v>
      </c>
      <c r="X24" s="7">
        <v>22948.23</v>
      </c>
    </row>
    <row r="25" spans="1:24" x14ac:dyDescent="0.25">
      <c r="A25" s="1" t="s">
        <v>123</v>
      </c>
      <c r="B25" s="2" t="s">
        <v>807</v>
      </c>
      <c r="C25" s="5">
        <v>55</v>
      </c>
      <c r="D25" s="1" t="s">
        <v>15</v>
      </c>
      <c r="E25" s="1" t="s">
        <v>36</v>
      </c>
      <c r="F25" s="1" t="s">
        <v>22</v>
      </c>
      <c r="G25" s="1">
        <f>YEAR(Table1[[#This Row],[Application_Date]])</f>
        <v>2024</v>
      </c>
      <c r="H25" s="1" t="str">
        <f>TEXT(Table1[[#This Row],[EMI_payment_date]],"mmmm")</f>
        <v>May</v>
      </c>
      <c r="I25" s="3">
        <v>45405</v>
      </c>
      <c r="J25" s="3">
        <f>EDATE(Table1[[#This Row],[Application_Date]],1)</f>
        <v>45435</v>
      </c>
      <c r="K25" s="9">
        <v>1740000</v>
      </c>
      <c r="L25" s="9">
        <f>Table1[[#This Row],[Annual_Income]]/12</f>
        <v>145000</v>
      </c>
      <c r="M25" s="9">
        <v>1940000</v>
      </c>
      <c r="N25" s="5">
        <f ca="1">DATEDIF(Table1[[#This Row],[EMI_payment_date]],TODAY(),"m")</f>
        <v>26</v>
      </c>
      <c r="O25" s="9">
        <f ca="1">Table1[[#This Row],[month_paid]]*Table1[[#This Row],[monthly_EMI]]</f>
        <v>1131000</v>
      </c>
      <c r="P25" s="1">
        <v>6.78</v>
      </c>
      <c r="Q25" s="9">
        <f>Table1[[#This Row],[monthly_income]]*30%</f>
        <v>43500</v>
      </c>
      <c r="R25" s="1">
        <f>ROUNDUP(NPER(P25/100/12,-Q25,Table1[[#This Row],[Loan_Amount]]),0)</f>
        <v>52</v>
      </c>
      <c r="S25" s="1">
        <v>754</v>
      </c>
      <c r="T25" s="1" t="s">
        <v>37</v>
      </c>
      <c r="U25" s="1" t="str">
        <f>IF(Table1[[#This Row],[Repayment_Status]]="late","bad loan","good loan")</f>
        <v>bad loan</v>
      </c>
      <c r="V25" s="1" t="str">
        <f>IF(Table1[[#This Row],[Repayment_Status]]="late","high","low")</f>
        <v>high</v>
      </c>
      <c r="W25" s="1">
        <f>(Table1[[#This Row],[monthly_EMI]]/Table1[[#This Row],[monthly_income]])*100</f>
        <v>30</v>
      </c>
      <c r="X25" s="7">
        <v>19480.46</v>
      </c>
    </row>
    <row r="26" spans="1:24" x14ac:dyDescent="0.25">
      <c r="A26" s="1" t="s">
        <v>188</v>
      </c>
      <c r="B26" s="2" t="s">
        <v>790</v>
      </c>
      <c r="C26" s="5">
        <v>23</v>
      </c>
      <c r="D26" s="1" t="s">
        <v>26</v>
      </c>
      <c r="E26" s="1" t="s">
        <v>16</v>
      </c>
      <c r="F26" s="1" t="s">
        <v>31</v>
      </c>
      <c r="G26" s="1">
        <f>YEAR(Table1[[#This Row],[Application_Date]])</f>
        <v>2024</v>
      </c>
      <c r="H26" s="1" t="str">
        <f>TEXT(Table1[[#This Row],[EMI_payment_date]],"mmmm")</f>
        <v>May</v>
      </c>
      <c r="I26" s="3">
        <v>45406</v>
      </c>
      <c r="J26" s="3">
        <f>EDATE(Table1[[#This Row],[Application_Date]],1)</f>
        <v>45436</v>
      </c>
      <c r="K26" s="9">
        <v>2520000</v>
      </c>
      <c r="L26" s="9">
        <f>Table1[[#This Row],[Annual_Income]]/12</f>
        <v>210000</v>
      </c>
      <c r="M26" s="9">
        <v>2720000</v>
      </c>
      <c r="N26" s="5">
        <f ca="1">DATEDIF(Table1[[#This Row],[EMI_payment_date]],TODAY(),"m")</f>
        <v>26</v>
      </c>
      <c r="O26" s="9">
        <f ca="1">Table1[[#This Row],[month_paid]]*Table1[[#This Row],[monthly_EMI]]</f>
        <v>1638000</v>
      </c>
      <c r="P26" s="1">
        <v>5.04</v>
      </c>
      <c r="Q26" s="9">
        <f>Table1[[#This Row],[monthly_income]]*30%</f>
        <v>63000</v>
      </c>
      <c r="R26" s="1">
        <f>ROUNDUP(NPER(P26/100/12,-Q26,Table1[[#This Row],[Loan_Amount]]),0)</f>
        <v>48</v>
      </c>
      <c r="S26" s="1">
        <v>641</v>
      </c>
      <c r="T26" s="1" t="s">
        <v>20</v>
      </c>
      <c r="U26" s="1" t="str">
        <f>IF(Table1[[#This Row],[Repayment_Status]]="late","bad loan","good loan")</f>
        <v>good loan</v>
      </c>
      <c r="V26" s="1" t="str">
        <f>IF(Table1[[#This Row],[Repayment_Status]]="late","high","low")</f>
        <v>low</v>
      </c>
      <c r="W26" s="1">
        <f>(Table1[[#This Row],[monthly_EMI]]/Table1[[#This Row],[monthly_income]])*100</f>
        <v>30</v>
      </c>
      <c r="X26" s="7">
        <v>7653.2</v>
      </c>
    </row>
    <row r="27" spans="1:24" x14ac:dyDescent="0.25">
      <c r="A27" s="1" t="s">
        <v>551</v>
      </c>
      <c r="B27" s="2" t="s">
        <v>848</v>
      </c>
      <c r="C27" s="5">
        <v>44</v>
      </c>
      <c r="D27" s="1" t="s">
        <v>26</v>
      </c>
      <c r="E27" s="1" t="s">
        <v>33</v>
      </c>
      <c r="F27" s="1" t="s">
        <v>19</v>
      </c>
      <c r="G27" s="1">
        <f>YEAR(Table1[[#This Row],[Application_Date]])</f>
        <v>2024</v>
      </c>
      <c r="H27" s="1" t="str">
        <f>TEXT(Table1[[#This Row],[EMI_payment_date]],"mmmm")</f>
        <v>May</v>
      </c>
      <c r="I27" s="3">
        <v>45407</v>
      </c>
      <c r="J27" s="3">
        <f>EDATE(Table1[[#This Row],[Application_Date]],1)</f>
        <v>45437</v>
      </c>
      <c r="K27" s="9">
        <v>6876000</v>
      </c>
      <c r="L27" s="9">
        <f>Table1[[#This Row],[Annual_Income]]/12</f>
        <v>573000</v>
      </c>
      <c r="M27" s="9">
        <v>7076000</v>
      </c>
      <c r="N27" s="5">
        <f ca="1">DATEDIF(Table1[[#This Row],[EMI_payment_date]],TODAY(),"m")</f>
        <v>26</v>
      </c>
      <c r="O27" s="9">
        <f ca="1">Table1[[#This Row],[month_paid]]*Table1[[#This Row],[monthly_EMI]]</f>
        <v>4469400</v>
      </c>
      <c r="P27" s="1">
        <v>8.32</v>
      </c>
      <c r="Q27" s="9">
        <f>Table1[[#This Row],[monthly_income]]*30%</f>
        <v>171900</v>
      </c>
      <c r="R27" s="1">
        <f>ROUNDUP(NPER(P27/100/12,-Q27,Table1[[#This Row],[Loan_Amount]]),0)</f>
        <v>49</v>
      </c>
      <c r="S27" s="1">
        <v>715</v>
      </c>
      <c r="T27" s="1" t="s">
        <v>37</v>
      </c>
      <c r="U27" s="1" t="str">
        <f>IF(Table1[[#This Row],[Repayment_Status]]="late","bad loan","good loan")</f>
        <v>bad loan</v>
      </c>
      <c r="V27" s="1" t="str">
        <f>IF(Table1[[#This Row],[Repayment_Status]]="late","high","low")</f>
        <v>high</v>
      </c>
      <c r="W27" s="1">
        <f>(Table1[[#This Row],[monthly_EMI]]/Table1[[#This Row],[monthly_income]])*100</f>
        <v>30</v>
      </c>
      <c r="X27" s="7">
        <v>20569.150000000001</v>
      </c>
    </row>
    <row r="28" spans="1:24" x14ac:dyDescent="0.25">
      <c r="A28" s="1" t="s">
        <v>197</v>
      </c>
      <c r="B28" s="2" t="s">
        <v>843</v>
      </c>
      <c r="C28" s="5">
        <v>45</v>
      </c>
      <c r="D28" s="1" t="s">
        <v>26</v>
      </c>
      <c r="E28" s="1" t="s">
        <v>33</v>
      </c>
      <c r="F28" s="1" t="s">
        <v>17</v>
      </c>
      <c r="G28" s="1">
        <f>YEAR(Table1[[#This Row],[Application_Date]])</f>
        <v>2024</v>
      </c>
      <c r="H28" s="1" t="str">
        <f>TEXT(Table1[[#This Row],[EMI_payment_date]],"mmmm")</f>
        <v>May</v>
      </c>
      <c r="I28" s="3">
        <v>45408</v>
      </c>
      <c r="J28" s="3">
        <f>EDATE(Table1[[#This Row],[Application_Date]],1)</f>
        <v>45438</v>
      </c>
      <c r="K28" s="9">
        <v>2628000</v>
      </c>
      <c r="L28" s="9">
        <f>Table1[[#This Row],[Annual_Income]]/12</f>
        <v>219000</v>
      </c>
      <c r="M28" s="9">
        <v>2828000</v>
      </c>
      <c r="N28" s="5">
        <f ca="1">DATEDIF(Table1[[#This Row],[EMI_payment_date]],TODAY(),"m")</f>
        <v>26</v>
      </c>
      <c r="O28" s="9">
        <f ca="1">Table1[[#This Row],[month_paid]]*Table1[[#This Row],[monthly_EMI]]</f>
        <v>1708200</v>
      </c>
      <c r="P28" s="1">
        <v>9.77</v>
      </c>
      <c r="Q28" s="9">
        <f>Table1[[#This Row],[monthly_income]]*30%</f>
        <v>65700</v>
      </c>
      <c r="R28" s="1">
        <f>ROUNDUP(NPER(P28/100/12,-Q28,Table1[[#This Row],[Loan_Amount]]),0)</f>
        <v>54</v>
      </c>
      <c r="S28" s="1">
        <v>826</v>
      </c>
      <c r="T28" s="1" t="s">
        <v>20</v>
      </c>
      <c r="U28" s="1" t="str">
        <f>IF(Table1[[#This Row],[Repayment_Status]]="late","bad loan","good loan")</f>
        <v>good loan</v>
      </c>
      <c r="V28" s="1" t="str">
        <f>IF(Table1[[#This Row],[Repayment_Status]]="late","high","low")</f>
        <v>low</v>
      </c>
      <c r="W28" s="1">
        <f>(Table1[[#This Row],[monthly_EMI]]/Table1[[#This Row],[monthly_income]])*100</f>
        <v>30</v>
      </c>
      <c r="X28" s="7">
        <v>26197.41</v>
      </c>
    </row>
    <row r="29" spans="1:24" x14ac:dyDescent="0.25">
      <c r="A29" s="1" t="s">
        <v>509</v>
      </c>
      <c r="B29" s="2" t="s">
        <v>807</v>
      </c>
      <c r="C29" s="5">
        <v>45</v>
      </c>
      <c r="D29" s="1" t="s">
        <v>26</v>
      </c>
      <c r="E29" s="1" t="s">
        <v>36</v>
      </c>
      <c r="F29" s="1" t="s">
        <v>19</v>
      </c>
      <c r="G29" s="1">
        <f>YEAR(Table1[[#This Row],[Application_Date]])</f>
        <v>2024</v>
      </c>
      <c r="H29" s="1" t="str">
        <f>TEXT(Table1[[#This Row],[EMI_payment_date]],"mmmm")</f>
        <v>May</v>
      </c>
      <c r="I29" s="3">
        <v>45409</v>
      </c>
      <c r="J29" s="3">
        <f>EDATE(Table1[[#This Row],[Application_Date]],1)</f>
        <v>45439</v>
      </c>
      <c r="K29" s="9">
        <v>6372000</v>
      </c>
      <c r="L29" s="9">
        <f>Table1[[#This Row],[Annual_Income]]/12</f>
        <v>531000</v>
      </c>
      <c r="M29" s="9">
        <v>6572000</v>
      </c>
      <c r="N29" s="5">
        <f ca="1">DATEDIF(Table1[[#This Row],[EMI_payment_date]],TODAY(),"m")</f>
        <v>26</v>
      </c>
      <c r="O29" s="9">
        <f ca="1">Table1[[#This Row],[month_paid]]*Table1[[#This Row],[monthly_EMI]]</f>
        <v>4141800</v>
      </c>
      <c r="P29" s="1">
        <v>8.57</v>
      </c>
      <c r="Q29" s="9">
        <f>Table1[[#This Row],[monthly_income]]*30%</f>
        <v>159300</v>
      </c>
      <c r="R29" s="1">
        <f>ROUNDUP(NPER(P29/100/12,-Q29,Table1[[#This Row],[Loan_Amount]]),0)</f>
        <v>50</v>
      </c>
      <c r="S29" s="1">
        <v>850</v>
      </c>
      <c r="T29" s="1" t="s">
        <v>20</v>
      </c>
      <c r="U29" s="1" t="str">
        <f>IF(Table1[[#This Row],[Repayment_Status]]="late","bad loan","good loan")</f>
        <v>good loan</v>
      </c>
      <c r="V29" s="1" t="str">
        <f>IF(Table1[[#This Row],[Repayment_Status]]="late","high","low")</f>
        <v>low</v>
      </c>
      <c r="W29" s="1">
        <f>(Table1[[#This Row],[monthly_EMI]]/Table1[[#This Row],[monthly_income]])*100</f>
        <v>30</v>
      </c>
      <c r="X29" s="7">
        <v>27227.58</v>
      </c>
    </row>
    <row r="30" spans="1:24" x14ac:dyDescent="0.25">
      <c r="A30" s="1" t="s">
        <v>63</v>
      </c>
      <c r="B30" s="2" t="s">
        <v>762</v>
      </c>
      <c r="C30" s="5">
        <v>31</v>
      </c>
      <c r="D30" s="1" t="s">
        <v>26</v>
      </c>
      <c r="E30" s="1" t="s">
        <v>29</v>
      </c>
      <c r="F30" s="1" t="s">
        <v>31</v>
      </c>
      <c r="G30" s="1">
        <f>YEAR(Table1[[#This Row],[Application_Date]])</f>
        <v>2024</v>
      </c>
      <c r="H30" s="1" t="str">
        <f>TEXT(Table1[[#This Row],[EMI_payment_date]],"mmmm")</f>
        <v>May</v>
      </c>
      <c r="I30" s="3">
        <v>45410</v>
      </c>
      <c r="J30" s="3">
        <f>EDATE(Table1[[#This Row],[Application_Date]],1)</f>
        <v>45440</v>
      </c>
      <c r="K30" s="9">
        <v>1008000</v>
      </c>
      <c r="L30" s="9">
        <f>Table1[[#This Row],[Annual_Income]]/12</f>
        <v>84000</v>
      </c>
      <c r="M30" s="9">
        <v>1208000</v>
      </c>
      <c r="N30" s="5">
        <f ca="1">DATEDIF(Table1[[#This Row],[EMI_payment_date]],TODAY(),"m")</f>
        <v>26</v>
      </c>
      <c r="O30" s="9">
        <f ca="1">Table1[[#This Row],[month_paid]]*Table1[[#This Row],[monthly_EMI]]</f>
        <v>655200</v>
      </c>
      <c r="P30" s="1">
        <v>8.4499999999999993</v>
      </c>
      <c r="Q30" s="9">
        <f>Table1[[#This Row],[monthly_income]]*30%</f>
        <v>25200</v>
      </c>
      <c r="R30" s="1">
        <f>ROUNDUP(NPER(P30/100/12,-Q30,Table1[[#This Row],[Loan_Amount]]),0)</f>
        <v>59</v>
      </c>
      <c r="S30" s="1">
        <v>798</v>
      </c>
      <c r="T30" s="1" t="s">
        <v>20</v>
      </c>
      <c r="U30" s="1" t="str">
        <f>IF(Table1[[#This Row],[Repayment_Status]]="late","bad loan","good loan")</f>
        <v>good loan</v>
      </c>
      <c r="V30" s="1" t="str">
        <f>IF(Table1[[#This Row],[Repayment_Status]]="late","high","low")</f>
        <v>low</v>
      </c>
      <c r="W30" s="1">
        <f>(Table1[[#This Row],[monthly_EMI]]/Table1[[#This Row],[monthly_income]])*100</f>
        <v>30</v>
      </c>
      <c r="X30" s="7">
        <v>30559.58</v>
      </c>
    </row>
    <row r="31" spans="1:24" x14ac:dyDescent="0.25">
      <c r="A31" s="1" t="s">
        <v>154</v>
      </c>
      <c r="B31" s="2" t="s">
        <v>825</v>
      </c>
      <c r="C31" s="5">
        <v>27</v>
      </c>
      <c r="D31" s="1" t="s">
        <v>15</v>
      </c>
      <c r="E31" s="1" t="s">
        <v>33</v>
      </c>
      <c r="F31" s="1" t="s">
        <v>22</v>
      </c>
      <c r="G31" s="1">
        <f>YEAR(Table1[[#This Row],[Application_Date]])</f>
        <v>2024</v>
      </c>
      <c r="H31" s="1" t="str">
        <f>TEXT(Table1[[#This Row],[EMI_payment_date]],"mmmm")</f>
        <v>May</v>
      </c>
      <c r="I31" s="3">
        <v>45411</v>
      </c>
      <c r="J31" s="3">
        <f>EDATE(Table1[[#This Row],[Application_Date]],1)</f>
        <v>45441</v>
      </c>
      <c r="K31" s="9">
        <v>2112000</v>
      </c>
      <c r="L31" s="9">
        <f>Table1[[#This Row],[Annual_Income]]/12</f>
        <v>176000</v>
      </c>
      <c r="M31" s="9">
        <v>2312000</v>
      </c>
      <c r="N31" s="5">
        <f ca="1">DATEDIF(Table1[[#This Row],[EMI_payment_date]],TODAY(),"m")</f>
        <v>26</v>
      </c>
      <c r="O31" s="9">
        <f ca="1">Table1[[#This Row],[month_paid]]*Table1[[#This Row],[monthly_EMI]]</f>
        <v>1372800</v>
      </c>
      <c r="P31" s="1">
        <v>8.56</v>
      </c>
      <c r="Q31" s="9">
        <f>Table1[[#This Row],[monthly_income]]*30%</f>
        <v>52800</v>
      </c>
      <c r="R31" s="1">
        <f>ROUNDUP(NPER(P31/100/12,-Q31,Table1[[#This Row],[Loan_Amount]]),0)</f>
        <v>53</v>
      </c>
      <c r="S31" s="1">
        <v>698</v>
      </c>
      <c r="T31" s="1" t="s">
        <v>20</v>
      </c>
      <c r="U31" s="1" t="str">
        <f>IF(Table1[[#This Row],[Repayment_Status]]="late","bad loan","good loan")</f>
        <v>good loan</v>
      </c>
      <c r="V31" s="1" t="str">
        <f>IF(Table1[[#This Row],[Repayment_Status]]="late","high","low")</f>
        <v>low</v>
      </c>
      <c r="W31" s="1">
        <f>(Table1[[#This Row],[monthly_EMI]]/Table1[[#This Row],[monthly_income]])*100</f>
        <v>30</v>
      </c>
      <c r="X31" s="7">
        <v>18264.97</v>
      </c>
    </row>
    <row r="32" spans="1:24" x14ac:dyDescent="0.25">
      <c r="A32" s="1" t="s">
        <v>411</v>
      </c>
      <c r="B32" s="2" t="s">
        <v>899</v>
      </c>
      <c r="C32" s="5">
        <v>59</v>
      </c>
      <c r="D32" s="1" t="s">
        <v>15</v>
      </c>
      <c r="E32" s="1" t="s">
        <v>33</v>
      </c>
      <c r="F32" s="1" t="s">
        <v>22</v>
      </c>
      <c r="G32" s="1">
        <f>YEAR(Table1[[#This Row],[Application_Date]])</f>
        <v>2024</v>
      </c>
      <c r="H32" s="1" t="str">
        <f>TEXT(Table1[[#This Row],[EMI_payment_date]],"mmmm")</f>
        <v>May</v>
      </c>
      <c r="I32" s="3">
        <v>45412</v>
      </c>
      <c r="J32" s="3">
        <f>EDATE(Table1[[#This Row],[Application_Date]],1)</f>
        <v>45442</v>
      </c>
      <c r="K32" s="9">
        <v>5196000</v>
      </c>
      <c r="L32" s="9">
        <f>Table1[[#This Row],[Annual_Income]]/12</f>
        <v>433000</v>
      </c>
      <c r="M32" s="9">
        <v>5396000</v>
      </c>
      <c r="N32" s="5">
        <f ca="1">DATEDIF(Table1[[#This Row],[EMI_payment_date]],TODAY(),"m")</f>
        <v>26</v>
      </c>
      <c r="O32" s="9">
        <f ca="1">Table1[[#This Row],[month_paid]]*Table1[[#This Row],[monthly_EMI]]</f>
        <v>3377400</v>
      </c>
      <c r="P32" s="1">
        <v>8.5299999999999994</v>
      </c>
      <c r="Q32" s="9">
        <f>Table1[[#This Row],[monthly_income]]*30%</f>
        <v>129900</v>
      </c>
      <c r="R32" s="1">
        <f>ROUNDUP(NPER(P32/100/12,-Q32,Table1[[#This Row],[Loan_Amount]]),0)</f>
        <v>50</v>
      </c>
      <c r="S32" s="1">
        <v>811</v>
      </c>
      <c r="T32" s="1" t="s">
        <v>20</v>
      </c>
      <c r="U32" s="1" t="str">
        <f>IF(Table1[[#This Row],[Repayment_Status]]="late","bad loan","good loan")</f>
        <v>good loan</v>
      </c>
      <c r="V32" s="1" t="str">
        <f>IF(Table1[[#This Row],[Repayment_Status]]="late","high","low")</f>
        <v>low</v>
      </c>
      <c r="W32" s="1">
        <f>(Table1[[#This Row],[monthly_EMI]]/Table1[[#This Row],[monthly_income]])*100</f>
        <v>30</v>
      </c>
      <c r="X32" s="7">
        <v>35830.9</v>
      </c>
    </row>
    <row r="33" spans="1:24" x14ac:dyDescent="0.25">
      <c r="A33" s="1" t="s">
        <v>412</v>
      </c>
      <c r="B33" s="2" t="s">
        <v>853</v>
      </c>
      <c r="C33" s="5">
        <v>28</v>
      </c>
      <c r="D33" s="1" t="s">
        <v>26</v>
      </c>
      <c r="E33" s="1" t="s">
        <v>16</v>
      </c>
      <c r="F33" s="1" t="s">
        <v>19</v>
      </c>
      <c r="G33" s="1">
        <f>YEAR(Table1[[#This Row],[Application_Date]])</f>
        <v>2024</v>
      </c>
      <c r="H33" s="1" t="str">
        <f>TEXT(Table1[[#This Row],[EMI_payment_date]],"mmmm")</f>
        <v>June</v>
      </c>
      <c r="I33" s="3">
        <v>45413</v>
      </c>
      <c r="J33" s="3">
        <f>EDATE(Table1[[#This Row],[Application_Date]],1)</f>
        <v>45444</v>
      </c>
      <c r="K33" s="9">
        <v>5208000</v>
      </c>
      <c r="L33" s="9">
        <f>Table1[[#This Row],[Annual_Income]]/12</f>
        <v>434000</v>
      </c>
      <c r="M33" s="9">
        <v>5408000</v>
      </c>
      <c r="N33" s="5">
        <f ca="1">DATEDIF(Table1[[#This Row],[EMI_payment_date]],TODAY(),"m")</f>
        <v>25</v>
      </c>
      <c r="O33" s="9">
        <f ca="1">Table1[[#This Row],[month_paid]]*Table1[[#This Row],[monthly_EMI]]</f>
        <v>3255000</v>
      </c>
      <c r="P33" s="1">
        <v>8.48</v>
      </c>
      <c r="Q33" s="9">
        <f>Table1[[#This Row],[monthly_income]]*30%</f>
        <v>130200</v>
      </c>
      <c r="R33" s="1">
        <f>ROUNDUP(NPER(P33/100/12,-Q33,Table1[[#This Row],[Loan_Amount]]),0)</f>
        <v>50</v>
      </c>
      <c r="S33" s="1">
        <v>766</v>
      </c>
      <c r="T33" s="1" t="s">
        <v>37</v>
      </c>
      <c r="U33" s="1" t="str">
        <f>IF(Table1[[#This Row],[Repayment_Status]]="late","bad loan","good loan")</f>
        <v>bad loan</v>
      </c>
      <c r="V33" s="1" t="str">
        <f>IF(Table1[[#This Row],[Repayment_Status]]="late","high","low")</f>
        <v>high</v>
      </c>
      <c r="W33" s="1">
        <f>(Table1[[#This Row],[monthly_EMI]]/Table1[[#This Row],[monthly_income]])*100</f>
        <v>30</v>
      </c>
      <c r="X33" s="7">
        <v>31352.37</v>
      </c>
    </row>
    <row r="34" spans="1:24" x14ac:dyDescent="0.25">
      <c r="A34" s="1" t="s">
        <v>300</v>
      </c>
      <c r="B34" s="2" t="s">
        <v>869</v>
      </c>
      <c r="C34" s="5">
        <v>36</v>
      </c>
      <c r="D34" s="1" t="s">
        <v>15</v>
      </c>
      <c r="E34" s="1" t="s">
        <v>36</v>
      </c>
      <c r="F34" s="1" t="s">
        <v>17</v>
      </c>
      <c r="G34" s="1">
        <f>YEAR(Table1[[#This Row],[Application_Date]])</f>
        <v>2024</v>
      </c>
      <c r="H34" s="1" t="str">
        <f>TEXT(Table1[[#This Row],[EMI_payment_date]],"mmmm")</f>
        <v>June</v>
      </c>
      <c r="I34" s="3">
        <v>45414</v>
      </c>
      <c r="J34" s="3">
        <f>EDATE(Table1[[#This Row],[Application_Date]],1)</f>
        <v>45445</v>
      </c>
      <c r="K34" s="9">
        <v>3864000</v>
      </c>
      <c r="L34" s="9">
        <f>Table1[[#This Row],[Annual_Income]]/12</f>
        <v>322000</v>
      </c>
      <c r="M34" s="9">
        <v>4064000</v>
      </c>
      <c r="N34" s="5">
        <f ca="1">DATEDIF(Table1[[#This Row],[EMI_payment_date]],TODAY(),"m")</f>
        <v>25</v>
      </c>
      <c r="O34" s="9">
        <f ca="1">Table1[[#This Row],[month_paid]]*Table1[[#This Row],[monthly_EMI]]</f>
        <v>2415000</v>
      </c>
      <c r="P34" s="1">
        <v>6.16</v>
      </c>
      <c r="Q34" s="9">
        <f>Table1[[#This Row],[monthly_income]]*30%</f>
        <v>96600</v>
      </c>
      <c r="R34" s="1">
        <f>ROUNDUP(NPER(P34/100/12,-Q34,Table1[[#This Row],[Loan_Amount]]),0)</f>
        <v>48</v>
      </c>
      <c r="S34" s="1">
        <v>629</v>
      </c>
      <c r="T34" s="1" t="s">
        <v>37</v>
      </c>
      <c r="U34" s="1" t="str">
        <f>IF(Table1[[#This Row],[Repayment_Status]]="late","bad loan","good loan")</f>
        <v>bad loan</v>
      </c>
      <c r="V34" s="1" t="str">
        <f>IF(Table1[[#This Row],[Repayment_Status]]="late","high","low")</f>
        <v>high</v>
      </c>
      <c r="W34" s="1">
        <f>(Table1[[#This Row],[monthly_EMI]]/Table1[[#This Row],[monthly_income]])*100</f>
        <v>30</v>
      </c>
      <c r="X34" s="7">
        <v>20566.84</v>
      </c>
    </row>
    <row r="35" spans="1:24" x14ac:dyDescent="0.25">
      <c r="A35" s="1" t="s">
        <v>302</v>
      </c>
      <c r="B35" s="2" t="s">
        <v>816</v>
      </c>
      <c r="C35" s="5">
        <v>27</v>
      </c>
      <c r="D35" s="1" t="s">
        <v>26</v>
      </c>
      <c r="E35" s="1" t="s">
        <v>16</v>
      </c>
      <c r="F35" s="1" t="s">
        <v>17</v>
      </c>
      <c r="G35" s="1">
        <f>YEAR(Table1[[#This Row],[Application_Date]])</f>
        <v>2024</v>
      </c>
      <c r="H35" s="1" t="str">
        <f>TEXT(Table1[[#This Row],[EMI_payment_date]],"mmmm")</f>
        <v>June</v>
      </c>
      <c r="I35" s="3">
        <v>45415</v>
      </c>
      <c r="J35" s="3">
        <f>EDATE(Table1[[#This Row],[Application_Date]],1)</f>
        <v>45446</v>
      </c>
      <c r="K35" s="9">
        <v>3888000</v>
      </c>
      <c r="L35" s="9">
        <f>Table1[[#This Row],[Annual_Income]]/12</f>
        <v>324000</v>
      </c>
      <c r="M35" s="9">
        <v>4088000</v>
      </c>
      <c r="N35" s="5">
        <f ca="1">DATEDIF(Table1[[#This Row],[EMI_payment_date]],TODAY(),"m")</f>
        <v>25</v>
      </c>
      <c r="O35" s="9">
        <f ca="1">Table1[[#This Row],[month_paid]]*Table1[[#This Row],[monthly_EMI]]</f>
        <v>2430000</v>
      </c>
      <c r="P35" s="1">
        <v>8.49</v>
      </c>
      <c r="Q35" s="9">
        <f>Table1[[#This Row],[monthly_income]]*30%</f>
        <v>97200</v>
      </c>
      <c r="R35" s="1">
        <f>ROUNDUP(NPER(P35/100/12,-Q35,Table1[[#This Row],[Loan_Amount]]),0)</f>
        <v>51</v>
      </c>
      <c r="S35" s="1">
        <v>743</v>
      </c>
      <c r="T35" s="1" t="s">
        <v>37</v>
      </c>
      <c r="U35" s="1" t="str">
        <f>IF(Table1[[#This Row],[Repayment_Status]]="late","bad loan","good loan")</f>
        <v>bad loan</v>
      </c>
      <c r="V35" s="1" t="str">
        <f>IF(Table1[[#This Row],[Repayment_Status]]="late","high","low")</f>
        <v>high</v>
      </c>
      <c r="W35" s="1">
        <f>(Table1[[#This Row],[monthly_EMI]]/Table1[[#This Row],[monthly_income]])*100</f>
        <v>30</v>
      </c>
      <c r="X35" s="7">
        <v>26258.99</v>
      </c>
    </row>
    <row r="36" spans="1:24" x14ac:dyDescent="0.25">
      <c r="A36" s="1" t="s">
        <v>306</v>
      </c>
      <c r="B36" s="2" t="s">
        <v>747</v>
      </c>
      <c r="C36" s="5">
        <v>52</v>
      </c>
      <c r="D36" s="1" t="s">
        <v>15</v>
      </c>
      <c r="E36" s="1" t="s">
        <v>33</v>
      </c>
      <c r="F36" s="1" t="s">
        <v>22</v>
      </c>
      <c r="G36" s="1">
        <f>YEAR(Table1[[#This Row],[Application_Date]])</f>
        <v>2024</v>
      </c>
      <c r="H36" s="1" t="str">
        <f>TEXT(Table1[[#This Row],[EMI_payment_date]],"mmmm")</f>
        <v>June</v>
      </c>
      <c r="I36" s="3">
        <v>45416</v>
      </c>
      <c r="J36" s="3">
        <f>EDATE(Table1[[#This Row],[Application_Date]],1)</f>
        <v>45447</v>
      </c>
      <c r="K36" s="9">
        <v>3936000</v>
      </c>
      <c r="L36" s="9">
        <f>Table1[[#This Row],[Annual_Income]]/12</f>
        <v>328000</v>
      </c>
      <c r="M36" s="9">
        <v>4136000</v>
      </c>
      <c r="N36" s="5">
        <f ca="1">DATEDIF(Table1[[#This Row],[EMI_payment_date]],TODAY(),"m")</f>
        <v>25</v>
      </c>
      <c r="O36" s="9">
        <f ca="1">Table1[[#This Row],[month_paid]]*Table1[[#This Row],[monthly_EMI]]</f>
        <v>2460000</v>
      </c>
      <c r="P36" s="1">
        <v>8.1</v>
      </c>
      <c r="Q36" s="9">
        <f>Table1[[#This Row],[monthly_income]]*30%</f>
        <v>98400</v>
      </c>
      <c r="R36" s="1">
        <f>ROUNDUP(NPER(P36/100/12,-Q36,Table1[[#This Row],[Loan_Amount]]),0)</f>
        <v>50</v>
      </c>
      <c r="S36" s="1">
        <v>704</v>
      </c>
      <c r="T36" s="1" t="s">
        <v>20</v>
      </c>
      <c r="U36" s="1" t="str">
        <f>IF(Table1[[#This Row],[Repayment_Status]]="late","bad loan","good loan")</f>
        <v>good loan</v>
      </c>
      <c r="V36" s="1" t="str">
        <f>IF(Table1[[#This Row],[Repayment_Status]]="late","high","low")</f>
        <v>low</v>
      </c>
      <c r="W36" s="1">
        <f>(Table1[[#This Row],[monthly_EMI]]/Table1[[#This Row],[monthly_income]])*100</f>
        <v>30</v>
      </c>
      <c r="X36" s="7">
        <v>20749.22</v>
      </c>
    </row>
    <row r="37" spans="1:24" x14ac:dyDescent="0.25">
      <c r="A37" s="1" t="s">
        <v>402</v>
      </c>
      <c r="B37" s="2" t="s">
        <v>741</v>
      </c>
      <c r="C37" s="5">
        <v>27</v>
      </c>
      <c r="D37" s="1" t="s">
        <v>26</v>
      </c>
      <c r="E37" s="1" t="s">
        <v>27</v>
      </c>
      <c r="F37" s="1" t="s">
        <v>31</v>
      </c>
      <c r="G37" s="1">
        <f>YEAR(Table1[[#This Row],[Application_Date]])</f>
        <v>2024</v>
      </c>
      <c r="H37" s="1" t="str">
        <f>TEXT(Table1[[#This Row],[EMI_payment_date]],"mmmm")</f>
        <v>June</v>
      </c>
      <c r="I37" s="3">
        <v>45417</v>
      </c>
      <c r="J37" s="3">
        <f>EDATE(Table1[[#This Row],[Application_Date]],1)</f>
        <v>45448</v>
      </c>
      <c r="K37" s="9">
        <v>5088000</v>
      </c>
      <c r="L37" s="9">
        <f>Table1[[#This Row],[Annual_Income]]/12</f>
        <v>424000</v>
      </c>
      <c r="M37" s="9">
        <v>5288000</v>
      </c>
      <c r="N37" s="5">
        <f ca="1">DATEDIF(Table1[[#This Row],[EMI_payment_date]],TODAY(),"m")</f>
        <v>25</v>
      </c>
      <c r="O37" s="9">
        <f ca="1">Table1[[#This Row],[month_paid]]*Table1[[#This Row],[monthly_EMI]]</f>
        <v>3180000</v>
      </c>
      <c r="P37" s="1">
        <v>8.11</v>
      </c>
      <c r="Q37" s="9">
        <f>Table1[[#This Row],[monthly_income]]*30%</f>
        <v>127200</v>
      </c>
      <c r="R37" s="1">
        <f>ROUNDUP(NPER(P37/100/12,-Q37,Table1[[#This Row],[Loan_Amount]]),0)</f>
        <v>49</v>
      </c>
      <c r="S37" s="1">
        <v>712</v>
      </c>
      <c r="T37" s="1" t="s">
        <v>20</v>
      </c>
      <c r="U37" s="1" t="str">
        <f>IF(Table1[[#This Row],[Repayment_Status]]="late","bad loan","good loan")</f>
        <v>good loan</v>
      </c>
      <c r="V37" s="1" t="str">
        <f>IF(Table1[[#This Row],[Repayment_Status]]="late","high","low")</f>
        <v>low</v>
      </c>
      <c r="W37" s="1">
        <f>(Table1[[#This Row],[monthly_EMI]]/Table1[[#This Row],[monthly_income]])*100</f>
        <v>30</v>
      </c>
      <c r="X37" s="7">
        <v>14175.49</v>
      </c>
    </row>
    <row r="38" spans="1:24" x14ac:dyDescent="0.25">
      <c r="A38" s="1" t="s">
        <v>44</v>
      </c>
      <c r="B38" s="2" t="s">
        <v>745</v>
      </c>
      <c r="C38" s="5">
        <v>31</v>
      </c>
      <c r="D38" s="1" t="s">
        <v>26</v>
      </c>
      <c r="E38" s="1" t="s">
        <v>36</v>
      </c>
      <c r="F38" s="1" t="s">
        <v>17</v>
      </c>
      <c r="G38" s="1">
        <f>YEAR(Table1[[#This Row],[Application_Date]])</f>
        <v>2024</v>
      </c>
      <c r="H38" s="1" t="str">
        <f>TEXT(Table1[[#This Row],[EMI_payment_date]],"mmmm")</f>
        <v>June</v>
      </c>
      <c r="I38" s="3">
        <v>45418</v>
      </c>
      <c r="J38" s="3">
        <f>EDATE(Table1[[#This Row],[Application_Date]],1)</f>
        <v>45449</v>
      </c>
      <c r="K38" s="9">
        <v>792000</v>
      </c>
      <c r="L38" s="9">
        <f>Table1[[#This Row],[Annual_Income]]/12</f>
        <v>66000</v>
      </c>
      <c r="M38" s="9">
        <v>992000</v>
      </c>
      <c r="N38" s="5">
        <f ca="1">DATEDIF(Table1[[#This Row],[EMI_payment_date]],TODAY(),"m")</f>
        <v>25</v>
      </c>
      <c r="O38" s="9">
        <f ca="1">Table1[[#This Row],[month_paid]]*Table1[[#This Row],[monthly_EMI]]</f>
        <v>495000</v>
      </c>
      <c r="P38" s="1">
        <v>5.73</v>
      </c>
      <c r="Q38" s="9">
        <f>Table1[[#This Row],[monthly_income]]*30%</f>
        <v>19800</v>
      </c>
      <c r="R38" s="1">
        <f>ROUNDUP(NPER(P38/100/12,-Q38,Table1[[#This Row],[Loan_Amount]]),0)</f>
        <v>58</v>
      </c>
      <c r="S38" s="1">
        <v>634</v>
      </c>
      <c r="T38" s="1" t="s">
        <v>20</v>
      </c>
      <c r="U38" s="1" t="str">
        <f>IF(Table1[[#This Row],[Repayment_Status]]="late","bad loan","good loan")</f>
        <v>good loan</v>
      </c>
      <c r="V38" s="1" t="str">
        <f>IF(Table1[[#This Row],[Repayment_Status]]="late","high","low")</f>
        <v>low</v>
      </c>
      <c r="W38" s="1">
        <f>(Table1[[#This Row],[monthly_EMI]]/Table1[[#This Row],[monthly_income]])*100</f>
        <v>30</v>
      </c>
      <c r="X38" s="7">
        <v>22752.92</v>
      </c>
    </row>
    <row r="39" spans="1:24" x14ac:dyDescent="0.25">
      <c r="A39" s="1" t="s">
        <v>216</v>
      </c>
      <c r="B39" s="2" t="s">
        <v>815</v>
      </c>
      <c r="C39" s="5">
        <v>46</v>
      </c>
      <c r="D39" s="1" t="s">
        <v>26</v>
      </c>
      <c r="E39" s="1" t="s">
        <v>33</v>
      </c>
      <c r="F39" s="1" t="s">
        <v>19</v>
      </c>
      <c r="G39" s="1">
        <f>YEAR(Table1[[#This Row],[Application_Date]])</f>
        <v>2024</v>
      </c>
      <c r="H39" s="1" t="str">
        <f>TEXT(Table1[[#This Row],[EMI_payment_date]],"mmmm")</f>
        <v>June</v>
      </c>
      <c r="I39" s="3">
        <v>45419</v>
      </c>
      <c r="J39" s="3">
        <f>EDATE(Table1[[#This Row],[Application_Date]],1)</f>
        <v>45450</v>
      </c>
      <c r="K39" s="9">
        <v>2856000</v>
      </c>
      <c r="L39" s="9">
        <f>Table1[[#This Row],[Annual_Income]]/12</f>
        <v>238000</v>
      </c>
      <c r="M39" s="9">
        <v>3056000</v>
      </c>
      <c r="N39" s="5">
        <f ca="1">DATEDIF(Table1[[#This Row],[EMI_payment_date]],TODAY(),"m")</f>
        <v>25</v>
      </c>
      <c r="O39" s="9">
        <f ca="1">Table1[[#This Row],[month_paid]]*Table1[[#This Row],[monthly_EMI]]</f>
        <v>1785000</v>
      </c>
      <c r="P39" s="1">
        <v>5.01</v>
      </c>
      <c r="Q39" s="9">
        <f>Table1[[#This Row],[monthly_income]]*30%</f>
        <v>71400</v>
      </c>
      <c r="R39" s="1">
        <f>ROUNDUP(NPER(P39/100/12,-Q39,Table1[[#This Row],[Loan_Amount]]),0)</f>
        <v>48</v>
      </c>
      <c r="S39" s="1">
        <v>751</v>
      </c>
      <c r="T39" s="1" t="s">
        <v>20</v>
      </c>
      <c r="U39" s="1" t="str">
        <f>IF(Table1[[#This Row],[Repayment_Status]]="late","bad loan","good loan")</f>
        <v>good loan</v>
      </c>
      <c r="V39" s="1" t="str">
        <f>IF(Table1[[#This Row],[Repayment_Status]]="late","high","low")</f>
        <v>low</v>
      </c>
      <c r="W39" s="1">
        <f>(Table1[[#This Row],[monthly_EMI]]/Table1[[#This Row],[monthly_income]])*100</f>
        <v>30</v>
      </c>
      <c r="X39" s="7">
        <v>7499.38</v>
      </c>
    </row>
    <row r="40" spans="1:24" x14ac:dyDescent="0.25">
      <c r="A40" s="1" t="s">
        <v>664</v>
      </c>
      <c r="B40" s="2" t="s">
        <v>784</v>
      </c>
      <c r="C40" s="5">
        <v>40</v>
      </c>
      <c r="D40" s="1" t="s">
        <v>26</v>
      </c>
      <c r="E40" s="1" t="s">
        <v>33</v>
      </c>
      <c r="F40" s="1" t="s">
        <v>31</v>
      </c>
      <c r="G40" s="1">
        <f>YEAR(Table1[[#This Row],[Application_Date]])</f>
        <v>2024</v>
      </c>
      <c r="H40" s="1" t="str">
        <f>TEXT(Table1[[#This Row],[EMI_payment_date]],"mmmm")</f>
        <v>June</v>
      </c>
      <c r="I40" s="3">
        <v>45420</v>
      </c>
      <c r="J40" s="3">
        <f>EDATE(Table1[[#This Row],[Application_Date]],1)</f>
        <v>45451</v>
      </c>
      <c r="K40" s="9">
        <v>8232000</v>
      </c>
      <c r="L40" s="9">
        <f>Table1[[#This Row],[Annual_Income]]/12</f>
        <v>686000</v>
      </c>
      <c r="M40" s="9">
        <v>8432000</v>
      </c>
      <c r="N40" s="5">
        <f ca="1">DATEDIF(Table1[[#This Row],[EMI_payment_date]],TODAY(),"m")</f>
        <v>25</v>
      </c>
      <c r="O40" s="9">
        <f ca="1">Table1[[#This Row],[month_paid]]*Table1[[#This Row],[monthly_EMI]]</f>
        <v>5145000</v>
      </c>
      <c r="P40" s="1">
        <v>7.51</v>
      </c>
      <c r="Q40" s="9">
        <f>Table1[[#This Row],[monthly_income]]*30%</f>
        <v>205800</v>
      </c>
      <c r="R40" s="1">
        <f>ROUNDUP(NPER(P40/100/12,-Q40,Table1[[#This Row],[Loan_Amount]]),0)</f>
        <v>48</v>
      </c>
      <c r="S40" s="1">
        <v>706</v>
      </c>
      <c r="T40" s="1" t="s">
        <v>20</v>
      </c>
      <c r="U40" s="1" t="str">
        <f>IF(Table1[[#This Row],[Repayment_Status]]="late","bad loan","good loan")</f>
        <v>good loan</v>
      </c>
      <c r="V40" s="1" t="str">
        <f>IF(Table1[[#This Row],[Repayment_Status]]="late","high","low")</f>
        <v>low</v>
      </c>
      <c r="W40" s="1">
        <f>(Table1[[#This Row],[monthly_EMI]]/Table1[[#This Row],[monthly_income]])*100</f>
        <v>30</v>
      </c>
      <c r="X40" s="7">
        <v>12164.64</v>
      </c>
    </row>
    <row r="41" spans="1:24" x14ac:dyDescent="0.25">
      <c r="A41" s="1" t="s">
        <v>249</v>
      </c>
      <c r="B41" s="2" t="s">
        <v>730</v>
      </c>
      <c r="C41" s="5">
        <v>30</v>
      </c>
      <c r="D41" s="1" t="s">
        <v>26</v>
      </c>
      <c r="E41" s="1" t="s">
        <v>29</v>
      </c>
      <c r="F41" s="1" t="s">
        <v>51</v>
      </c>
      <c r="G41" s="1">
        <f>YEAR(Table1[[#This Row],[Application_Date]])</f>
        <v>2024</v>
      </c>
      <c r="H41" s="1" t="str">
        <f>TEXT(Table1[[#This Row],[EMI_payment_date]],"mmmm")</f>
        <v>June</v>
      </c>
      <c r="I41" s="3">
        <v>45421</v>
      </c>
      <c r="J41" s="3">
        <f>EDATE(Table1[[#This Row],[Application_Date]],1)</f>
        <v>45452</v>
      </c>
      <c r="K41" s="9">
        <v>3252000</v>
      </c>
      <c r="L41" s="9">
        <f>Table1[[#This Row],[Annual_Income]]/12</f>
        <v>271000</v>
      </c>
      <c r="M41" s="9">
        <v>3452000</v>
      </c>
      <c r="N41" s="5">
        <f ca="1">DATEDIF(Table1[[#This Row],[EMI_payment_date]],TODAY(),"m")</f>
        <v>25</v>
      </c>
      <c r="O41" s="9">
        <f ca="1">Table1[[#This Row],[month_paid]]*Table1[[#This Row],[monthly_EMI]]</f>
        <v>2032500</v>
      </c>
      <c r="P41" s="1">
        <v>7.35</v>
      </c>
      <c r="Q41" s="9">
        <f>Table1[[#This Row],[monthly_income]]*30%</f>
        <v>81300</v>
      </c>
      <c r="R41" s="1">
        <f>ROUNDUP(NPER(P41/100/12,-Q41,Table1[[#This Row],[Loan_Amount]]),0)</f>
        <v>50</v>
      </c>
      <c r="S41" s="1">
        <v>613</v>
      </c>
      <c r="T41" s="1" t="s">
        <v>37</v>
      </c>
      <c r="U41" s="1" t="str">
        <f>IF(Table1[[#This Row],[Repayment_Status]]="late","bad loan","good loan")</f>
        <v>bad loan</v>
      </c>
      <c r="V41" s="1" t="str">
        <f>IF(Table1[[#This Row],[Repayment_Status]]="late","high","low")</f>
        <v>high</v>
      </c>
      <c r="W41" s="1">
        <f>(Table1[[#This Row],[monthly_EMI]]/Table1[[#This Row],[monthly_income]])*100</f>
        <v>30</v>
      </c>
      <c r="X41" s="7">
        <v>21548.66</v>
      </c>
    </row>
    <row r="42" spans="1:24" x14ac:dyDescent="0.25">
      <c r="A42" s="1" t="s">
        <v>657</v>
      </c>
      <c r="B42" s="2" t="s">
        <v>893</v>
      </c>
      <c r="C42" s="5">
        <v>36</v>
      </c>
      <c r="D42" s="1" t="s">
        <v>26</v>
      </c>
      <c r="E42" s="1" t="s">
        <v>29</v>
      </c>
      <c r="F42" s="1" t="s">
        <v>17</v>
      </c>
      <c r="G42" s="1">
        <f>YEAR(Table1[[#This Row],[Application_Date]])</f>
        <v>2024</v>
      </c>
      <c r="H42" s="1" t="str">
        <f>TEXT(Table1[[#This Row],[EMI_payment_date]],"mmmm")</f>
        <v>June</v>
      </c>
      <c r="I42" s="3">
        <v>45422</v>
      </c>
      <c r="J42" s="3">
        <f>EDATE(Table1[[#This Row],[Application_Date]],1)</f>
        <v>45453</v>
      </c>
      <c r="K42" s="9">
        <v>8148000</v>
      </c>
      <c r="L42" s="9">
        <f>Table1[[#This Row],[Annual_Income]]/12</f>
        <v>679000</v>
      </c>
      <c r="M42" s="9">
        <v>8348000</v>
      </c>
      <c r="N42" s="5">
        <f ca="1">DATEDIF(Table1[[#This Row],[EMI_payment_date]],TODAY(),"m")</f>
        <v>25</v>
      </c>
      <c r="O42" s="9">
        <f ca="1">Table1[[#This Row],[month_paid]]*Table1[[#This Row],[monthly_EMI]]</f>
        <v>5092500</v>
      </c>
      <c r="P42" s="1">
        <v>7.66</v>
      </c>
      <c r="Q42" s="9">
        <f>Table1[[#This Row],[monthly_income]]*30%</f>
        <v>203700</v>
      </c>
      <c r="R42" s="1">
        <f>ROUNDUP(NPER(P42/100/12,-Q42,Table1[[#This Row],[Loan_Amount]]),0)</f>
        <v>48</v>
      </c>
      <c r="S42" s="1">
        <v>645</v>
      </c>
      <c r="T42" s="1" t="s">
        <v>20</v>
      </c>
      <c r="U42" s="1" t="str">
        <f>IF(Table1[[#This Row],[Repayment_Status]]="late","bad loan","good loan")</f>
        <v>good loan</v>
      </c>
      <c r="V42" s="1" t="str">
        <f>IF(Table1[[#This Row],[Repayment_Status]]="late","high","low")</f>
        <v>low</v>
      </c>
      <c r="W42" s="1">
        <f>(Table1[[#This Row],[monthly_EMI]]/Table1[[#This Row],[monthly_income]])*100</f>
        <v>30</v>
      </c>
      <c r="X42" s="7">
        <v>12789.9</v>
      </c>
    </row>
    <row r="43" spans="1:24" x14ac:dyDescent="0.25">
      <c r="A43" s="1" t="s">
        <v>49</v>
      </c>
      <c r="B43" s="2" t="s">
        <v>749</v>
      </c>
      <c r="C43" s="5">
        <v>21</v>
      </c>
      <c r="D43" s="1" t="s">
        <v>15</v>
      </c>
      <c r="E43" s="1" t="s">
        <v>24</v>
      </c>
      <c r="F43" s="1" t="s">
        <v>17</v>
      </c>
      <c r="G43" s="1">
        <f>YEAR(Table1[[#This Row],[Application_Date]])</f>
        <v>2024</v>
      </c>
      <c r="H43" s="1" t="str">
        <f>TEXT(Table1[[#This Row],[EMI_payment_date]],"mmmm")</f>
        <v>June</v>
      </c>
      <c r="I43" s="3">
        <v>45423</v>
      </c>
      <c r="J43" s="3">
        <f>EDATE(Table1[[#This Row],[Application_Date]],1)</f>
        <v>45454</v>
      </c>
      <c r="K43" s="9">
        <v>852000</v>
      </c>
      <c r="L43" s="9">
        <f>Table1[[#This Row],[Annual_Income]]/12</f>
        <v>71000</v>
      </c>
      <c r="M43" s="9">
        <v>1052000</v>
      </c>
      <c r="N43" s="5">
        <f ca="1">DATEDIF(Table1[[#This Row],[EMI_payment_date]],TODAY(),"m")</f>
        <v>25</v>
      </c>
      <c r="O43" s="9">
        <f ca="1">Table1[[#This Row],[month_paid]]*Table1[[#This Row],[monthly_EMI]]</f>
        <v>532500</v>
      </c>
      <c r="P43" s="1">
        <v>9.19</v>
      </c>
      <c r="Q43" s="9">
        <f>Table1[[#This Row],[monthly_income]]*30%</f>
        <v>21300</v>
      </c>
      <c r="R43" s="1">
        <f>ROUNDUP(NPER(P43/100/12,-Q43,Table1[[#This Row],[Loan_Amount]]),0)</f>
        <v>63</v>
      </c>
      <c r="S43" s="1">
        <v>774</v>
      </c>
      <c r="T43" s="1" t="s">
        <v>20</v>
      </c>
      <c r="U43" s="1" t="str">
        <f>IF(Table1[[#This Row],[Repayment_Status]]="late","bad loan","good loan")</f>
        <v>good loan</v>
      </c>
      <c r="V43" s="1" t="str">
        <f>IF(Table1[[#This Row],[Repayment_Status]]="late","high","low")</f>
        <v>low</v>
      </c>
      <c r="W43" s="1">
        <f>(Table1[[#This Row],[monthly_EMI]]/Table1[[#This Row],[monthly_income]])*100</f>
        <v>30</v>
      </c>
      <c r="X43" s="7">
        <v>36837.839999999997</v>
      </c>
    </row>
    <row r="44" spans="1:24" x14ac:dyDescent="0.25">
      <c r="A44" s="1" t="s">
        <v>354</v>
      </c>
      <c r="B44" s="2" t="s">
        <v>858</v>
      </c>
      <c r="C44" s="5">
        <v>53</v>
      </c>
      <c r="D44" s="1" t="s">
        <v>15</v>
      </c>
      <c r="E44" s="1" t="s">
        <v>29</v>
      </c>
      <c r="F44" s="1" t="s">
        <v>17</v>
      </c>
      <c r="G44" s="1">
        <f>YEAR(Table1[[#This Row],[Application_Date]])</f>
        <v>2024</v>
      </c>
      <c r="H44" s="1" t="str">
        <f>TEXT(Table1[[#This Row],[EMI_payment_date]],"mmmm")</f>
        <v>June</v>
      </c>
      <c r="I44" s="3">
        <v>45424</v>
      </c>
      <c r="J44" s="3">
        <f>EDATE(Table1[[#This Row],[Application_Date]],1)</f>
        <v>45455</v>
      </c>
      <c r="K44" s="9">
        <v>4512000</v>
      </c>
      <c r="L44" s="9">
        <f>Table1[[#This Row],[Annual_Income]]/12</f>
        <v>376000</v>
      </c>
      <c r="M44" s="9">
        <v>4712000</v>
      </c>
      <c r="N44" s="5">
        <f ca="1">DATEDIF(Table1[[#This Row],[EMI_payment_date]],TODAY(),"m")</f>
        <v>25</v>
      </c>
      <c r="O44" s="9">
        <f ca="1">Table1[[#This Row],[month_paid]]*Table1[[#This Row],[monthly_EMI]]</f>
        <v>2820000</v>
      </c>
      <c r="P44" s="1">
        <v>9.2899999999999991</v>
      </c>
      <c r="Q44" s="9">
        <f>Table1[[#This Row],[monthly_income]]*30%</f>
        <v>112800</v>
      </c>
      <c r="R44" s="1">
        <f>ROUNDUP(NPER(P44/100/12,-Q44,Table1[[#This Row],[Loan_Amount]]),0)</f>
        <v>51</v>
      </c>
      <c r="S44" s="1">
        <v>690</v>
      </c>
      <c r="T44" s="1" t="s">
        <v>20</v>
      </c>
      <c r="U44" s="1" t="str">
        <f>IF(Table1[[#This Row],[Repayment_Status]]="late","bad loan","good loan")</f>
        <v>good loan</v>
      </c>
      <c r="V44" s="1" t="str">
        <f>IF(Table1[[#This Row],[Repayment_Status]]="late","high","low")</f>
        <v>low</v>
      </c>
      <c r="W44" s="1">
        <f>(Table1[[#This Row],[monthly_EMI]]/Table1[[#This Row],[monthly_income]])*100</f>
        <v>30</v>
      </c>
      <c r="X44" s="7">
        <v>17884.12</v>
      </c>
    </row>
    <row r="45" spans="1:24" x14ac:dyDescent="0.25">
      <c r="A45" s="1" t="s">
        <v>203</v>
      </c>
      <c r="B45" s="2" t="s">
        <v>846</v>
      </c>
      <c r="C45" s="5">
        <v>27</v>
      </c>
      <c r="D45" s="1" t="s">
        <v>26</v>
      </c>
      <c r="E45" s="1" t="s">
        <v>24</v>
      </c>
      <c r="F45" s="1" t="s">
        <v>51</v>
      </c>
      <c r="G45" s="1">
        <f>YEAR(Table1[[#This Row],[Application_Date]])</f>
        <v>2024</v>
      </c>
      <c r="H45" s="1" t="str">
        <f>TEXT(Table1[[#This Row],[EMI_payment_date]],"mmmm")</f>
        <v>June</v>
      </c>
      <c r="I45" s="3">
        <v>45425</v>
      </c>
      <c r="J45" s="3">
        <f>EDATE(Table1[[#This Row],[Application_Date]],1)</f>
        <v>45456</v>
      </c>
      <c r="K45" s="9">
        <v>2700000</v>
      </c>
      <c r="L45" s="9">
        <f>Table1[[#This Row],[Annual_Income]]/12</f>
        <v>225000</v>
      </c>
      <c r="M45" s="9">
        <v>2900000</v>
      </c>
      <c r="N45" s="5">
        <f ca="1">DATEDIF(Table1[[#This Row],[EMI_payment_date]],TODAY(),"m")</f>
        <v>25</v>
      </c>
      <c r="O45" s="9">
        <f ca="1">Table1[[#This Row],[month_paid]]*Table1[[#This Row],[monthly_EMI]]</f>
        <v>1687500</v>
      </c>
      <c r="P45" s="1">
        <v>9.02</v>
      </c>
      <c r="Q45" s="9">
        <f>Table1[[#This Row],[monthly_income]]*30%</f>
        <v>67500</v>
      </c>
      <c r="R45" s="1">
        <f>ROUNDUP(NPER(P45/100/12,-Q45,Table1[[#This Row],[Loan_Amount]]),0)</f>
        <v>53</v>
      </c>
      <c r="S45" s="1">
        <v>776</v>
      </c>
      <c r="T45" s="1" t="s">
        <v>20</v>
      </c>
      <c r="U45" s="1" t="str">
        <f>IF(Table1[[#This Row],[Repayment_Status]]="late","bad loan","good loan")</f>
        <v>good loan</v>
      </c>
      <c r="V45" s="1" t="str">
        <f>IF(Table1[[#This Row],[Repayment_Status]]="late","high","low")</f>
        <v>low</v>
      </c>
      <c r="W45" s="1">
        <f>(Table1[[#This Row],[monthly_EMI]]/Table1[[#This Row],[monthly_income]])*100</f>
        <v>30</v>
      </c>
      <c r="X45" s="7">
        <v>16132.78</v>
      </c>
    </row>
    <row r="46" spans="1:24" x14ac:dyDescent="0.25">
      <c r="A46" s="1" t="s">
        <v>223</v>
      </c>
      <c r="B46" s="2" t="s">
        <v>857</v>
      </c>
      <c r="C46" s="5">
        <v>47</v>
      </c>
      <c r="D46" s="1" t="s">
        <v>15</v>
      </c>
      <c r="E46" s="1" t="s">
        <v>27</v>
      </c>
      <c r="F46" s="1" t="s">
        <v>17</v>
      </c>
      <c r="G46" s="1">
        <f>YEAR(Table1[[#This Row],[Application_Date]])</f>
        <v>2024</v>
      </c>
      <c r="H46" s="1" t="str">
        <f>TEXT(Table1[[#This Row],[EMI_payment_date]],"mmmm")</f>
        <v>June</v>
      </c>
      <c r="I46" s="3">
        <v>45426</v>
      </c>
      <c r="J46" s="3">
        <f>EDATE(Table1[[#This Row],[Application_Date]],1)</f>
        <v>45457</v>
      </c>
      <c r="K46" s="9">
        <v>2940000</v>
      </c>
      <c r="L46" s="9">
        <f>Table1[[#This Row],[Annual_Income]]/12</f>
        <v>245000</v>
      </c>
      <c r="M46" s="9">
        <v>3140000</v>
      </c>
      <c r="N46" s="5">
        <f ca="1">DATEDIF(Table1[[#This Row],[EMI_payment_date]],TODAY(),"m")</f>
        <v>25</v>
      </c>
      <c r="O46" s="9">
        <f ca="1">Table1[[#This Row],[month_paid]]*Table1[[#This Row],[monthly_EMI]]</f>
        <v>1837500</v>
      </c>
      <c r="P46" s="1">
        <v>8.48</v>
      </c>
      <c r="Q46" s="9">
        <f>Table1[[#This Row],[monthly_income]]*30%</f>
        <v>73500</v>
      </c>
      <c r="R46" s="1">
        <f>ROUNDUP(NPER(P46/100/12,-Q46,Table1[[#This Row],[Loan_Amount]]),0)</f>
        <v>52</v>
      </c>
      <c r="S46" s="1">
        <v>654</v>
      </c>
      <c r="T46" s="1" t="s">
        <v>37</v>
      </c>
      <c r="U46" s="1" t="str">
        <f>IF(Table1[[#This Row],[Repayment_Status]]="late","bad loan","good loan")</f>
        <v>bad loan</v>
      </c>
      <c r="V46" s="1" t="str">
        <f>IF(Table1[[#This Row],[Repayment_Status]]="late","high","low")</f>
        <v>high</v>
      </c>
      <c r="W46" s="1">
        <f>(Table1[[#This Row],[monthly_EMI]]/Table1[[#This Row],[monthly_income]])*100</f>
        <v>30</v>
      </c>
      <c r="X46" s="7">
        <v>21816.65</v>
      </c>
    </row>
    <row r="47" spans="1:24" x14ac:dyDescent="0.25">
      <c r="A47" s="1" t="s">
        <v>170</v>
      </c>
      <c r="B47" s="2" t="s">
        <v>734</v>
      </c>
      <c r="C47" s="5">
        <v>41</v>
      </c>
      <c r="D47" s="1" t="s">
        <v>26</v>
      </c>
      <c r="E47" s="1" t="s">
        <v>36</v>
      </c>
      <c r="F47" s="1" t="s">
        <v>22</v>
      </c>
      <c r="G47" s="1">
        <f>YEAR(Table1[[#This Row],[Application_Date]])</f>
        <v>2024</v>
      </c>
      <c r="H47" s="1" t="str">
        <f>TEXT(Table1[[#This Row],[EMI_payment_date]],"mmmm")</f>
        <v>June</v>
      </c>
      <c r="I47" s="3">
        <v>45427</v>
      </c>
      <c r="J47" s="3">
        <f>EDATE(Table1[[#This Row],[Application_Date]],1)</f>
        <v>45458</v>
      </c>
      <c r="K47" s="9">
        <v>2304000</v>
      </c>
      <c r="L47" s="9">
        <f>Table1[[#This Row],[Annual_Income]]/12</f>
        <v>192000</v>
      </c>
      <c r="M47" s="9">
        <v>2504000</v>
      </c>
      <c r="N47" s="5">
        <f ca="1">DATEDIF(Table1[[#This Row],[EMI_payment_date]],TODAY(),"m")</f>
        <v>25</v>
      </c>
      <c r="O47" s="9">
        <f ca="1">Table1[[#This Row],[month_paid]]*Table1[[#This Row],[monthly_EMI]]</f>
        <v>1440000</v>
      </c>
      <c r="P47" s="1">
        <v>8.66</v>
      </c>
      <c r="Q47" s="9">
        <f>Table1[[#This Row],[monthly_income]]*30%</f>
        <v>57600</v>
      </c>
      <c r="R47" s="1">
        <f>ROUNDUP(NPER(P47/100/12,-Q47,Table1[[#This Row],[Loan_Amount]]),0)</f>
        <v>53</v>
      </c>
      <c r="S47" s="1">
        <v>761</v>
      </c>
      <c r="T47" s="1" t="s">
        <v>37</v>
      </c>
      <c r="U47" s="1" t="str">
        <f>IF(Table1[[#This Row],[Repayment_Status]]="late","bad loan","good loan")</f>
        <v>bad loan</v>
      </c>
      <c r="V47" s="1" t="str">
        <f>IF(Table1[[#This Row],[Repayment_Status]]="late","high","low")</f>
        <v>high</v>
      </c>
      <c r="W47" s="1">
        <f>(Table1[[#This Row],[monthly_EMI]]/Table1[[#This Row],[monthly_income]])*100</f>
        <v>30</v>
      </c>
      <c r="X47" s="7">
        <v>16826.88</v>
      </c>
    </row>
    <row r="48" spans="1:24" x14ac:dyDescent="0.25">
      <c r="A48" s="1" t="s">
        <v>589</v>
      </c>
      <c r="B48" s="2" t="s">
        <v>859</v>
      </c>
      <c r="C48" s="5">
        <v>38</v>
      </c>
      <c r="D48" s="1" t="s">
        <v>26</v>
      </c>
      <c r="E48" s="1" t="s">
        <v>27</v>
      </c>
      <c r="F48" s="1" t="s">
        <v>51</v>
      </c>
      <c r="G48" s="1">
        <f>YEAR(Table1[[#This Row],[Application_Date]])</f>
        <v>2024</v>
      </c>
      <c r="H48" s="1" t="str">
        <f>TEXT(Table1[[#This Row],[EMI_payment_date]],"mmmm")</f>
        <v>June</v>
      </c>
      <c r="I48" s="3">
        <v>45428</v>
      </c>
      <c r="J48" s="3">
        <f>EDATE(Table1[[#This Row],[Application_Date]],1)</f>
        <v>45459</v>
      </c>
      <c r="K48" s="9">
        <v>7332000</v>
      </c>
      <c r="L48" s="9">
        <f>Table1[[#This Row],[Annual_Income]]/12</f>
        <v>611000</v>
      </c>
      <c r="M48" s="9">
        <v>7532000</v>
      </c>
      <c r="N48" s="5">
        <f ca="1">DATEDIF(Table1[[#This Row],[EMI_payment_date]],TODAY(),"m")</f>
        <v>25</v>
      </c>
      <c r="O48" s="9">
        <f ca="1">Table1[[#This Row],[month_paid]]*Table1[[#This Row],[monthly_EMI]]</f>
        <v>4582500</v>
      </c>
      <c r="P48" s="1">
        <v>8.02</v>
      </c>
      <c r="Q48" s="9">
        <f>Table1[[#This Row],[monthly_income]]*30%</f>
        <v>183300</v>
      </c>
      <c r="R48" s="1">
        <f>ROUNDUP(NPER(P48/100/12,-Q48,Table1[[#This Row],[Loan_Amount]]),0)</f>
        <v>49</v>
      </c>
      <c r="S48" s="1">
        <v>756</v>
      </c>
      <c r="T48" s="1" t="s">
        <v>20</v>
      </c>
      <c r="U48" s="1" t="str">
        <f>IF(Table1[[#This Row],[Repayment_Status]]="late","bad loan","good loan")</f>
        <v>good loan</v>
      </c>
      <c r="V48" s="1" t="str">
        <f>IF(Table1[[#This Row],[Repayment_Status]]="late","high","low")</f>
        <v>low</v>
      </c>
      <c r="W48" s="1">
        <f>(Table1[[#This Row],[monthly_EMI]]/Table1[[#This Row],[monthly_income]])*100</f>
        <v>30</v>
      </c>
      <c r="X48" s="7">
        <v>11034.57</v>
      </c>
    </row>
    <row r="49" spans="1:24" x14ac:dyDescent="0.25">
      <c r="A49" s="1" t="s">
        <v>272</v>
      </c>
      <c r="B49" s="2" t="s">
        <v>738</v>
      </c>
      <c r="C49" s="5">
        <v>35</v>
      </c>
      <c r="D49" s="1" t="s">
        <v>15</v>
      </c>
      <c r="E49" s="1" t="s">
        <v>33</v>
      </c>
      <c r="F49" s="1" t="s">
        <v>17</v>
      </c>
      <c r="G49" s="1">
        <f>YEAR(Table1[[#This Row],[Application_Date]])</f>
        <v>2024</v>
      </c>
      <c r="H49" s="1" t="str">
        <f>TEXT(Table1[[#This Row],[EMI_payment_date]],"mmmm")</f>
        <v>June</v>
      </c>
      <c r="I49" s="3">
        <v>45429</v>
      </c>
      <c r="J49" s="3">
        <f>EDATE(Table1[[#This Row],[Application_Date]],1)</f>
        <v>45460</v>
      </c>
      <c r="K49" s="9">
        <v>3528000</v>
      </c>
      <c r="L49" s="9">
        <f>Table1[[#This Row],[Annual_Income]]/12</f>
        <v>294000</v>
      </c>
      <c r="M49" s="9">
        <v>3728000</v>
      </c>
      <c r="N49" s="5">
        <f ca="1">DATEDIF(Table1[[#This Row],[EMI_payment_date]],TODAY(),"m")</f>
        <v>25</v>
      </c>
      <c r="O49" s="9">
        <f ca="1">Table1[[#This Row],[month_paid]]*Table1[[#This Row],[monthly_EMI]]</f>
        <v>2205000</v>
      </c>
      <c r="P49" s="1">
        <v>9.24</v>
      </c>
      <c r="Q49" s="9">
        <f>Table1[[#This Row],[monthly_income]]*30%</f>
        <v>88200</v>
      </c>
      <c r="R49" s="1">
        <f>ROUNDUP(NPER(P49/100/12,-Q49,Table1[[#This Row],[Loan_Amount]]),0)</f>
        <v>52</v>
      </c>
      <c r="S49" s="1">
        <v>614</v>
      </c>
      <c r="T49" s="1" t="s">
        <v>37</v>
      </c>
      <c r="U49" s="1" t="str">
        <f>IF(Table1[[#This Row],[Repayment_Status]]="late","bad loan","good loan")</f>
        <v>bad loan</v>
      </c>
      <c r="V49" s="1" t="str">
        <f>IF(Table1[[#This Row],[Repayment_Status]]="late","high","low")</f>
        <v>high</v>
      </c>
      <c r="W49" s="1">
        <f>(Table1[[#This Row],[monthly_EMI]]/Table1[[#This Row],[monthly_income]])*100</f>
        <v>30</v>
      </c>
      <c r="X49" s="7">
        <v>16432.25</v>
      </c>
    </row>
    <row r="50" spans="1:24" x14ac:dyDescent="0.25">
      <c r="A50" s="1" t="s">
        <v>650</v>
      </c>
      <c r="B50" s="2" t="s">
        <v>874</v>
      </c>
      <c r="C50" s="5">
        <v>58</v>
      </c>
      <c r="D50" s="1" t="s">
        <v>15</v>
      </c>
      <c r="E50" s="1" t="s">
        <v>33</v>
      </c>
      <c r="F50" s="1" t="s">
        <v>17</v>
      </c>
      <c r="G50" s="1">
        <f>YEAR(Table1[[#This Row],[Application_Date]])</f>
        <v>2024</v>
      </c>
      <c r="H50" s="1" t="str">
        <f>TEXT(Table1[[#This Row],[EMI_payment_date]],"mmmm")</f>
        <v>June</v>
      </c>
      <c r="I50" s="3">
        <v>45430</v>
      </c>
      <c r="J50" s="3">
        <f>EDATE(Table1[[#This Row],[Application_Date]],1)</f>
        <v>45461</v>
      </c>
      <c r="K50" s="9">
        <v>8064000</v>
      </c>
      <c r="L50" s="9">
        <f>Table1[[#This Row],[Annual_Income]]/12</f>
        <v>672000</v>
      </c>
      <c r="M50" s="9">
        <v>8264000</v>
      </c>
      <c r="N50" s="5">
        <f ca="1">DATEDIF(Table1[[#This Row],[EMI_payment_date]],TODAY(),"m")</f>
        <v>25</v>
      </c>
      <c r="O50" s="9">
        <f ca="1">Table1[[#This Row],[month_paid]]*Table1[[#This Row],[monthly_EMI]]</f>
        <v>5040000</v>
      </c>
      <c r="P50" s="1">
        <v>9.3000000000000007</v>
      </c>
      <c r="Q50" s="9">
        <f>Table1[[#This Row],[monthly_income]]*30%</f>
        <v>201600</v>
      </c>
      <c r="R50" s="1">
        <f>ROUNDUP(NPER(P50/100/12,-Q50,Table1[[#This Row],[Loan_Amount]]),0)</f>
        <v>50</v>
      </c>
      <c r="S50" s="1">
        <v>740</v>
      </c>
      <c r="T50" s="1" t="s">
        <v>20</v>
      </c>
      <c r="U50" s="1" t="str">
        <f>IF(Table1[[#This Row],[Repayment_Status]]="late","bad loan","good loan")</f>
        <v>good loan</v>
      </c>
      <c r="V50" s="1" t="str">
        <f>IF(Table1[[#This Row],[Repayment_Status]]="late","high","low")</f>
        <v>low</v>
      </c>
      <c r="W50" s="1">
        <f>(Table1[[#This Row],[monthly_EMI]]/Table1[[#This Row],[monthly_income]])*100</f>
        <v>30</v>
      </c>
      <c r="X50" s="7">
        <v>40442.449999999997</v>
      </c>
    </row>
    <row r="51" spans="1:24" x14ac:dyDescent="0.25">
      <c r="A51" s="1" t="s">
        <v>566</v>
      </c>
      <c r="B51" s="2" t="s">
        <v>861</v>
      </c>
      <c r="C51" s="5">
        <v>52</v>
      </c>
      <c r="D51" s="1" t="s">
        <v>15</v>
      </c>
      <c r="E51" s="1" t="s">
        <v>27</v>
      </c>
      <c r="F51" s="1" t="s">
        <v>19</v>
      </c>
      <c r="G51" s="1">
        <f>YEAR(Table1[[#This Row],[Application_Date]])</f>
        <v>2024</v>
      </c>
      <c r="H51" s="1" t="str">
        <f>TEXT(Table1[[#This Row],[EMI_payment_date]],"mmmm")</f>
        <v>June</v>
      </c>
      <c r="I51" s="3">
        <v>45431</v>
      </c>
      <c r="J51" s="3">
        <f>EDATE(Table1[[#This Row],[Application_Date]],1)</f>
        <v>45462</v>
      </c>
      <c r="K51" s="9">
        <v>7056000</v>
      </c>
      <c r="L51" s="9">
        <f>Table1[[#This Row],[Annual_Income]]/12</f>
        <v>588000</v>
      </c>
      <c r="M51" s="9">
        <v>7256000</v>
      </c>
      <c r="N51" s="5">
        <f ca="1">DATEDIF(Table1[[#This Row],[EMI_payment_date]],TODAY(),"m")</f>
        <v>25</v>
      </c>
      <c r="O51" s="9">
        <f ca="1">Table1[[#This Row],[month_paid]]*Table1[[#This Row],[monthly_EMI]]</f>
        <v>4410000</v>
      </c>
      <c r="P51" s="1">
        <v>9.75</v>
      </c>
      <c r="Q51" s="9">
        <f>Table1[[#This Row],[monthly_income]]*30%</f>
        <v>176400</v>
      </c>
      <c r="R51" s="1">
        <f>ROUNDUP(NPER(P51/100/12,-Q51,Table1[[#This Row],[Loan_Amount]]),0)</f>
        <v>51</v>
      </c>
      <c r="S51" s="1">
        <v>663</v>
      </c>
      <c r="T51" s="1" t="s">
        <v>37</v>
      </c>
      <c r="U51" s="1" t="str">
        <f>IF(Table1[[#This Row],[Repayment_Status]]="late","bad loan","good loan")</f>
        <v>bad loan</v>
      </c>
      <c r="V51" s="1" t="str">
        <f>IF(Table1[[#This Row],[Repayment_Status]]="late","high","low")</f>
        <v>high</v>
      </c>
      <c r="W51" s="1">
        <f>(Table1[[#This Row],[monthly_EMI]]/Table1[[#This Row],[monthly_income]])*100</f>
        <v>30</v>
      </c>
      <c r="X51" s="7">
        <v>37305.629999999997</v>
      </c>
    </row>
    <row r="52" spans="1:24" x14ac:dyDescent="0.25">
      <c r="A52" s="1" t="s">
        <v>296</v>
      </c>
      <c r="B52" s="2" t="s">
        <v>815</v>
      </c>
      <c r="C52" s="5">
        <v>53</v>
      </c>
      <c r="D52" s="1" t="s">
        <v>15</v>
      </c>
      <c r="E52" s="1" t="s">
        <v>16</v>
      </c>
      <c r="F52" s="1" t="s">
        <v>31</v>
      </c>
      <c r="G52" s="1">
        <f>YEAR(Table1[[#This Row],[Application_Date]])</f>
        <v>2024</v>
      </c>
      <c r="H52" s="1" t="str">
        <f>TEXT(Table1[[#This Row],[EMI_payment_date]],"mmmm")</f>
        <v>June</v>
      </c>
      <c r="I52" s="3">
        <v>45432</v>
      </c>
      <c r="J52" s="3">
        <f>EDATE(Table1[[#This Row],[Application_Date]],1)</f>
        <v>45463</v>
      </c>
      <c r="K52" s="9">
        <v>3816000</v>
      </c>
      <c r="L52" s="9">
        <f>Table1[[#This Row],[Annual_Income]]/12</f>
        <v>318000</v>
      </c>
      <c r="M52" s="9">
        <v>4016000</v>
      </c>
      <c r="N52" s="5">
        <f ca="1">DATEDIF(Table1[[#This Row],[EMI_payment_date]],TODAY(),"m")</f>
        <v>25</v>
      </c>
      <c r="O52" s="9">
        <f ca="1">Table1[[#This Row],[month_paid]]*Table1[[#This Row],[monthly_EMI]]</f>
        <v>2385000</v>
      </c>
      <c r="P52" s="1">
        <v>5.59</v>
      </c>
      <c r="Q52" s="9">
        <f>Table1[[#This Row],[monthly_income]]*30%</f>
        <v>95400</v>
      </c>
      <c r="R52" s="1">
        <f>ROUNDUP(NPER(P52/100/12,-Q52,Table1[[#This Row],[Loan_Amount]]),0)</f>
        <v>47</v>
      </c>
      <c r="S52" s="1">
        <v>646</v>
      </c>
      <c r="T52" s="1" t="s">
        <v>20</v>
      </c>
      <c r="U52" s="1" t="str">
        <f>IF(Table1[[#This Row],[Repayment_Status]]="late","bad loan","good loan")</f>
        <v>good loan</v>
      </c>
      <c r="V52" s="1" t="str">
        <f>IF(Table1[[#This Row],[Repayment_Status]]="late","high","low")</f>
        <v>low</v>
      </c>
      <c r="W52" s="1">
        <f>(Table1[[#This Row],[monthly_EMI]]/Table1[[#This Row],[monthly_income]])*100</f>
        <v>30</v>
      </c>
      <c r="X52" s="7">
        <v>5206.6899999999996</v>
      </c>
    </row>
    <row r="53" spans="1:24" x14ac:dyDescent="0.25">
      <c r="A53" s="1" t="s">
        <v>614</v>
      </c>
      <c r="B53" s="2" t="s">
        <v>884</v>
      </c>
      <c r="C53" s="5">
        <v>59</v>
      </c>
      <c r="D53" s="1" t="s">
        <v>26</v>
      </c>
      <c r="E53" s="1" t="s">
        <v>24</v>
      </c>
      <c r="F53" s="1" t="s">
        <v>17</v>
      </c>
      <c r="G53" s="1">
        <f>YEAR(Table1[[#This Row],[Application_Date]])</f>
        <v>2024</v>
      </c>
      <c r="H53" s="1" t="str">
        <f>TEXT(Table1[[#This Row],[EMI_payment_date]],"mmmm")</f>
        <v>June</v>
      </c>
      <c r="I53" s="3">
        <v>45433</v>
      </c>
      <c r="J53" s="3">
        <f>EDATE(Table1[[#This Row],[Application_Date]],1)</f>
        <v>45464</v>
      </c>
      <c r="K53" s="9">
        <v>7632000</v>
      </c>
      <c r="L53" s="9">
        <f>Table1[[#This Row],[Annual_Income]]/12</f>
        <v>636000</v>
      </c>
      <c r="M53" s="9">
        <v>7832000</v>
      </c>
      <c r="N53" s="5">
        <f ca="1">DATEDIF(Table1[[#This Row],[EMI_payment_date]],TODAY(),"m")</f>
        <v>25</v>
      </c>
      <c r="O53" s="9">
        <f ca="1">Table1[[#This Row],[month_paid]]*Table1[[#This Row],[monthly_EMI]]</f>
        <v>4770000</v>
      </c>
      <c r="P53" s="1">
        <v>5.59</v>
      </c>
      <c r="Q53" s="9">
        <f>Table1[[#This Row],[monthly_income]]*30%</f>
        <v>190800</v>
      </c>
      <c r="R53" s="1">
        <f>ROUNDUP(NPER(P53/100/12,-Q53,Table1[[#This Row],[Loan_Amount]]),0)</f>
        <v>46</v>
      </c>
      <c r="S53" s="1">
        <v>651</v>
      </c>
      <c r="T53" s="1" t="s">
        <v>20</v>
      </c>
      <c r="U53" s="1" t="str">
        <f>IF(Table1[[#This Row],[Repayment_Status]]="late","bad loan","good loan")</f>
        <v>good loan</v>
      </c>
      <c r="V53" s="1" t="str">
        <f>IF(Table1[[#This Row],[Repayment_Status]]="late","high","low")</f>
        <v>low</v>
      </c>
      <c r="W53" s="1">
        <f>(Table1[[#This Row],[monthly_EMI]]/Table1[[#This Row],[monthly_income]])*100</f>
        <v>30</v>
      </c>
      <c r="X53" s="7">
        <v>7220.33</v>
      </c>
    </row>
    <row r="54" spans="1:24" x14ac:dyDescent="0.25">
      <c r="A54" s="1" t="s">
        <v>321</v>
      </c>
      <c r="B54" s="2" t="s">
        <v>877</v>
      </c>
      <c r="C54" s="5">
        <v>54</v>
      </c>
      <c r="D54" s="1" t="s">
        <v>26</v>
      </c>
      <c r="E54" s="1" t="s">
        <v>24</v>
      </c>
      <c r="F54" s="1" t="s">
        <v>31</v>
      </c>
      <c r="G54" s="1">
        <f>YEAR(Table1[[#This Row],[Application_Date]])</f>
        <v>2024</v>
      </c>
      <c r="H54" s="1" t="str">
        <f>TEXT(Table1[[#This Row],[EMI_payment_date]],"mmmm")</f>
        <v>June</v>
      </c>
      <c r="I54" s="3">
        <v>45434</v>
      </c>
      <c r="J54" s="3">
        <f>EDATE(Table1[[#This Row],[Application_Date]],1)</f>
        <v>45465</v>
      </c>
      <c r="K54" s="9">
        <v>4116000</v>
      </c>
      <c r="L54" s="9">
        <f>Table1[[#This Row],[Annual_Income]]/12</f>
        <v>343000</v>
      </c>
      <c r="M54" s="9">
        <v>4316000</v>
      </c>
      <c r="N54" s="5">
        <f ca="1">DATEDIF(Table1[[#This Row],[EMI_payment_date]],TODAY(),"m")</f>
        <v>25</v>
      </c>
      <c r="O54" s="9">
        <f ca="1">Table1[[#This Row],[month_paid]]*Table1[[#This Row],[monthly_EMI]]</f>
        <v>2572500</v>
      </c>
      <c r="P54" s="1">
        <v>9.0299999999999994</v>
      </c>
      <c r="Q54" s="9">
        <f>Table1[[#This Row],[monthly_income]]*30%</f>
        <v>102900</v>
      </c>
      <c r="R54" s="1">
        <f>ROUNDUP(NPER(P54/100/12,-Q54,Table1[[#This Row],[Loan_Amount]]),0)</f>
        <v>51</v>
      </c>
      <c r="S54" s="1">
        <v>818</v>
      </c>
      <c r="T54" s="1" t="s">
        <v>20</v>
      </c>
      <c r="U54" s="1" t="str">
        <f>IF(Table1[[#This Row],[Repayment_Status]]="late","bad loan","good loan")</f>
        <v>good loan</v>
      </c>
      <c r="V54" s="1" t="str">
        <f>IF(Table1[[#This Row],[Repayment_Status]]="late","high","low")</f>
        <v>low</v>
      </c>
      <c r="W54" s="1">
        <f>(Table1[[#This Row],[monthly_EMI]]/Table1[[#This Row],[monthly_income]])*100</f>
        <v>30</v>
      </c>
      <c r="X54" s="7">
        <v>9170.09</v>
      </c>
    </row>
    <row r="55" spans="1:24" x14ac:dyDescent="0.25">
      <c r="A55" s="1" t="s">
        <v>317</v>
      </c>
      <c r="B55" s="2" t="s">
        <v>875</v>
      </c>
      <c r="C55" s="5">
        <v>25</v>
      </c>
      <c r="D55" s="1" t="s">
        <v>26</v>
      </c>
      <c r="E55" s="1" t="s">
        <v>29</v>
      </c>
      <c r="F55" s="1" t="s">
        <v>17</v>
      </c>
      <c r="G55" s="1">
        <f>YEAR(Table1[[#This Row],[Application_Date]])</f>
        <v>2024</v>
      </c>
      <c r="H55" s="1" t="str">
        <f>TEXT(Table1[[#This Row],[EMI_payment_date]],"mmmm")</f>
        <v>June</v>
      </c>
      <c r="I55" s="3">
        <v>45435</v>
      </c>
      <c r="J55" s="3">
        <f>EDATE(Table1[[#This Row],[Application_Date]],1)</f>
        <v>45466</v>
      </c>
      <c r="K55" s="9">
        <v>4068000</v>
      </c>
      <c r="L55" s="9">
        <f>Table1[[#This Row],[Annual_Income]]/12</f>
        <v>339000</v>
      </c>
      <c r="M55" s="9">
        <v>4268000</v>
      </c>
      <c r="N55" s="5">
        <f ca="1">DATEDIF(Table1[[#This Row],[EMI_payment_date]],TODAY(),"m")</f>
        <v>25</v>
      </c>
      <c r="O55" s="9">
        <f ca="1">Table1[[#This Row],[month_paid]]*Table1[[#This Row],[monthly_EMI]]</f>
        <v>2542500</v>
      </c>
      <c r="P55" s="1">
        <v>5.65</v>
      </c>
      <c r="Q55" s="9">
        <f>Table1[[#This Row],[monthly_income]]*30%</f>
        <v>101700</v>
      </c>
      <c r="R55" s="1">
        <f>ROUNDUP(NPER(P55/100/12,-Q55,Table1[[#This Row],[Loan_Amount]]),0)</f>
        <v>47</v>
      </c>
      <c r="S55" s="1">
        <v>841</v>
      </c>
      <c r="T55" s="1" t="s">
        <v>20</v>
      </c>
      <c r="U55" s="1" t="str">
        <f>IF(Table1[[#This Row],[Repayment_Status]]="late","bad loan","good loan")</f>
        <v>good loan</v>
      </c>
      <c r="V55" s="1" t="str">
        <f>IF(Table1[[#This Row],[Repayment_Status]]="late","high","low")</f>
        <v>low</v>
      </c>
      <c r="W55" s="1">
        <f>(Table1[[#This Row],[monthly_EMI]]/Table1[[#This Row],[monthly_income]])*100</f>
        <v>30</v>
      </c>
      <c r="X55" s="7">
        <v>7985.04</v>
      </c>
    </row>
    <row r="56" spans="1:24" x14ac:dyDescent="0.25">
      <c r="A56" s="1" t="s">
        <v>156</v>
      </c>
      <c r="B56" s="2" t="s">
        <v>806</v>
      </c>
      <c r="C56" s="5">
        <v>48</v>
      </c>
      <c r="D56" s="1" t="s">
        <v>15</v>
      </c>
      <c r="E56" s="1" t="s">
        <v>33</v>
      </c>
      <c r="F56" s="1" t="s">
        <v>51</v>
      </c>
      <c r="G56" s="1">
        <f>YEAR(Table1[[#This Row],[Application_Date]])</f>
        <v>2024</v>
      </c>
      <c r="H56" s="1" t="str">
        <f>TEXT(Table1[[#This Row],[EMI_payment_date]],"mmmm")</f>
        <v>June</v>
      </c>
      <c r="I56" s="3">
        <v>45436</v>
      </c>
      <c r="J56" s="3">
        <f>EDATE(Table1[[#This Row],[Application_Date]],1)</f>
        <v>45467</v>
      </c>
      <c r="K56" s="9">
        <v>2136000</v>
      </c>
      <c r="L56" s="9">
        <f>Table1[[#This Row],[Annual_Income]]/12</f>
        <v>178000</v>
      </c>
      <c r="M56" s="9">
        <v>2336000</v>
      </c>
      <c r="N56" s="5">
        <f ca="1">DATEDIF(Table1[[#This Row],[EMI_payment_date]],TODAY(),"m")</f>
        <v>25</v>
      </c>
      <c r="O56" s="9">
        <f ca="1">Table1[[#This Row],[month_paid]]*Table1[[#This Row],[monthly_EMI]]</f>
        <v>1335000</v>
      </c>
      <c r="P56" s="1">
        <v>6.72</v>
      </c>
      <c r="Q56" s="9">
        <f>Table1[[#This Row],[monthly_income]]*30%</f>
        <v>53400</v>
      </c>
      <c r="R56" s="1">
        <f>ROUNDUP(NPER(P56/100/12,-Q56,Table1[[#This Row],[Loan_Amount]]),0)</f>
        <v>51</v>
      </c>
      <c r="S56" s="1">
        <v>622</v>
      </c>
      <c r="T56" s="1" t="s">
        <v>37</v>
      </c>
      <c r="U56" s="1" t="str">
        <f>IF(Table1[[#This Row],[Repayment_Status]]="late","bad loan","good loan")</f>
        <v>bad loan</v>
      </c>
      <c r="V56" s="1" t="str">
        <f>IF(Table1[[#This Row],[Repayment_Status]]="late","high","low")</f>
        <v>high</v>
      </c>
      <c r="W56" s="1">
        <f>(Table1[[#This Row],[monthly_EMI]]/Table1[[#This Row],[monthly_income]])*100</f>
        <v>30</v>
      </c>
      <c r="X56" s="7">
        <v>25301.78</v>
      </c>
    </row>
    <row r="57" spans="1:24" x14ac:dyDescent="0.25">
      <c r="A57" s="1" t="s">
        <v>377</v>
      </c>
      <c r="B57" s="2" t="s">
        <v>839</v>
      </c>
      <c r="C57" s="5">
        <v>59</v>
      </c>
      <c r="D57" s="1" t="s">
        <v>15</v>
      </c>
      <c r="E57" s="1" t="s">
        <v>36</v>
      </c>
      <c r="F57" s="1" t="s">
        <v>22</v>
      </c>
      <c r="G57" s="1">
        <f>YEAR(Table1[[#This Row],[Application_Date]])</f>
        <v>2024</v>
      </c>
      <c r="H57" s="1" t="str">
        <f>TEXT(Table1[[#This Row],[EMI_payment_date]],"mmmm")</f>
        <v>June</v>
      </c>
      <c r="I57" s="3">
        <v>45437</v>
      </c>
      <c r="J57" s="3">
        <f>EDATE(Table1[[#This Row],[Application_Date]],1)</f>
        <v>45468</v>
      </c>
      <c r="K57" s="9">
        <v>4788000</v>
      </c>
      <c r="L57" s="9">
        <f>Table1[[#This Row],[Annual_Income]]/12</f>
        <v>399000</v>
      </c>
      <c r="M57" s="9">
        <v>4988000</v>
      </c>
      <c r="N57" s="5">
        <f ca="1">DATEDIF(Table1[[#This Row],[EMI_payment_date]],TODAY(),"m")</f>
        <v>25</v>
      </c>
      <c r="O57" s="9">
        <f ca="1">Table1[[#This Row],[month_paid]]*Table1[[#This Row],[monthly_EMI]]</f>
        <v>2992500</v>
      </c>
      <c r="P57" s="1">
        <v>5.18</v>
      </c>
      <c r="Q57" s="9">
        <f>Table1[[#This Row],[monthly_income]]*30%</f>
        <v>119700</v>
      </c>
      <c r="R57" s="1">
        <f>ROUNDUP(NPER(P57/100/12,-Q57,Table1[[#This Row],[Loan_Amount]]),0)</f>
        <v>47</v>
      </c>
      <c r="S57" s="1">
        <v>780</v>
      </c>
      <c r="T57" s="1" t="s">
        <v>20</v>
      </c>
      <c r="U57" s="1" t="str">
        <f>IF(Table1[[#This Row],[Repayment_Status]]="late","bad loan","good loan")</f>
        <v>good loan</v>
      </c>
      <c r="V57" s="1" t="str">
        <f>IF(Table1[[#This Row],[Repayment_Status]]="late","high","low")</f>
        <v>low</v>
      </c>
      <c r="W57" s="1">
        <f>(Table1[[#This Row],[monthly_EMI]]/Table1[[#This Row],[monthly_income]])*100</f>
        <v>30</v>
      </c>
      <c r="X57" s="7">
        <v>10586.19</v>
      </c>
    </row>
    <row r="58" spans="1:24" x14ac:dyDescent="0.25">
      <c r="A58" s="1" t="s">
        <v>177</v>
      </c>
      <c r="B58" s="2" t="s">
        <v>752</v>
      </c>
      <c r="C58" s="5">
        <v>48</v>
      </c>
      <c r="D58" s="1" t="s">
        <v>26</v>
      </c>
      <c r="E58" s="1" t="s">
        <v>33</v>
      </c>
      <c r="F58" s="1" t="s">
        <v>17</v>
      </c>
      <c r="G58" s="1">
        <f>YEAR(Table1[[#This Row],[Application_Date]])</f>
        <v>2024</v>
      </c>
      <c r="H58" s="1" t="str">
        <f>TEXT(Table1[[#This Row],[EMI_payment_date]],"mmmm")</f>
        <v>June</v>
      </c>
      <c r="I58" s="3">
        <v>45438</v>
      </c>
      <c r="J58" s="3">
        <f>EDATE(Table1[[#This Row],[Application_Date]],1)</f>
        <v>45469</v>
      </c>
      <c r="K58" s="9">
        <v>2388000</v>
      </c>
      <c r="L58" s="9">
        <f>Table1[[#This Row],[Annual_Income]]/12</f>
        <v>199000</v>
      </c>
      <c r="M58" s="9">
        <v>2588000</v>
      </c>
      <c r="N58" s="5">
        <f ca="1">DATEDIF(Table1[[#This Row],[EMI_payment_date]],TODAY(),"m")</f>
        <v>25</v>
      </c>
      <c r="O58" s="9">
        <f ca="1">Table1[[#This Row],[month_paid]]*Table1[[#This Row],[monthly_EMI]]</f>
        <v>1492500</v>
      </c>
      <c r="P58" s="1">
        <v>6.34</v>
      </c>
      <c r="Q58" s="9">
        <f>Table1[[#This Row],[monthly_income]]*30%</f>
        <v>59700</v>
      </c>
      <c r="R58" s="1">
        <f>ROUNDUP(NPER(P58/100/12,-Q58,Table1[[#This Row],[Loan_Amount]]),0)</f>
        <v>50</v>
      </c>
      <c r="S58" s="1">
        <v>812</v>
      </c>
      <c r="T58" s="1" t="s">
        <v>20</v>
      </c>
      <c r="U58" s="1" t="str">
        <f>IF(Table1[[#This Row],[Repayment_Status]]="late","bad loan","good loan")</f>
        <v>good loan</v>
      </c>
      <c r="V58" s="1" t="str">
        <f>IF(Table1[[#This Row],[Repayment_Status]]="late","high","low")</f>
        <v>low</v>
      </c>
      <c r="W58" s="1">
        <f>(Table1[[#This Row],[monthly_EMI]]/Table1[[#This Row],[monthly_income]])*100</f>
        <v>30</v>
      </c>
      <c r="X58" s="7">
        <v>18369.5</v>
      </c>
    </row>
    <row r="59" spans="1:24" x14ac:dyDescent="0.25">
      <c r="A59" s="1" t="s">
        <v>549</v>
      </c>
      <c r="B59" s="2" t="s">
        <v>751</v>
      </c>
      <c r="C59" s="5">
        <v>52</v>
      </c>
      <c r="D59" s="1" t="s">
        <v>26</v>
      </c>
      <c r="E59" s="1" t="s">
        <v>29</v>
      </c>
      <c r="F59" s="1" t="s">
        <v>51</v>
      </c>
      <c r="G59" s="1">
        <f>YEAR(Table1[[#This Row],[Application_Date]])</f>
        <v>2024</v>
      </c>
      <c r="H59" s="1" t="str">
        <f>TEXT(Table1[[#This Row],[EMI_payment_date]],"mmmm")</f>
        <v>June</v>
      </c>
      <c r="I59" s="3">
        <v>45439</v>
      </c>
      <c r="J59" s="3">
        <f>EDATE(Table1[[#This Row],[Application_Date]],1)</f>
        <v>45470</v>
      </c>
      <c r="K59" s="9">
        <v>6852000</v>
      </c>
      <c r="L59" s="9">
        <f>Table1[[#This Row],[Annual_Income]]/12</f>
        <v>571000</v>
      </c>
      <c r="M59" s="9">
        <v>7052000</v>
      </c>
      <c r="N59" s="5">
        <f ca="1">DATEDIF(Table1[[#This Row],[EMI_payment_date]],TODAY(),"m")</f>
        <v>25</v>
      </c>
      <c r="O59" s="9">
        <f ca="1">Table1[[#This Row],[month_paid]]*Table1[[#This Row],[monthly_EMI]]</f>
        <v>4282500</v>
      </c>
      <c r="P59" s="1">
        <v>5.59</v>
      </c>
      <c r="Q59" s="9">
        <f>Table1[[#This Row],[monthly_income]]*30%</f>
        <v>171300</v>
      </c>
      <c r="R59" s="1">
        <f>ROUNDUP(NPER(P59/100/12,-Q59,Table1[[#This Row],[Loan_Amount]]),0)</f>
        <v>46</v>
      </c>
      <c r="S59" s="1">
        <v>672</v>
      </c>
      <c r="T59" s="1" t="s">
        <v>20</v>
      </c>
      <c r="U59" s="1" t="str">
        <f>IF(Table1[[#This Row],[Repayment_Status]]="late","bad loan","good loan")</f>
        <v>good loan</v>
      </c>
      <c r="V59" s="1" t="str">
        <f>IF(Table1[[#This Row],[Repayment_Status]]="late","high","low")</f>
        <v>low</v>
      </c>
      <c r="W59" s="1">
        <f>(Table1[[#This Row],[monthly_EMI]]/Table1[[#This Row],[monthly_income]])*100</f>
        <v>30</v>
      </c>
      <c r="X59" s="7">
        <v>5618.71</v>
      </c>
    </row>
    <row r="60" spans="1:24" x14ac:dyDescent="0.25">
      <c r="A60" s="1" t="s">
        <v>268</v>
      </c>
      <c r="B60" s="2" t="s">
        <v>874</v>
      </c>
      <c r="C60" s="5">
        <v>45</v>
      </c>
      <c r="D60" s="1" t="s">
        <v>26</v>
      </c>
      <c r="E60" s="1" t="s">
        <v>33</v>
      </c>
      <c r="F60" s="1" t="s">
        <v>19</v>
      </c>
      <c r="G60" s="1">
        <f>YEAR(Table1[[#This Row],[Application_Date]])</f>
        <v>2024</v>
      </c>
      <c r="H60" s="1" t="str">
        <f>TEXT(Table1[[#This Row],[EMI_payment_date]],"mmmm")</f>
        <v>June</v>
      </c>
      <c r="I60" s="3">
        <v>45440</v>
      </c>
      <c r="J60" s="3">
        <f>EDATE(Table1[[#This Row],[Application_Date]],1)</f>
        <v>45471</v>
      </c>
      <c r="K60" s="9">
        <v>3480000</v>
      </c>
      <c r="L60" s="9">
        <f>Table1[[#This Row],[Annual_Income]]/12</f>
        <v>290000</v>
      </c>
      <c r="M60" s="9">
        <v>3680000</v>
      </c>
      <c r="N60" s="5">
        <f ca="1">DATEDIF(Table1[[#This Row],[EMI_payment_date]],TODAY(),"m")</f>
        <v>25</v>
      </c>
      <c r="O60" s="9">
        <f ca="1">Table1[[#This Row],[month_paid]]*Table1[[#This Row],[monthly_EMI]]</f>
        <v>2175000</v>
      </c>
      <c r="P60" s="1">
        <v>9.85</v>
      </c>
      <c r="Q60" s="9">
        <f>Table1[[#This Row],[monthly_income]]*30%</f>
        <v>87000</v>
      </c>
      <c r="R60" s="1">
        <f>ROUNDUP(NPER(P60/100/12,-Q60,Table1[[#This Row],[Loan_Amount]]),0)</f>
        <v>53</v>
      </c>
      <c r="S60" s="1">
        <v>707</v>
      </c>
      <c r="T60" s="1" t="s">
        <v>37</v>
      </c>
      <c r="U60" s="1" t="str">
        <f>IF(Table1[[#This Row],[Repayment_Status]]="late","bad loan","good loan")</f>
        <v>bad loan</v>
      </c>
      <c r="V60" s="1" t="str">
        <f>IF(Table1[[#This Row],[Repayment_Status]]="late","high","low")</f>
        <v>high</v>
      </c>
      <c r="W60" s="1">
        <f>(Table1[[#This Row],[monthly_EMI]]/Table1[[#This Row],[monthly_income]])*100</f>
        <v>30</v>
      </c>
      <c r="X60" s="7">
        <v>36753.379999999997</v>
      </c>
    </row>
    <row r="61" spans="1:24" x14ac:dyDescent="0.25">
      <c r="A61" s="1" t="s">
        <v>202</v>
      </c>
      <c r="B61" s="2" t="s">
        <v>845</v>
      </c>
      <c r="C61" s="5">
        <v>23</v>
      </c>
      <c r="D61" s="1" t="s">
        <v>15</v>
      </c>
      <c r="E61" s="1" t="s">
        <v>36</v>
      </c>
      <c r="F61" s="1" t="s">
        <v>51</v>
      </c>
      <c r="G61" s="1">
        <f>YEAR(Table1[[#This Row],[Application_Date]])</f>
        <v>2024</v>
      </c>
      <c r="H61" s="1" t="str">
        <f>TEXT(Table1[[#This Row],[EMI_payment_date]],"mmmm")</f>
        <v>June</v>
      </c>
      <c r="I61" s="3">
        <v>45441</v>
      </c>
      <c r="J61" s="3">
        <f>EDATE(Table1[[#This Row],[Application_Date]],1)</f>
        <v>45472</v>
      </c>
      <c r="K61" s="9">
        <v>2688000</v>
      </c>
      <c r="L61" s="9">
        <f>Table1[[#This Row],[Annual_Income]]/12</f>
        <v>224000</v>
      </c>
      <c r="M61" s="9">
        <v>2888000</v>
      </c>
      <c r="N61" s="5">
        <f ca="1">DATEDIF(Table1[[#This Row],[EMI_payment_date]],TODAY(),"m")</f>
        <v>25</v>
      </c>
      <c r="O61" s="9">
        <f ca="1">Table1[[#This Row],[month_paid]]*Table1[[#This Row],[monthly_EMI]]</f>
        <v>1680000</v>
      </c>
      <c r="P61" s="1">
        <v>5.59</v>
      </c>
      <c r="Q61" s="9">
        <f>Table1[[#This Row],[monthly_income]]*30%</f>
        <v>67200</v>
      </c>
      <c r="R61" s="1">
        <f>ROUNDUP(NPER(P61/100/12,-Q61,Table1[[#This Row],[Loan_Amount]]),0)</f>
        <v>49</v>
      </c>
      <c r="S61" s="1">
        <v>848</v>
      </c>
      <c r="T61" s="1" t="s">
        <v>20</v>
      </c>
      <c r="U61" s="1" t="str">
        <f>IF(Table1[[#This Row],[Repayment_Status]]="late","bad loan","good loan")</f>
        <v>good loan</v>
      </c>
      <c r="V61" s="1" t="str">
        <f>IF(Table1[[#This Row],[Repayment_Status]]="late","high","low")</f>
        <v>low</v>
      </c>
      <c r="W61" s="1">
        <f>(Table1[[#This Row],[monthly_EMI]]/Table1[[#This Row],[monthly_income]])*100</f>
        <v>30</v>
      </c>
      <c r="X61" s="7">
        <v>23910.3</v>
      </c>
    </row>
    <row r="62" spans="1:24" x14ac:dyDescent="0.25">
      <c r="A62" s="1" t="s">
        <v>374</v>
      </c>
      <c r="B62" s="2" t="s">
        <v>892</v>
      </c>
      <c r="C62" s="5">
        <v>43</v>
      </c>
      <c r="D62" s="1" t="s">
        <v>15</v>
      </c>
      <c r="E62" s="1" t="s">
        <v>27</v>
      </c>
      <c r="F62" s="1" t="s">
        <v>19</v>
      </c>
      <c r="G62" s="1">
        <f>YEAR(Table1[[#This Row],[Application_Date]])</f>
        <v>2024</v>
      </c>
      <c r="H62" s="1" t="str">
        <f>TEXT(Table1[[#This Row],[EMI_payment_date]],"mmmm")</f>
        <v>June</v>
      </c>
      <c r="I62" s="3">
        <v>45442</v>
      </c>
      <c r="J62" s="3">
        <f>EDATE(Table1[[#This Row],[Application_Date]],1)</f>
        <v>45473</v>
      </c>
      <c r="K62" s="9">
        <v>4752000</v>
      </c>
      <c r="L62" s="9">
        <f>Table1[[#This Row],[Annual_Income]]/12</f>
        <v>396000</v>
      </c>
      <c r="M62" s="9">
        <v>4952000</v>
      </c>
      <c r="N62" s="5">
        <f ca="1">DATEDIF(Table1[[#This Row],[EMI_payment_date]],TODAY(),"m")</f>
        <v>25</v>
      </c>
      <c r="O62" s="9">
        <f ca="1">Table1[[#This Row],[month_paid]]*Table1[[#This Row],[monthly_EMI]]</f>
        <v>2970000</v>
      </c>
      <c r="P62" s="1">
        <v>7.06</v>
      </c>
      <c r="Q62" s="9">
        <f>Table1[[#This Row],[monthly_income]]*30%</f>
        <v>118800</v>
      </c>
      <c r="R62" s="1">
        <f>ROUNDUP(NPER(P62/100/12,-Q62,Table1[[#This Row],[Loan_Amount]]),0)</f>
        <v>48</v>
      </c>
      <c r="S62" s="1">
        <v>787</v>
      </c>
      <c r="T62" s="1" t="s">
        <v>37</v>
      </c>
      <c r="U62" s="1" t="str">
        <f>IF(Table1[[#This Row],[Repayment_Status]]="late","bad loan","good loan")</f>
        <v>bad loan</v>
      </c>
      <c r="V62" s="1" t="str">
        <f>IF(Table1[[#This Row],[Repayment_Status]]="late","high","low")</f>
        <v>high</v>
      </c>
      <c r="W62" s="1">
        <f>(Table1[[#This Row],[monthly_EMI]]/Table1[[#This Row],[monthly_income]])*100</f>
        <v>30</v>
      </c>
      <c r="X62" s="7">
        <v>19612.84</v>
      </c>
    </row>
    <row r="63" spans="1:24" x14ac:dyDescent="0.25">
      <c r="A63" s="1" t="s">
        <v>639</v>
      </c>
      <c r="B63" s="2" t="s">
        <v>843</v>
      </c>
      <c r="C63" s="5">
        <v>53</v>
      </c>
      <c r="D63" s="1" t="s">
        <v>15</v>
      </c>
      <c r="E63" s="1" t="s">
        <v>27</v>
      </c>
      <c r="F63" s="1" t="s">
        <v>22</v>
      </c>
      <c r="G63" s="1">
        <f>YEAR(Table1[[#This Row],[Application_Date]])</f>
        <v>2024</v>
      </c>
      <c r="H63" s="1" t="str">
        <f>TEXT(Table1[[#This Row],[EMI_payment_date]],"mmmm")</f>
        <v>June</v>
      </c>
      <c r="I63" s="3">
        <v>45443</v>
      </c>
      <c r="J63" s="3">
        <f>EDATE(Table1[[#This Row],[Application_Date]],1)</f>
        <v>45473</v>
      </c>
      <c r="K63" s="9">
        <v>7932000</v>
      </c>
      <c r="L63" s="9">
        <f>Table1[[#This Row],[Annual_Income]]/12</f>
        <v>661000</v>
      </c>
      <c r="M63" s="9">
        <v>8132000</v>
      </c>
      <c r="N63" s="5">
        <f ca="1">DATEDIF(Table1[[#This Row],[EMI_payment_date]],TODAY(),"m")</f>
        <v>25</v>
      </c>
      <c r="O63" s="9">
        <f ca="1">Table1[[#This Row],[month_paid]]*Table1[[#This Row],[monthly_EMI]]</f>
        <v>4957500</v>
      </c>
      <c r="P63" s="1">
        <v>8.3699999999999992</v>
      </c>
      <c r="Q63" s="9">
        <f>Table1[[#This Row],[monthly_income]]*30%</f>
        <v>198300</v>
      </c>
      <c r="R63" s="1">
        <f>ROUNDUP(NPER(P63/100/12,-Q63,Table1[[#This Row],[Loan_Amount]]),0)</f>
        <v>49</v>
      </c>
      <c r="S63" s="1">
        <v>773</v>
      </c>
      <c r="T63" s="1" t="s">
        <v>37</v>
      </c>
      <c r="U63" s="1" t="str">
        <f>IF(Table1[[#This Row],[Repayment_Status]]="late","bad loan","good loan")</f>
        <v>bad loan</v>
      </c>
      <c r="V63" s="1" t="str">
        <f>IF(Table1[[#This Row],[Repayment_Status]]="late","high","low")</f>
        <v>high</v>
      </c>
      <c r="W63" s="1">
        <f>(Table1[[#This Row],[monthly_EMI]]/Table1[[#This Row],[monthly_income]])*100</f>
        <v>30</v>
      </c>
      <c r="X63" s="7">
        <v>6789.48</v>
      </c>
    </row>
    <row r="64" spans="1:24" x14ac:dyDescent="0.25">
      <c r="A64" s="1" t="s">
        <v>290</v>
      </c>
      <c r="B64" s="2" t="s">
        <v>880</v>
      </c>
      <c r="C64" s="5">
        <v>53</v>
      </c>
      <c r="D64" s="1" t="s">
        <v>15</v>
      </c>
      <c r="E64" s="1" t="s">
        <v>16</v>
      </c>
      <c r="F64" s="1" t="s">
        <v>17</v>
      </c>
      <c r="G64" s="1">
        <f>YEAR(Table1[[#This Row],[Application_Date]])</f>
        <v>2024</v>
      </c>
      <c r="H64" s="1" t="str">
        <f>TEXT(Table1[[#This Row],[EMI_payment_date]],"mmmm")</f>
        <v>July</v>
      </c>
      <c r="I64" s="3">
        <v>45444</v>
      </c>
      <c r="J64" s="3">
        <f>EDATE(Table1[[#This Row],[Application_Date]],1)</f>
        <v>45474</v>
      </c>
      <c r="K64" s="9">
        <v>3744000</v>
      </c>
      <c r="L64" s="9">
        <f>Table1[[#This Row],[Annual_Income]]/12</f>
        <v>312000</v>
      </c>
      <c r="M64" s="9">
        <v>3944000</v>
      </c>
      <c r="N64" s="5">
        <f ca="1">DATEDIF(Table1[[#This Row],[EMI_payment_date]],TODAY(),"m")</f>
        <v>24</v>
      </c>
      <c r="O64" s="9">
        <f ca="1">Table1[[#This Row],[month_paid]]*Table1[[#This Row],[monthly_EMI]]</f>
        <v>2246400</v>
      </c>
      <c r="P64" s="1">
        <v>7.33</v>
      </c>
      <c r="Q64" s="9">
        <f>Table1[[#This Row],[monthly_income]]*30%</f>
        <v>93600</v>
      </c>
      <c r="R64" s="1">
        <f>ROUNDUP(NPER(P64/100/12,-Q64,Table1[[#This Row],[Loan_Amount]]),0)</f>
        <v>49</v>
      </c>
      <c r="S64" s="1">
        <v>761</v>
      </c>
      <c r="T64" s="1" t="s">
        <v>20</v>
      </c>
      <c r="U64" s="1" t="str">
        <f>IF(Table1[[#This Row],[Repayment_Status]]="late","bad loan","good loan")</f>
        <v>good loan</v>
      </c>
      <c r="V64" s="1" t="str">
        <f>IF(Table1[[#This Row],[Repayment_Status]]="late","high","low")</f>
        <v>low</v>
      </c>
      <c r="W64" s="1">
        <f>(Table1[[#This Row],[monthly_EMI]]/Table1[[#This Row],[monthly_income]])*100</f>
        <v>30</v>
      </c>
      <c r="X64" s="7">
        <v>8064.42</v>
      </c>
    </row>
    <row r="65" spans="1:24" x14ac:dyDescent="0.25">
      <c r="A65" s="1" t="s">
        <v>451</v>
      </c>
      <c r="B65" s="2" t="s">
        <v>905</v>
      </c>
      <c r="C65" s="5">
        <v>46</v>
      </c>
      <c r="D65" s="1" t="s">
        <v>26</v>
      </c>
      <c r="E65" s="1" t="s">
        <v>36</v>
      </c>
      <c r="F65" s="1" t="s">
        <v>22</v>
      </c>
      <c r="G65" s="1">
        <f>YEAR(Table1[[#This Row],[Application_Date]])</f>
        <v>2024</v>
      </c>
      <c r="H65" s="1" t="str">
        <f>TEXT(Table1[[#This Row],[EMI_payment_date]],"mmmm")</f>
        <v>July</v>
      </c>
      <c r="I65" s="3">
        <v>45445</v>
      </c>
      <c r="J65" s="3">
        <f>EDATE(Table1[[#This Row],[Application_Date]],1)</f>
        <v>45475</v>
      </c>
      <c r="K65" s="9">
        <v>5676000</v>
      </c>
      <c r="L65" s="9">
        <f>Table1[[#This Row],[Annual_Income]]/12</f>
        <v>473000</v>
      </c>
      <c r="M65" s="9">
        <v>5876000</v>
      </c>
      <c r="N65" s="5">
        <f ca="1">DATEDIF(Table1[[#This Row],[EMI_payment_date]],TODAY(),"m")</f>
        <v>24</v>
      </c>
      <c r="O65" s="9">
        <f ca="1">Table1[[#This Row],[month_paid]]*Table1[[#This Row],[monthly_EMI]]</f>
        <v>3405600</v>
      </c>
      <c r="P65" s="1">
        <v>8.25</v>
      </c>
      <c r="Q65" s="9">
        <f>Table1[[#This Row],[monthly_income]]*30%</f>
        <v>141900</v>
      </c>
      <c r="R65" s="1">
        <f>ROUNDUP(NPER(P65/100/12,-Q65,Table1[[#This Row],[Loan_Amount]]),0)</f>
        <v>49</v>
      </c>
      <c r="S65" s="1">
        <v>750</v>
      </c>
      <c r="T65" s="1" t="s">
        <v>37</v>
      </c>
      <c r="U65" s="1" t="str">
        <f>IF(Table1[[#This Row],[Repayment_Status]]="late","bad loan","good loan")</f>
        <v>bad loan</v>
      </c>
      <c r="V65" s="1" t="str">
        <f>IF(Table1[[#This Row],[Repayment_Status]]="late","high","low")</f>
        <v>high</v>
      </c>
      <c r="W65" s="1">
        <f>(Table1[[#This Row],[monthly_EMI]]/Table1[[#This Row],[monthly_income]])*100</f>
        <v>30</v>
      </c>
      <c r="X65" s="7">
        <v>25144.98</v>
      </c>
    </row>
    <row r="66" spans="1:24" x14ac:dyDescent="0.25">
      <c r="A66" s="1" t="s">
        <v>425</v>
      </c>
      <c r="B66" s="2" t="s">
        <v>796</v>
      </c>
      <c r="C66" s="5">
        <v>56</v>
      </c>
      <c r="D66" s="1" t="s">
        <v>15</v>
      </c>
      <c r="E66" s="1" t="s">
        <v>24</v>
      </c>
      <c r="F66" s="1" t="s">
        <v>22</v>
      </c>
      <c r="G66" s="1">
        <f>YEAR(Table1[[#This Row],[Application_Date]])</f>
        <v>2024</v>
      </c>
      <c r="H66" s="1" t="str">
        <f>TEXT(Table1[[#This Row],[EMI_payment_date]],"mmmm")</f>
        <v>July</v>
      </c>
      <c r="I66" s="3">
        <v>45446</v>
      </c>
      <c r="J66" s="3">
        <f>EDATE(Table1[[#This Row],[Application_Date]],1)</f>
        <v>45476</v>
      </c>
      <c r="K66" s="9">
        <v>5364000</v>
      </c>
      <c r="L66" s="9">
        <f>Table1[[#This Row],[Annual_Income]]/12</f>
        <v>447000</v>
      </c>
      <c r="M66" s="9">
        <v>5564000</v>
      </c>
      <c r="N66" s="5">
        <f ca="1">DATEDIF(Table1[[#This Row],[EMI_payment_date]],TODAY(),"m")</f>
        <v>24</v>
      </c>
      <c r="O66" s="9">
        <f ca="1">Table1[[#This Row],[month_paid]]*Table1[[#This Row],[monthly_EMI]]</f>
        <v>3218400</v>
      </c>
      <c r="P66" s="1">
        <v>6.42</v>
      </c>
      <c r="Q66" s="9">
        <f>Table1[[#This Row],[monthly_income]]*30%</f>
        <v>134100</v>
      </c>
      <c r="R66" s="1">
        <f>ROUNDUP(NPER(P66/100/12,-Q66,Table1[[#This Row],[Loan_Amount]]),0)</f>
        <v>48</v>
      </c>
      <c r="S66" s="1">
        <v>789</v>
      </c>
      <c r="T66" s="1" t="s">
        <v>37</v>
      </c>
      <c r="U66" s="1" t="str">
        <f>IF(Table1[[#This Row],[Repayment_Status]]="late","bad loan","good loan")</f>
        <v>bad loan</v>
      </c>
      <c r="V66" s="1" t="str">
        <f>IF(Table1[[#This Row],[Repayment_Status]]="late","high","low")</f>
        <v>high</v>
      </c>
      <c r="W66" s="1">
        <f>(Table1[[#This Row],[monthly_EMI]]/Table1[[#This Row],[monthly_income]])*100</f>
        <v>30</v>
      </c>
      <c r="X66" s="7">
        <v>10829.54</v>
      </c>
    </row>
    <row r="67" spans="1:24" x14ac:dyDescent="0.25">
      <c r="A67" s="1" t="s">
        <v>707</v>
      </c>
      <c r="B67" s="2" t="s">
        <v>772</v>
      </c>
      <c r="C67" s="5">
        <v>43</v>
      </c>
      <c r="D67" s="1" t="s">
        <v>15</v>
      </c>
      <c r="E67" s="1" t="s">
        <v>36</v>
      </c>
      <c r="F67" s="1" t="s">
        <v>51</v>
      </c>
      <c r="G67" s="1">
        <f>YEAR(Table1[[#This Row],[Application_Date]])</f>
        <v>2024</v>
      </c>
      <c r="H67" s="1" t="str">
        <f>TEXT(Table1[[#This Row],[EMI_payment_date]],"mmmm")</f>
        <v>July</v>
      </c>
      <c r="I67" s="3">
        <v>45447</v>
      </c>
      <c r="J67" s="3">
        <f>EDATE(Table1[[#This Row],[Application_Date]],1)</f>
        <v>45477</v>
      </c>
      <c r="K67" s="9">
        <v>8748000</v>
      </c>
      <c r="L67" s="9">
        <f>Table1[[#This Row],[Annual_Income]]/12</f>
        <v>729000</v>
      </c>
      <c r="M67" s="9">
        <v>8948000</v>
      </c>
      <c r="N67" s="5">
        <f ca="1">DATEDIF(Table1[[#This Row],[EMI_payment_date]],TODAY(),"m")</f>
        <v>24</v>
      </c>
      <c r="O67" s="9">
        <f ca="1">Table1[[#This Row],[month_paid]]*Table1[[#This Row],[monthly_EMI]]</f>
        <v>5248800</v>
      </c>
      <c r="P67" s="1">
        <v>5.14</v>
      </c>
      <c r="Q67" s="9">
        <f>Table1[[#This Row],[monthly_income]]*30%</f>
        <v>218700</v>
      </c>
      <c r="R67" s="1">
        <f>ROUNDUP(NPER(P67/100/12,-Q67,Table1[[#This Row],[Loan_Amount]]),0)</f>
        <v>46</v>
      </c>
      <c r="S67" s="1">
        <v>791</v>
      </c>
      <c r="T67" s="1" t="s">
        <v>20</v>
      </c>
      <c r="U67" s="1" t="str">
        <f>IF(Table1[[#This Row],[Repayment_Status]]="late","bad loan","good loan")</f>
        <v>good loan</v>
      </c>
      <c r="V67" s="1" t="str">
        <f>IF(Table1[[#This Row],[Repayment_Status]]="late","high","low")</f>
        <v>low</v>
      </c>
      <c r="W67" s="1">
        <f>(Table1[[#This Row],[monthly_EMI]]/Table1[[#This Row],[monthly_income]])*100</f>
        <v>30</v>
      </c>
      <c r="X67" s="7">
        <v>8383.1299999999992</v>
      </c>
    </row>
    <row r="68" spans="1:24" x14ac:dyDescent="0.25">
      <c r="A68" s="1" t="s">
        <v>481</v>
      </c>
      <c r="B68" s="2" t="s">
        <v>788</v>
      </c>
      <c r="C68" s="5">
        <v>39</v>
      </c>
      <c r="D68" s="1" t="s">
        <v>26</v>
      </c>
      <c r="E68" s="1" t="s">
        <v>29</v>
      </c>
      <c r="F68" s="1" t="s">
        <v>22</v>
      </c>
      <c r="G68" s="1">
        <f>YEAR(Table1[[#This Row],[Application_Date]])</f>
        <v>2024</v>
      </c>
      <c r="H68" s="1" t="str">
        <f>TEXT(Table1[[#This Row],[EMI_payment_date]],"mmmm")</f>
        <v>July</v>
      </c>
      <c r="I68" s="3">
        <v>45448</v>
      </c>
      <c r="J68" s="3">
        <f>EDATE(Table1[[#This Row],[Application_Date]],1)</f>
        <v>45478</v>
      </c>
      <c r="K68" s="9">
        <v>6036000</v>
      </c>
      <c r="L68" s="9">
        <f>Table1[[#This Row],[Annual_Income]]/12</f>
        <v>503000</v>
      </c>
      <c r="M68" s="9">
        <v>6236000</v>
      </c>
      <c r="N68" s="5">
        <f ca="1">DATEDIF(Table1[[#This Row],[EMI_payment_date]],TODAY(),"m")</f>
        <v>24</v>
      </c>
      <c r="O68" s="9">
        <f ca="1">Table1[[#This Row],[month_paid]]*Table1[[#This Row],[monthly_EMI]]</f>
        <v>3621600</v>
      </c>
      <c r="P68" s="1">
        <v>8.3699999999999992</v>
      </c>
      <c r="Q68" s="9">
        <f>Table1[[#This Row],[monthly_income]]*30%</f>
        <v>150900</v>
      </c>
      <c r="R68" s="1">
        <f>ROUNDUP(NPER(P68/100/12,-Q68,Table1[[#This Row],[Loan_Amount]]),0)</f>
        <v>49</v>
      </c>
      <c r="S68" s="1">
        <v>636</v>
      </c>
      <c r="T68" s="1" t="s">
        <v>37</v>
      </c>
      <c r="U68" s="1" t="str">
        <f>IF(Table1[[#This Row],[Repayment_Status]]="late","bad loan","good loan")</f>
        <v>bad loan</v>
      </c>
      <c r="V68" s="1" t="str">
        <f>IF(Table1[[#This Row],[Repayment_Status]]="late","high","low")</f>
        <v>high</v>
      </c>
      <c r="W68" s="1">
        <f>(Table1[[#This Row],[monthly_EMI]]/Table1[[#This Row],[monthly_income]])*100</f>
        <v>30</v>
      </c>
      <c r="X68" s="7">
        <v>9647.35</v>
      </c>
    </row>
    <row r="69" spans="1:24" x14ac:dyDescent="0.25">
      <c r="A69" s="1" t="s">
        <v>594</v>
      </c>
      <c r="B69" s="2" t="s">
        <v>805</v>
      </c>
      <c r="C69" s="5">
        <v>27</v>
      </c>
      <c r="D69" s="1" t="s">
        <v>26</v>
      </c>
      <c r="E69" s="1" t="s">
        <v>33</v>
      </c>
      <c r="F69" s="1" t="s">
        <v>19</v>
      </c>
      <c r="G69" s="1">
        <f>YEAR(Table1[[#This Row],[Application_Date]])</f>
        <v>2024</v>
      </c>
      <c r="H69" s="1" t="str">
        <f>TEXT(Table1[[#This Row],[EMI_payment_date]],"mmmm")</f>
        <v>July</v>
      </c>
      <c r="I69" s="3">
        <v>45449</v>
      </c>
      <c r="J69" s="3">
        <f>EDATE(Table1[[#This Row],[Application_Date]],1)</f>
        <v>45479</v>
      </c>
      <c r="K69" s="9">
        <v>7392000</v>
      </c>
      <c r="L69" s="9">
        <f>Table1[[#This Row],[Annual_Income]]/12</f>
        <v>616000</v>
      </c>
      <c r="M69" s="9">
        <v>7592000</v>
      </c>
      <c r="N69" s="5">
        <f ca="1">DATEDIF(Table1[[#This Row],[EMI_payment_date]],TODAY(),"m")</f>
        <v>24</v>
      </c>
      <c r="O69" s="9">
        <f ca="1">Table1[[#This Row],[month_paid]]*Table1[[#This Row],[monthly_EMI]]</f>
        <v>4435200</v>
      </c>
      <c r="P69" s="1">
        <v>9.2100000000000009</v>
      </c>
      <c r="Q69" s="9">
        <f>Table1[[#This Row],[monthly_income]]*30%</f>
        <v>184800</v>
      </c>
      <c r="R69" s="1">
        <f>ROUNDUP(NPER(P69/100/12,-Q69,Table1[[#This Row],[Loan_Amount]]),0)</f>
        <v>50</v>
      </c>
      <c r="S69" s="1">
        <v>682</v>
      </c>
      <c r="T69" s="1" t="s">
        <v>20</v>
      </c>
      <c r="U69" s="1" t="str">
        <f>IF(Table1[[#This Row],[Repayment_Status]]="late","bad loan","good loan")</f>
        <v>good loan</v>
      </c>
      <c r="V69" s="1" t="str">
        <f>IF(Table1[[#This Row],[Repayment_Status]]="late","high","low")</f>
        <v>low</v>
      </c>
      <c r="W69" s="1">
        <f>(Table1[[#This Row],[monthly_EMI]]/Table1[[#This Row],[monthly_income]])*100</f>
        <v>30</v>
      </c>
      <c r="X69" s="7">
        <v>26634.400000000001</v>
      </c>
    </row>
    <row r="70" spans="1:24" x14ac:dyDescent="0.25">
      <c r="A70" s="1" t="s">
        <v>410</v>
      </c>
      <c r="B70" s="2" t="s">
        <v>774</v>
      </c>
      <c r="C70" s="5">
        <v>57</v>
      </c>
      <c r="D70" s="1" t="s">
        <v>15</v>
      </c>
      <c r="E70" s="1" t="s">
        <v>27</v>
      </c>
      <c r="F70" s="1" t="s">
        <v>51</v>
      </c>
      <c r="G70" s="1">
        <f>YEAR(Table1[[#This Row],[Application_Date]])</f>
        <v>2024</v>
      </c>
      <c r="H70" s="1" t="str">
        <f>TEXT(Table1[[#This Row],[EMI_payment_date]],"mmmm")</f>
        <v>July</v>
      </c>
      <c r="I70" s="3">
        <v>45450</v>
      </c>
      <c r="J70" s="3">
        <f>EDATE(Table1[[#This Row],[Application_Date]],1)</f>
        <v>45480</v>
      </c>
      <c r="K70" s="9">
        <v>5184000</v>
      </c>
      <c r="L70" s="9">
        <f>Table1[[#This Row],[Annual_Income]]/12</f>
        <v>432000</v>
      </c>
      <c r="M70" s="9">
        <v>5384000</v>
      </c>
      <c r="N70" s="5">
        <f ca="1">DATEDIF(Table1[[#This Row],[EMI_payment_date]],TODAY(),"m")</f>
        <v>24</v>
      </c>
      <c r="O70" s="9">
        <f ca="1">Table1[[#This Row],[month_paid]]*Table1[[#This Row],[monthly_EMI]]</f>
        <v>3110400</v>
      </c>
      <c r="P70" s="1">
        <v>5.79</v>
      </c>
      <c r="Q70" s="9">
        <f>Table1[[#This Row],[monthly_income]]*30%</f>
        <v>129600</v>
      </c>
      <c r="R70" s="1">
        <f>ROUNDUP(NPER(P70/100/12,-Q70,Table1[[#This Row],[Loan_Amount]]),0)</f>
        <v>47</v>
      </c>
      <c r="S70" s="1">
        <v>622</v>
      </c>
      <c r="T70" s="1" t="s">
        <v>37</v>
      </c>
      <c r="U70" s="1" t="str">
        <f>IF(Table1[[#This Row],[Repayment_Status]]="late","bad loan","good loan")</f>
        <v>bad loan</v>
      </c>
      <c r="V70" s="1" t="str">
        <f>IF(Table1[[#This Row],[Repayment_Status]]="late","high","low")</f>
        <v>high</v>
      </c>
      <c r="W70" s="1">
        <f>(Table1[[#This Row],[monthly_EMI]]/Table1[[#This Row],[monthly_income]])*100</f>
        <v>30</v>
      </c>
      <c r="X70" s="7">
        <v>14225.97</v>
      </c>
    </row>
    <row r="71" spans="1:24" x14ac:dyDescent="0.25">
      <c r="A71" s="1" t="s">
        <v>100</v>
      </c>
      <c r="B71" s="2" t="s">
        <v>789</v>
      </c>
      <c r="C71" s="5">
        <v>44</v>
      </c>
      <c r="D71" s="1" t="s">
        <v>15</v>
      </c>
      <c r="E71" s="1" t="s">
        <v>29</v>
      </c>
      <c r="F71" s="1" t="s">
        <v>19</v>
      </c>
      <c r="G71" s="1">
        <f>YEAR(Table1[[#This Row],[Application_Date]])</f>
        <v>2024</v>
      </c>
      <c r="H71" s="1" t="str">
        <f>TEXT(Table1[[#This Row],[EMI_payment_date]],"mmmm")</f>
        <v>July</v>
      </c>
      <c r="I71" s="3">
        <v>45451</v>
      </c>
      <c r="J71" s="3">
        <f>EDATE(Table1[[#This Row],[Application_Date]],1)</f>
        <v>45481</v>
      </c>
      <c r="K71" s="9">
        <v>1452000</v>
      </c>
      <c r="L71" s="9">
        <f>Table1[[#This Row],[Annual_Income]]/12</f>
        <v>121000</v>
      </c>
      <c r="M71" s="9">
        <v>1652000</v>
      </c>
      <c r="N71" s="5">
        <f ca="1">DATEDIF(Table1[[#This Row],[EMI_payment_date]],TODAY(),"m")</f>
        <v>24</v>
      </c>
      <c r="O71" s="9">
        <f ca="1">Table1[[#This Row],[month_paid]]*Table1[[#This Row],[monthly_EMI]]</f>
        <v>871200</v>
      </c>
      <c r="P71" s="1">
        <v>5.53</v>
      </c>
      <c r="Q71" s="9">
        <f>Table1[[#This Row],[monthly_income]]*30%</f>
        <v>36300</v>
      </c>
      <c r="R71" s="1">
        <f>ROUNDUP(NPER(P71/100/12,-Q71,Table1[[#This Row],[Loan_Amount]]),0)</f>
        <v>52</v>
      </c>
      <c r="S71" s="1">
        <v>664</v>
      </c>
      <c r="T71" s="1" t="s">
        <v>20</v>
      </c>
      <c r="U71" s="1" t="str">
        <f>IF(Table1[[#This Row],[Repayment_Status]]="late","bad loan","good loan")</f>
        <v>good loan</v>
      </c>
      <c r="V71" s="1" t="str">
        <f>IF(Table1[[#This Row],[Repayment_Status]]="late","high","low")</f>
        <v>low</v>
      </c>
      <c r="W71" s="1">
        <f>(Table1[[#This Row],[monthly_EMI]]/Table1[[#This Row],[monthly_income]])*100</f>
        <v>30</v>
      </c>
      <c r="X71" s="7">
        <v>13284.07</v>
      </c>
    </row>
    <row r="72" spans="1:24" x14ac:dyDescent="0.25">
      <c r="A72" s="1" t="s">
        <v>263</v>
      </c>
      <c r="B72" s="2" t="s">
        <v>816</v>
      </c>
      <c r="C72" s="5">
        <v>44</v>
      </c>
      <c r="D72" s="1" t="s">
        <v>15</v>
      </c>
      <c r="E72" s="1" t="s">
        <v>27</v>
      </c>
      <c r="F72" s="1" t="s">
        <v>22</v>
      </c>
      <c r="G72" s="1">
        <f>YEAR(Table1[[#This Row],[Application_Date]])</f>
        <v>2024</v>
      </c>
      <c r="H72" s="1" t="str">
        <f>TEXT(Table1[[#This Row],[EMI_payment_date]],"mmmm")</f>
        <v>July</v>
      </c>
      <c r="I72" s="3">
        <v>45452</v>
      </c>
      <c r="J72" s="3">
        <f>EDATE(Table1[[#This Row],[Application_Date]],1)</f>
        <v>45482</v>
      </c>
      <c r="K72" s="9">
        <v>3420000</v>
      </c>
      <c r="L72" s="9">
        <f>Table1[[#This Row],[Annual_Income]]/12</f>
        <v>285000</v>
      </c>
      <c r="M72" s="9">
        <v>3620000</v>
      </c>
      <c r="N72" s="5">
        <f ca="1">DATEDIF(Table1[[#This Row],[EMI_payment_date]],TODAY(),"m")</f>
        <v>24</v>
      </c>
      <c r="O72" s="9">
        <f ca="1">Table1[[#This Row],[month_paid]]*Table1[[#This Row],[monthly_EMI]]</f>
        <v>2052000</v>
      </c>
      <c r="P72" s="1">
        <v>7.06</v>
      </c>
      <c r="Q72" s="9">
        <f>Table1[[#This Row],[monthly_income]]*30%</f>
        <v>85500</v>
      </c>
      <c r="R72" s="1">
        <f>ROUNDUP(NPER(P72/100/12,-Q72,Table1[[#This Row],[Loan_Amount]]),0)</f>
        <v>49</v>
      </c>
      <c r="S72" s="1">
        <v>633</v>
      </c>
      <c r="T72" s="1" t="s">
        <v>20</v>
      </c>
      <c r="U72" s="1" t="str">
        <f>IF(Table1[[#This Row],[Repayment_Status]]="late","bad loan","good loan")</f>
        <v>good loan</v>
      </c>
      <c r="V72" s="1" t="str">
        <f>IF(Table1[[#This Row],[Repayment_Status]]="late","high","low")</f>
        <v>low</v>
      </c>
      <c r="W72" s="1">
        <f>(Table1[[#This Row],[monthly_EMI]]/Table1[[#This Row],[monthly_income]])*100</f>
        <v>30</v>
      </c>
      <c r="X72" s="7">
        <v>26709.84</v>
      </c>
    </row>
    <row r="73" spans="1:24" x14ac:dyDescent="0.25">
      <c r="A73" s="1" t="s">
        <v>413</v>
      </c>
      <c r="B73" s="2" t="s">
        <v>778</v>
      </c>
      <c r="C73" s="5">
        <v>48</v>
      </c>
      <c r="D73" s="1" t="s">
        <v>26</v>
      </c>
      <c r="E73" s="1" t="s">
        <v>36</v>
      </c>
      <c r="F73" s="1" t="s">
        <v>19</v>
      </c>
      <c r="G73" s="1">
        <f>YEAR(Table1[[#This Row],[Application_Date]])</f>
        <v>2024</v>
      </c>
      <c r="H73" s="1" t="str">
        <f>TEXT(Table1[[#This Row],[EMI_payment_date]],"mmmm")</f>
        <v>July</v>
      </c>
      <c r="I73" s="3">
        <v>45453</v>
      </c>
      <c r="J73" s="3">
        <f>EDATE(Table1[[#This Row],[Application_Date]],1)</f>
        <v>45483</v>
      </c>
      <c r="K73" s="9">
        <v>5220000</v>
      </c>
      <c r="L73" s="9">
        <f>Table1[[#This Row],[Annual_Income]]/12</f>
        <v>435000</v>
      </c>
      <c r="M73" s="9">
        <v>5420000</v>
      </c>
      <c r="N73" s="5">
        <f ca="1">DATEDIF(Table1[[#This Row],[EMI_payment_date]],TODAY(),"m")</f>
        <v>24</v>
      </c>
      <c r="O73" s="9">
        <f ca="1">Table1[[#This Row],[month_paid]]*Table1[[#This Row],[monthly_EMI]]</f>
        <v>3132000</v>
      </c>
      <c r="P73" s="1">
        <v>8.82</v>
      </c>
      <c r="Q73" s="9">
        <f>Table1[[#This Row],[monthly_income]]*30%</f>
        <v>130500</v>
      </c>
      <c r="R73" s="1">
        <f>ROUNDUP(NPER(P73/100/12,-Q73,Table1[[#This Row],[Loan_Amount]]),0)</f>
        <v>50</v>
      </c>
      <c r="S73" s="1">
        <v>649</v>
      </c>
      <c r="T73" s="1" t="s">
        <v>20</v>
      </c>
      <c r="U73" s="1" t="str">
        <f>IF(Table1[[#This Row],[Repayment_Status]]="late","bad loan","good loan")</f>
        <v>good loan</v>
      </c>
      <c r="V73" s="1" t="str">
        <f>IF(Table1[[#This Row],[Repayment_Status]]="late","high","low")</f>
        <v>low</v>
      </c>
      <c r="W73" s="1">
        <f>(Table1[[#This Row],[monthly_EMI]]/Table1[[#This Row],[monthly_income]])*100</f>
        <v>30</v>
      </c>
      <c r="X73" s="7">
        <v>38089.81</v>
      </c>
    </row>
    <row r="74" spans="1:24" x14ac:dyDescent="0.25">
      <c r="A74" s="1" t="s">
        <v>194</v>
      </c>
      <c r="B74" s="2" t="s">
        <v>821</v>
      </c>
      <c r="C74" s="5">
        <v>26</v>
      </c>
      <c r="D74" s="1" t="s">
        <v>26</v>
      </c>
      <c r="E74" s="1" t="s">
        <v>27</v>
      </c>
      <c r="F74" s="1" t="s">
        <v>17</v>
      </c>
      <c r="G74" s="1">
        <f>YEAR(Table1[[#This Row],[Application_Date]])</f>
        <v>2024</v>
      </c>
      <c r="H74" s="1" t="str">
        <f>TEXT(Table1[[#This Row],[EMI_payment_date]],"mmmm")</f>
        <v>July</v>
      </c>
      <c r="I74" s="3">
        <v>45454</v>
      </c>
      <c r="J74" s="3">
        <f>EDATE(Table1[[#This Row],[Application_Date]],1)</f>
        <v>45484</v>
      </c>
      <c r="K74" s="9">
        <v>2592000</v>
      </c>
      <c r="L74" s="9">
        <f>Table1[[#This Row],[Annual_Income]]/12</f>
        <v>216000</v>
      </c>
      <c r="M74" s="9">
        <v>2792000</v>
      </c>
      <c r="N74" s="5">
        <f ca="1">DATEDIF(Table1[[#This Row],[EMI_payment_date]],TODAY(),"m")</f>
        <v>24</v>
      </c>
      <c r="O74" s="9">
        <f ca="1">Table1[[#This Row],[month_paid]]*Table1[[#This Row],[monthly_EMI]]</f>
        <v>1555200</v>
      </c>
      <c r="P74" s="1">
        <v>6.62</v>
      </c>
      <c r="Q74" s="9">
        <f>Table1[[#This Row],[monthly_income]]*30%</f>
        <v>64800</v>
      </c>
      <c r="R74" s="1">
        <f>ROUNDUP(NPER(P74/100/12,-Q74,Table1[[#This Row],[Loan_Amount]]),0)</f>
        <v>50</v>
      </c>
      <c r="S74" s="1">
        <v>796</v>
      </c>
      <c r="T74" s="1" t="s">
        <v>20</v>
      </c>
      <c r="U74" s="1" t="str">
        <f>IF(Table1[[#This Row],[Repayment_Status]]="late","bad loan","good loan")</f>
        <v>good loan</v>
      </c>
      <c r="V74" s="1" t="str">
        <f>IF(Table1[[#This Row],[Repayment_Status]]="late","high","low")</f>
        <v>low</v>
      </c>
      <c r="W74" s="1">
        <f>(Table1[[#This Row],[monthly_EMI]]/Table1[[#This Row],[monthly_income]])*100</f>
        <v>30</v>
      </c>
      <c r="X74" s="7">
        <v>20914.53</v>
      </c>
    </row>
    <row r="75" spans="1:24" x14ac:dyDescent="0.25">
      <c r="A75" s="1" t="s">
        <v>442</v>
      </c>
      <c r="B75" s="2" t="s">
        <v>891</v>
      </c>
      <c r="C75" s="5">
        <v>23</v>
      </c>
      <c r="D75" s="1" t="s">
        <v>26</v>
      </c>
      <c r="E75" s="1" t="s">
        <v>16</v>
      </c>
      <c r="F75" s="1" t="s">
        <v>51</v>
      </c>
      <c r="G75" s="1">
        <f>YEAR(Table1[[#This Row],[Application_Date]])</f>
        <v>2024</v>
      </c>
      <c r="H75" s="1" t="str">
        <f>TEXT(Table1[[#This Row],[EMI_payment_date]],"mmmm")</f>
        <v>July</v>
      </c>
      <c r="I75" s="3">
        <v>45455</v>
      </c>
      <c r="J75" s="3">
        <f>EDATE(Table1[[#This Row],[Application_Date]],1)</f>
        <v>45485</v>
      </c>
      <c r="K75" s="9">
        <v>5568000</v>
      </c>
      <c r="L75" s="9">
        <f>Table1[[#This Row],[Annual_Income]]/12</f>
        <v>464000</v>
      </c>
      <c r="M75" s="9">
        <v>5768000</v>
      </c>
      <c r="N75" s="5">
        <f ca="1">DATEDIF(Table1[[#This Row],[EMI_payment_date]],TODAY(),"m")</f>
        <v>24</v>
      </c>
      <c r="O75" s="9">
        <f ca="1">Table1[[#This Row],[month_paid]]*Table1[[#This Row],[monthly_EMI]]</f>
        <v>3340800</v>
      </c>
      <c r="P75" s="1">
        <v>6.35</v>
      </c>
      <c r="Q75" s="9">
        <f>Table1[[#This Row],[monthly_income]]*30%</f>
        <v>139200</v>
      </c>
      <c r="R75" s="1">
        <f>ROUNDUP(NPER(P75/100/12,-Q75,Table1[[#This Row],[Loan_Amount]]),0)</f>
        <v>47</v>
      </c>
      <c r="S75" s="1">
        <v>714</v>
      </c>
      <c r="T75" s="1" t="s">
        <v>37</v>
      </c>
      <c r="U75" s="1" t="str">
        <f>IF(Table1[[#This Row],[Repayment_Status]]="late","bad loan","good loan")</f>
        <v>bad loan</v>
      </c>
      <c r="V75" s="1" t="str">
        <f>IF(Table1[[#This Row],[Repayment_Status]]="late","high","low")</f>
        <v>high</v>
      </c>
      <c r="W75" s="1">
        <f>(Table1[[#This Row],[monthly_EMI]]/Table1[[#This Row],[monthly_income]])*100</f>
        <v>30</v>
      </c>
      <c r="X75" s="7">
        <v>21803.96</v>
      </c>
    </row>
    <row r="76" spans="1:24" x14ac:dyDescent="0.25">
      <c r="A76" s="1" t="s">
        <v>654</v>
      </c>
      <c r="B76" s="2" t="s">
        <v>827</v>
      </c>
      <c r="C76" s="5">
        <v>58</v>
      </c>
      <c r="D76" s="1" t="s">
        <v>15</v>
      </c>
      <c r="E76" s="1" t="s">
        <v>33</v>
      </c>
      <c r="F76" s="1" t="s">
        <v>17</v>
      </c>
      <c r="G76" s="1">
        <f>YEAR(Table1[[#This Row],[Application_Date]])</f>
        <v>2024</v>
      </c>
      <c r="H76" s="1" t="str">
        <f>TEXT(Table1[[#This Row],[EMI_payment_date]],"mmmm")</f>
        <v>July</v>
      </c>
      <c r="I76" s="3">
        <v>45456</v>
      </c>
      <c r="J76" s="3">
        <f>EDATE(Table1[[#This Row],[Application_Date]],1)</f>
        <v>45486</v>
      </c>
      <c r="K76" s="9">
        <v>8112000</v>
      </c>
      <c r="L76" s="9">
        <f>Table1[[#This Row],[Annual_Income]]/12</f>
        <v>676000</v>
      </c>
      <c r="M76" s="9">
        <v>8312000</v>
      </c>
      <c r="N76" s="5">
        <f ca="1">DATEDIF(Table1[[#This Row],[EMI_payment_date]],TODAY(),"m")</f>
        <v>24</v>
      </c>
      <c r="O76" s="9">
        <f ca="1">Table1[[#This Row],[month_paid]]*Table1[[#This Row],[monthly_EMI]]</f>
        <v>4867200</v>
      </c>
      <c r="P76" s="1">
        <v>8.42</v>
      </c>
      <c r="Q76" s="9">
        <f>Table1[[#This Row],[monthly_income]]*30%</f>
        <v>202800</v>
      </c>
      <c r="R76" s="1">
        <f>ROUNDUP(NPER(P76/100/12,-Q76,Table1[[#This Row],[Loan_Amount]]),0)</f>
        <v>49</v>
      </c>
      <c r="S76" s="1">
        <v>741</v>
      </c>
      <c r="T76" s="1" t="s">
        <v>20</v>
      </c>
      <c r="U76" s="1" t="str">
        <f>IF(Table1[[#This Row],[Repayment_Status]]="late","bad loan","good loan")</f>
        <v>good loan</v>
      </c>
      <c r="V76" s="1" t="str">
        <f>IF(Table1[[#This Row],[Repayment_Status]]="late","high","low")</f>
        <v>low</v>
      </c>
      <c r="W76" s="1">
        <f>(Table1[[#This Row],[monthly_EMI]]/Table1[[#This Row],[monthly_income]])*100</f>
        <v>30</v>
      </c>
      <c r="X76" s="7">
        <v>35202.76</v>
      </c>
    </row>
    <row r="77" spans="1:24" x14ac:dyDescent="0.25">
      <c r="A77" s="1" t="s">
        <v>667</v>
      </c>
      <c r="B77" s="2" t="s">
        <v>866</v>
      </c>
      <c r="C77" s="5">
        <v>31</v>
      </c>
      <c r="D77" s="1" t="s">
        <v>26</v>
      </c>
      <c r="E77" s="1" t="s">
        <v>29</v>
      </c>
      <c r="F77" s="1" t="s">
        <v>51</v>
      </c>
      <c r="G77" s="1">
        <f>YEAR(Table1[[#This Row],[Application_Date]])</f>
        <v>2024</v>
      </c>
      <c r="H77" s="1" t="str">
        <f>TEXT(Table1[[#This Row],[EMI_payment_date]],"mmmm")</f>
        <v>July</v>
      </c>
      <c r="I77" s="3">
        <v>45457</v>
      </c>
      <c r="J77" s="3">
        <f>EDATE(Table1[[#This Row],[Application_Date]],1)</f>
        <v>45487</v>
      </c>
      <c r="K77" s="9">
        <v>8268000</v>
      </c>
      <c r="L77" s="9">
        <f>Table1[[#This Row],[Annual_Income]]/12</f>
        <v>689000</v>
      </c>
      <c r="M77" s="9">
        <v>8468000</v>
      </c>
      <c r="N77" s="5">
        <f ca="1">DATEDIF(Table1[[#This Row],[EMI_payment_date]],TODAY(),"m")</f>
        <v>24</v>
      </c>
      <c r="O77" s="9">
        <f ca="1">Table1[[#This Row],[month_paid]]*Table1[[#This Row],[monthly_EMI]]</f>
        <v>4960800</v>
      </c>
      <c r="P77" s="1">
        <v>6.03</v>
      </c>
      <c r="Q77" s="9">
        <f>Table1[[#This Row],[monthly_income]]*30%</f>
        <v>206700</v>
      </c>
      <c r="R77" s="1">
        <f>ROUNDUP(NPER(P77/100/12,-Q77,Table1[[#This Row],[Loan_Amount]]),0)</f>
        <v>46</v>
      </c>
      <c r="S77" s="1">
        <v>773</v>
      </c>
      <c r="T77" s="1" t="s">
        <v>20</v>
      </c>
      <c r="U77" s="1" t="str">
        <f>IF(Table1[[#This Row],[Repayment_Status]]="late","bad loan","good loan")</f>
        <v>good loan</v>
      </c>
      <c r="V77" s="1" t="str">
        <f>IF(Table1[[#This Row],[Repayment_Status]]="late","high","low")</f>
        <v>low</v>
      </c>
      <c r="W77" s="1">
        <f>(Table1[[#This Row],[monthly_EMI]]/Table1[[#This Row],[monthly_income]])*100</f>
        <v>30</v>
      </c>
      <c r="X77" s="7">
        <v>26021.66</v>
      </c>
    </row>
    <row r="78" spans="1:24" x14ac:dyDescent="0.25">
      <c r="A78" s="1" t="s">
        <v>479</v>
      </c>
      <c r="B78" s="2" t="s">
        <v>735</v>
      </c>
      <c r="C78" s="5">
        <v>38</v>
      </c>
      <c r="D78" s="1" t="s">
        <v>15</v>
      </c>
      <c r="E78" s="1" t="s">
        <v>33</v>
      </c>
      <c r="F78" s="1" t="s">
        <v>22</v>
      </c>
      <c r="G78" s="1">
        <f>YEAR(Table1[[#This Row],[Application_Date]])</f>
        <v>2024</v>
      </c>
      <c r="H78" s="1" t="str">
        <f>TEXT(Table1[[#This Row],[EMI_payment_date]],"mmmm")</f>
        <v>July</v>
      </c>
      <c r="I78" s="3">
        <v>45458</v>
      </c>
      <c r="J78" s="3">
        <f>EDATE(Table1[[#This Row],[Application_Date]],1)</f>
        <v>45488</v>
      </c>
      <c r="K78" s="9">
        <v>6012000</v>
      </c>
      <c r="L78" s="9">
        <f>Table1[[#This Row],[Annual_Income]]/12</f>
        <v>501000</v>
      </c>
      <c r="M78" s="9">
        <v>6212000</v>
      </c>
      <c r="N78" s="5">
        <f ca="1">DATEDIF(Table1[[#This Row],[EMI_payment_date]],TODAY(),"m")</f>
        <v>24</v>
      </c>
      <c r="O78" s="9">
        <f ca="1">Table1[[#This Row],[month_paid]]*Table1[[#This Row],[monthly_EMI]]</f>
        <v>3607200</v>
      </c>
      <c r="P78" s="1">
        <v>8.73</v>
      </c>
      <c r="Q78" s="9">
        <f>Table1[[#This Row],[monthly_income]]*30%</f>
        <v>150300</v>
      </c>
      <c r="R78" s="1">
        <f>ROUNDUP(NPER(P78/100/12,-Q78,Table1[[#This Row],[Loan_Amount]]),0)</f>
        <v>50</v>
      </c>
      <c r="S78" s="1">
        <v>676</v>
      </c>
      <c r="T78" s="1" t="s">
        <v>20</v>
      </c>
      <c r="U78" s="1" t="str">
        <f>IF(Table1[[#This Row],[Repayment_Status]]="late","bad loan","good loan")</f>
        <v>good loan</v>
      </c>
      <c r="V78" s="1" t="str">
        <f>IF(Table1[[#This Row],[Repayment_Status]]="late","high","low")</f>
        <v>low</v>
      </c>
      <c r="W78" s="1">
        <f>(Table1[[#This Row],[monthly_EMI]]/Table1[[#This Row],[monthly_income]])*100</f>
        <v>30</v>
      </c>
      <c r="X78" s="7">
        <v>31133.47</v>
      </c>
    </row>
    <row r="79" spans="1:24" x14ac:dyDescent="0.25">
      <c r="A79" s="1" t="s">
        <v>610</v>
      </c>
      <c r="B79" s="2" t="s">
        <v>781</v>
      </c>
      <c r="C79" s="5">
        <v>26</v>
      </c>
      <c r="D79" s="1" t="s">
        <v>15</v>
      </c>
      <c r="E79" s="1" t="s">
        <v>24</v>
      </c>
      <c r="F79" s="1" t="s">
        <v>31</v>
      </c>
      <c r="G79" s="1">
        <f>YEAR(Table1[[#This Row],[Application_Date]])</f>
        <v>2024</v>
      </c>
      <c r="H79" s="1" t="str">
        <f>TEXT(Table1[[#This Row],[EMI_payment_date]],"mmmm")</f>
        <v>July</v>
      </c>
      <c r="I79" s="3">
        <v>45459</v>
      </c>
      <c r="J79" s="3">
        <f>EDATE(Table1[[#This Row],[Application_Date]],1)</f>
        <v>45489</v>
      </c>
      <c r="K79" s="9">
        <v>7584000</v>
      </c>
      <c r="L79" s="9">
        <f>Table1[[#This Row],[Annual_Income]]/12</f>
        <v>632000</v>
      </c>
      <c r="M79" s="9">
        <v>7784000</v>
      </c>
      <c r="N79" s="5">
        <f ca="1">DATEDIF(Table1[[#This Row],[EMI_payment_date]],TODAY(),"m")</f>
        <v>24</v>
      </c>
      <c r="O79" s="9">
        <f ca="1">Table1[[#This Row],[month_paid]]*Table1[[#This Row],[monthly_EMI]]</f>
        <v>4550400</v>
      </c>
      <c r="P79" s="1">
        <v>6.53</v>
      </c>
      <c r="Q79" s="9">
        <f>Table1[[#This Row],[monthly_income]]*30%</f>
        <v>189600</v>
      </c>
      <c r="R79" s="1">
        <f>ROUNDUP(NPER(P79/100/12,-Q79,Table1[[#This Row],[Loan_Amount]]),0)</f>
        <v>47</v>
      </c>
      <c r="S79" s="1">
        <v>685</v>
      </c>
      <c r="T79" s="1" t="s">
        <v>20</v>
      </c>
      <c r="U79" s="1" t="str">
        <f>IF(Table1[[#This Row],[Repayment_Status]]="late","bad loan","good loan")</f>
        <v>good loan</v>
      </c>
      <c r="V79" s="1" t="str">
        <f>IF(Table1[[#This Row],[Repayment_Status]]="late","high","low")</f>
        <v>low</v>
      </c>
      <c r="W79" s="1">
        <f>(Table1[[#This Row],[monthly_EMI]]/Table1[[#This Row],[monthly_income]])*100</f>
        <v>30</v>
      </c>
      <c r="X79" s="7">
        <v>26893.14</v>
      </c>
    </row>
    <row r="80" spans="1:24" x14ac:dyDescent="0.25">
      <c r="A80" s="1" t="s">
        <v>78</v>
      </c>
      <c r="B80" s="2" t="s">
        <v>775</v>
      </c>
      <c r="C80" s="5">
        <v>21</v>
      </c>
      <c r="D80" s="1" t="s">
        <v>26</v>
      </c>
      <c r="E80" s="1" t="s">
        <v>33</v>
      </c>
      <c r="F80" s="1" t="s">
        <v>31</v>
      </c>
      <c r="G80" s="1">
        <f>YEAR(Table1[[#This Row],[Application_Date]])</f>
        <v>2024</v>
      </c>
      <c r="H80" s="1" t="str">
        <f>TEXT(Table1[[#This Row],[EMI_payment_date]],"mmmm")</f>
        <v>July</v>
      </c>
      <c r="I80" s="3">
        <v>45460</v>
      </c>
      <c r="J80" s="3">
        <f>EDATE(Table1[[#This Row],[Application_Date]],1)</f>
        <v>45490</v>
      </c>
      <c r="K80" s="9">
        <v>1188000</v>
      </c>
      <c r="L80" s="9">
        <f>Table1[[#This Row],[Annual_Income]]/12</f>
        <v>99000</v>
      </c>
      <c r="M80" s="9">
        <v>1388000</v>
      </c>
      <c r="N80" s="5">
        <f ca="1">DATEDIF(Table1[[#This Row],[EMI_payment_date]],TODAY(),"m")</f>
        <v>24</v>
      </c>
      <c r="O80" s="9">
        <f ca="1">Table1[[#This Row],[month_paid]]*Table1[[#This Row],[monthly_EMI]]</f>
        <v>712800</v>
      </c>
      <c r="P80" s="1">
        <v>9.07</v>
      </c>
      <c r="Q80" s="9">
        <f>Table1[[#This Row],[monthly_income]]*30%</f>
        <v>29700</v>
      </c>
      <c r="R80" s="1">
        <f>ROUNDUP(NPER(P80/100/12,-Q80,Table1[[#This Row],[Loan_Amount]]),0)</f>
        <v>58</v>
      </c>
      <c r="S80" s="1">
        <v>671</v>
      </c>
      <c r="T80" s="1" t="s">
        <v>37</v>
      </c>
      <c r="U80" s="1" t="str">
        <f>IF(Table1[[#This Row],[Repayment_Status]]="late","bad loan","good loan")</f>
        <v>bad loan</v>
      </c>
      <c r="V80" s="1" t="str">
        <f>IF(Table1[[#This Row],[Repayment_Status]]="late","high","low")</f>
        <v>high</v>
      </c>
      <c r="W80" s="1">
        <f>(Table1[[#This Row],[monthly_EMI]]/Table1[[#This Row],[monthly_income]])*100</f>
        <v>30</v>
      </c>
      <c r="X80" s="7">
        <v>20326.849999999999</v>
      </c>
    </row>
    <row r="81" spans="1:24" x14ac:dyDescent="0.25">
      <c r="A81" s="1" t="s">
        <v>538</v>
      </c>
      <c r="B81" s="2" t="s">
        <v>736</v>
      </c>
      <c r="C81" s="5">
        <v>22</v>
      </c>
      <c r="D81" s="1" t="s">
        <v>26</v>
      </c>
      <c r="E81" s="1" t="s">
        <v>36</v>
      </c>
      <c r="F81" s="1" t="s">
        <v>51</v>
      </c>
      <c r="G81" s="1">
        <f>YEAR(Table1[[#This Row],[Application_Date]])</f>
        <v>2024</v>
      </c>
      <c r="H81" s="1" t="str">
        <f>TEXT(Table1[[#This Row],[EMI_payment_date]],"mmmm")</f>
        <v>July</v>
      </c>
      <c r="I81" s="3">
        <v>45461</v>
      </c>
      <c r="J81" s="3">
        <f>EDATE(Table1[[#This Row],[Application_Date]],1)</f>
        <v>45491</v>
      </c>
      <c r="K81" s="9">
        <v>6720000</v>
      </c>
      <c r="L81" s="9">
        <f>Table1[[#This Row],[Annual_Income]]/12</f>
        <v>560000</v>
      </c>
      <c r="M81" s="9">
        <v>6920000</v>
      </c>
      <c r="N81" s="5">
        <f ca="1">DATEDIF(Table1[[#This Row],[EMI_payment_date]],TODAY(),"m")</f>
        <v>24</v>
      </c>
      <c r="O81" s="9">
        <f ca="1">Table1[[#This Row],[month_paid]]*Table1[[#This Row],[monthly_EMI]]</f>
        <v>4032000</v>
      </c>
      <c r="P81" s="1">
        <v>9.9700000000000006</v>
      </c>
      <c r="Q81" s="9">
        <f>Table1[[#This Row],[monthly_income]]*30%</f>
        <v>168000</v>
      </c>
      <c r="R81" s="1">
        <f>ROUNDUP(NPER(P81/100/12,-Q81,Table1[[#This Row],[Loan_Amount]]),0)</f>
        <v>51</v>
      </c>
      <c r="S81" s="1">
        <v>606</v>
      </c>
      <c r="T81" s="1" t="s">
        <v>37</v>
      </c>
      <c r="U81" s="1" t="str">
        <f>IF(Table1[[#This Row],[Repayment_Status]]="late","bad loan","good loan")</f>
        <v>bad loan</v>
      </c>
      <c r="V81" s="1" t="str">
        <f>IF(Table1[[#This Row],[Repayment_Status]]="late","high","low")</f>
        <v>high</v>
      </c>
      <c r="W81" s="1">
        <f>(Table1[[#This Row],[monthly_EMI]]/Table1[[#This Row],[monthly_income]])*100</f>
        <v>30</v>
      </c>
      <c r="X81" s="7">
        <v>21252.33</v>
      </c>
    </row>
    <row r="82" spans="1:24" x14ac:dyDescent="0.25">
      <c r="A82" s="1" t="s">
        <v>359</v>
      </c>
      <c r="B82" s="2" t="s">
        <v>862</v>
      </c>
      <c r="C82" s="5">
        <v>48</v>
      </c>
      <c r="D82" s="1" t="s">
        <v>15</v>
      </c>
      <c r="E82" s="1" t="s">
        <v>36</v>
      </c>
      <c r="F82" s="1" t="s">
        <v>51</v>
      </c>
      <c r="G82" s="1">
        <f>YEAR(Table1[[#This Row],[Application_Date]])</f>
        <v>2024</v>
      </c>
      <c r="H82" s="1" t="str">
        <f>TEXT(Table1[[#This Row],[EMI_payment_date]],"mmmm")</f>
        <v>July</v>
      </c>
      <c r="I82" s="3">
        <v>45462</v>
      </c>
      <c r="J82" s="3">
        <f>EDATE(Table1[[#This Row],[Application_Date]],1)</f>
        <v>45492</v>
      </c>
      <c r="K82" s="9">
        <v>4572000</v>
      </c>
      <c r="L82" s="9">
        <f>Table1[[#This Row],[Annual_Income]]/12</f>
        <v>381000</v>
      </c>
      <c r="M82" s="9">
        <v>4772000</v>
      </c>
      <c r="N82" s="5">
        <f ca="1">DATEDIF(Table1[[#This Row],[EMI_payment_date]],TODAY(),"m")</f>
        <v>24</v>
      </c>
      <c r="O82" s="9">
        <f ca="1">Table1[[#This Row],[month_paid]]*Table1[[#This Row],[monthly_EMI]]</f>
        <v>2743200</v>
      </c>
      <c r="P82" s="1">
        <v>8.65</v>
      </c>
      <c r="Q82" s="9">
        <f>Table1[[#This Row],[monthly_income]]*30%</f>
        <v>114300</v>
      </c>
      <c r="R82" s="1">
        <f>ROUNDUP(NPER(P82/100/12,-Q82,Table1[[#This Row],[Loan_Amount]]),0)</f>
        <v>50</v>
      </c>
      <c r="S82" s="1">
        <v>670</v>
      </c>
      <c r="T82" s="1" t="s">
        <v>20</v>
      </c>
      <c r="U82" s="1" t="str">
        <f>IF(Table1[[#This Row],[Repayment_Status]]="late","bad loan","good loan")</f>
        <v>good loan</v>
      </c>
      <c r="V82" s="1" t="str">
        <f>IF(Table1[[#This Row],[Repayment_Status]]="late","high","low")</f>
        <v>low</v>
      </c>
      <c r="W82" s="1">
        <f>(Table1[[#This Row],[monthly_EMI]]/Table1[[#This Row],[monthly_income]])*100</f>
        <v>30</v>
      </c>
      <c r="X82" s="7">
        <v>24284.6</v>
      </c>
    </row>
    <row r="83" spans="1:24" x14ac:dyDescent="0.25">
      <c r="A83" s="1" t="s">
        <v>616</v>
      </c>
      <c r="B83" s="2" t="s">
        <v>871</v>
      </c>
      <c r="C83" s="5">
        <v>23</v>
      </c>
      <c r="D83" s="1" t="s">
        <v>26</v>
      </c>
      <c r="E83" s="1" t="s">
        <v>27</v>
      </c>
      <c r="F83" s="1" t="s">
        <v>51</v>
      </c>
      <c r="G83" s="1">
        <f>YEAR(Table1[[#This Row],[Application_Date]])</f>
        <v>2024</v>
      </c>
      <c r="H83" s="1" t="str">
        <f>TEXT(Table1[[#This Row],[EMI_payment_date]],"mmmm")</f>
        <v>July</v>
      </c>
      <c r="I83" s="3">
        <v>45463</v>
      </c>
      <c r="J83" s="3">
        <f>EDATE(Table1[[#This Row],[Application_Date]],1)</f>
        <v>45493</v>
      </c>
      <c r="K83" s="9">
        <v>7656000</v>
      </c>
      <c r="L83" s="9">
        <f>Table1[[#This Row],[Annual_Income]]/12</f>
        <v>638000</v>
      </c>
      <c r="M83" s="9">
        <v>7856000</v>
      </c>
      <c r="N83" s="5">
        <f ca="1">DATEDIF(Table1[[#This Row],[EMI_payment_date]],TODAY(),"m")</f>
        <v>24</v>
      </c>
      <c r="O83" s="9">
        <f ca="1">Table1[[#This Row],[month_paid]]*Table1[[#This Row],[monthly_EMI]]</f>
        <v>4593600</v>
      </c>
      <c r="P83" s="1">
        <v>6.26</v>
      </c>
      <c r="Q83" s="9">
        <f>Table1[[#This Row],[monthly_income]]*30%</f>
        <v>191400</v>
      </c>
      <c r="R83" s="1">
        <f>ROUNDUP(NPER(P83/100/12,-Q83,Table1[[#This Row],[Loan_Amount]]),0)</f>
        <v>47</v>
      </c>
      <c r="S83" s="1">
        <v>772</v>
      </c>
      <c r="T83" s="1" t="s">
        <v>20</v>
      </c>
      <c r="U83" s="1" t="str">
        <f>IF(Table1[[#This Row],[Repayment_Status]]="late","bad loan","good loan")</f>
        <v>good loan</v>
      </c>
      <c r="V83" s="1" t="str">
        <f>IF(Table1[[#This Row],[Repayment_Status]]="late","high","low")</f>
        <v>low</v>
      </c>
      <c r="W83" s="1">
        <f>(Table1[[#This Row],[monthly_EMI]]/Table1[[#This Row],[monthly_income]])*100</f>
        <v>30</v>
      </c>
      <c r="X83" s="7">
        <v>19285.38</v>
      </c>
    </row>
    <row r="84" spans="1:24" x14ac:dyDescent="0.25">
      <c r="A84" s="1" t="s">
        <v>626</v>
      </c>
      <c r="B84" s="2" t="s">
        <v>789</v>
      </c>
      <c r="C84" s="5">
        <v>22</v>
      </c>
      <c r="D84" s="1" t="s">
        <v>15</v>
      </c>
      <c r="E84" s="1" t="s">
        <v>24</v>
      </c>
      <c r="F84" s="1" t="s">
        <v>51</v>
      </c>
      <c r="G84" s="1">
        <f>YEAR(Table1[[#This Row],[Application_Date]])</f>
        <v>2024</v>
      </c>
      <c r="H84" s="1" t="str">
        <f>TEXT(Table1[[#This Row],[EMI_payment_date]],"mmmm")</f>
        <v>July</v>
      </c>
      <c r="I84" s="3">
        <v>45464</v>
      </c>
      <c r="J84" s="3">
        <f>EDATE(Table1[[#This Row],[Application_Date]],1)</f>
        <v>45494</v>
      </c>
      <c r="K84" s="9">
        <v>7776000</v>
      </c>
      <c r="L84" s="9">
        <f>Table1[[#This Row],[Annual_Income]]/12</f>
        <v>648000</v>
      </c>
      <c r="M84" s="9">
        <v>7976000</v>
      </c>
      <c r="N84" s="5">
        <f ca="1">DATEDIF(Table1[[#This Row],[EMI_payment_date]],TODAY(),"m")</f>
        <v>24</v>
      </c>
      <c r="O84" s="9">
        <f ca="1">Table1[[#This Row],[month_paid]]*Table1[[#This Row],[monthly_EMI]]</f>
        <v>4665600</v>
      </c>
      <c r="P84" s="1">
        <v>7.14</v>
      </c>
      <c r="Q84" s="9">
        <f>Table1[[#This Row],[monthly_income]]*30%</f>
        <v>194400</v>
      </c>
      <c r="R84" s="1">
        <f>ROUNDUP(NPER(P84/100/12,-Q84,Table1[[#This Row],[Loan_Amount]]),0)</f>
        <v>48</v>
      </c>
      <c r="S84" s="1">
        <v>691</v>
      </c>
      <c r="T84" s="1" t="s">
        <v>37</v>
      </c>
      <c r="U84" s="1" t="str">
        <f>IF(Table1[[#This Row],[Repayment_Status]]="late","bad loan","good loan")</f>
        <v>bad loan</v>
      </c>
      <c r="V84" s="1" t="str">
        <f>IF(Table1[[#This Row],[Repayment_Status]]="late","high","low")</f>
        <v>high</v>
      </c>
      <c r="W84" s="1">
        <f>(Table1[[#This Row],[monthly_EMI]]/Table1[[#This Row],[monthly_income]])*100</f>
        <v>30</v>
      </c>
      <c r="X84" s="7">
        <v>10327.14</v>
      </c>
    </row>
    <row r="85" spans="1:24" x14ac:dyDescent="0.25">
      <c r="A85" s="1" t="s">
        <v>298</v>
      </c>
      <c r="B85" s="2" t="s">
        <v>815</v>
      </c>
      <c r="C85" s="5">
        <v>26</v>
      </c>
      <c r="D85" s="1" t="s">
        <v>26</v>
      </c>
      <c r="E85" s="1" t="s">
        <v>29</v>
      </c>
      <c r="F85" s="1" t="s">
        <v>31</v>
      </c>
      <c r="G85" s="1">
        <f>YEAR(Table1[[#This Row],[Application_Date]])</f>
        <v>2024</v>
      </c>
      <c r="H85" s="1" t="str">
        <f>TEXT(Table1[[#This Row],[EMI_payment_date]],"mmmm")</f>
        <v>July</v>
      </c>
      <c r="I85" s="3">
        <v>45465</v>
      </c>
      <c r="J85" s="3">
        <f>EDATE(Table1[[#This Row],[Application_Date]],1)</f>
        <v>45495</v>
      </c>
      <c r="K85" s="9">
        <v>3840000</v>
      </c>
      <c r="L85" s="9">
        <f>Table1[[#This Row],[Annual_Income]]/12</f>
        <v>320000</v>
      </c>
      <c r="M85" s="9">
        <v>4040000</v>
      </c>
      <c r="N85" s="5">
        <f ca="1">DATEDIF(Table1[[#This Row],[EMI_payment_date]],TODAY(),"m")</f>
        <v>24</v>
      </c>
      <c r="O85" s="9">
        <f ca="1">Table1[[#This Row],[month_paid]]*Table1[[#This Row],[monthly_EMI]]</f>
        <v>2304000</v>
      </c>
      <c r="P85" s="1">
        <v>7.57</v>
      </c>
      <c r="Q85" s="9">
        <f>Table1[[#This Row],[monthly_income]]*30%</f>
        <v>96000</v>
      </c>
      <c r="R85" s="1">
        <f>ROUNDUP(NPER(P85/100/12,-Q85,Table1[[#This Row],[Loan_Amount]]),0)</f>
        <v>50</v>
      </c>
      <c r="S85" s="1">
        <v>623</v>
      </c>
      <c r="T85" s="1" t="s">
        <v>20</v>
      </c>
      <c r="U85" s="1" t="str">
        <f>IF(Table1[[#This Row],[Repayment_Status]]="late","bad loan","good loan")</f>
        <v>good loan</v>
      </c>
      <c r="V85" s="1" t="str">
        <f>IF(Table1[[#This Row],[Repayment_Status]]="late","high","low")</f>
        <v>low</v>
      </c>
      <c r="W85" s="1">
        <f>(Table1[[#This Row],[monthly_EMI]]/Table1[[#This Row],[monthly_income]])*100</f>
        <v>30</v>
      </c>
      <c r="X85" s="7">
        <v>24374.16</v>
      </c>
    </row>
    <row r="86" spans="1:24" x14ac:dyDescent="0.25">
      <c r="A86" s="1" t="s">
        <v>353</v>
      </c>
      <c r="B86" s="2" t="s">
        <v>888</v>
      </c>
      <c r="C86" s="5">
        <v>31</v>
      </c>
      <c r="D86" s="1" t="s">
        <v>26</v>
      </c>
      <c r="E86" s="1" t="s">
        <v>24</v>
      </c>
      <c r="F86" s="1" t="s">
        <v>31</v>
      </c>
      <c r="G86" s="1">
        <f>YEAR(Table1[[#This Row],[Application_Date]])</f>
        <v>2024</v>
      </c>
      <c r="H86" s="1" t="str">
        <f>TEXT(Table1[[#This Row],[EMI_payment_date]],"mmmm")</f>
        <v>July</v>
      </c>
      <c r="I86" s="3">
        <v>45466</v>
      </c>
      <c r="J86" s="3">
        <f>EDATE(Table1[[#This Row],[Application_Date]],1)</f>
        <v>45496</v>
      </c>
      <c r="K86" s="9">
        <v>4500000</v>
      </c>
      <c r="L86" s="9">
        <f>Table1[[#This Row],[Annual_Income]]/12</f>
        <v>375000</v>
      </c>
      <c r="M86" s="9">
        <v>4700000</v>
      </c>
      <c r="N86" s="5">
        <f ca="1">DATEDIF(Table1[[#This Row],[EMI_payment_date]],TODAY(),"m")</f>
        <v>24</v>
      </c>
      <c r="O86" s="9">
        <f ca="1">Table1[[#This Row],[month_paid]]*Table1[[#This Row],[monthly_EMI]]</f>
        <v>2700000</v>
      </c>
      <c r="P86" s="1">
        <v>7.35</v>
      </c>
      <c r="Q86" s="9">
        <f>Table1[[#This Row],[monthly_income]]*30%</f>
        <v>112500</v>
      </c>
      <c r="R86" s="1">
        <f>ROUNDUP(NPER(P86/100/12,-Q86,Table1[[#This Row],[Loan_Amount]]),0)</f>
        <v>49</v>
      </c>
      <c r="S86" s="1">
        <v>719</v>
      </c>
      <c r="T86" s="1" t="s">
        <v>20</v>
      </c>
      <c r="U86" s="1" t="str">
        <f>IF(Table1[[#This Row],[Repayment_Status]]="late","bad loan","good loan")</f>
        <v>good loan</v>
      </c>
      <c r="V86" s="1" t="str">
        <f>IF(Table1[[#This Row],[Repayment_Status]]="late","high","low")</f>
        <v>low</v>
      </c>
      <c r="W86" s="1">
        <f>(Table1[[#This Row],[monthly_EMI]]/Table1[[#This Row],[monthly_income]])*100</f>
        <v>30</v>
      </c>
      <c r="X86" s="7">
        <v>19124.38</v>
      </c>
    </row>
    <row r="87" spans="1:24" x14ac:dyDescent="0.25">
      <c r="A87" s="1" t="s">
        <v>581</v>
      </c>
      <c r="B87" s="2" t="s">
        <v>781</v>
      </c>
      <c r="C87" s="5">
        <v>50</v>
      </c>
      <c r="D87" s="1" t="s">
        <v>15</v>
      </c>
      <c r="E87" s="1" t="s">
        <v>16</v>
      </c>
      <c r="F87" s="1" t="s">
        <v>17</v>
      </c>
      <c r="G87" s="1">
        <f>YEAR(Table1[[#This Row],[Application_Date]])</f>
        <v>2024</v>
      </c>
      <c r="H87" s="1" t="str">
        <f>TEXT(Table1[[#This Row],[EMI_payment_date]],"mmmm")</f>
        <v>July</v>
      </c>
      <c r="I87" s="3">
        <v>45467</v>
      </c>
      <c r="J87" s="3">
        <f>EDATE(Table1[[#This Row],[Application_Date]],1)</f>
        <v>45497</v>
      </c>
      <c r="K87" s="9">
        <v>7236000</v>
      </c>
      <c r="L87" s="9">
        <f>Table1[[#This Row],[Annual_Income]]/12</f>
        <v>603000</v>
      </c>
      <c r="M87" s="9">
        <v>7436000</v>
      </c>
      <c r="N87" s="5">
        <f ca="1">DATEDIF(Table1[[#This Row],[EMI_payment_date]],TODAY(),"m")</f>
        <v>24</v>
      </c>
      <c r="O87" s="9">
        <f ca="1">Table1[[#This Row],[month_paid]]*Table1[[#This Row],[monthly_EMI]]</f>
        <v>4341600</v>
      </c>
      <c r="P87" s="1">
        <v>9.7100000000000009</v>
      </c>
      <c r="Q87" s="9">
        <f>Table1[[#This Row],[monthly_income]]*30%</f>
        <v>180900</v>
      </c>
      <c r="R87" s="1">
        <f>ROUNDUP(NPER(P87/100/12,-Q87,Table1[[#This Row],[Loan_Amount]]),0)</f>
        <v>51</v>
      </c>
      <c r="S87" s="1">
        <v>640</v>
      </c>
      <c r="T87" s="1" t="s">
        <v>20</v>
      </c>
      <c r="U87" s="1" t="str">
        <f>IF(Table1[[#This Row],[Repayment_Status]]="late","bad loan","good loan")</f>
        <v>good loan</v>
      </c>
      <c r="V87" s="1" t="str">
        <f>IF(Table1[[#This Row],[Repayment_Status]]="late","high","low")</f>
        <v>low</v>
      </c>
      <c r="W87" s="1">
        <f>(Table1[[#This Row],[monthly_EMI]]/Table1[[#This Row],[monthly_income]])*100</f>
        <v>30</v>
      </c>
      <c r="X87" s="7">
        <v>45729.85</v>
      </c>
    </row>
    <row r="88" spans="1:24" x14ac:dyDescent="0.25">
      <c r="A88" s="1" t="s">
        <v>693</v>
      </c>
      <c r="B88" s="2" t="s">
        <v>920</v>
      </c>
      <c r="C88" s="5">
        <v>44</v>
      </c>
      <c r="D88" s="1" t="s">
        <v>26</v>
      </c>
      <c r="E88" s="1" t="s">
        <v>16</v>
      </c>
      <c r="F88" s="1" t="s">
        <v>51</v>
      </c>
      <c r="G88" s="1">
        <f>YEAR(Table1[[#This Row],[Application_Date]])</f>
        <v>2024</v>
      </c>
      <c r="H88" s="1" t="str">
        <f>TEXT(Table1[[#This Row],[EMI_payment_date]],"mmmm")</f>
        <v>July</v>
      </c>
      <c r="I88" s="3">
        <v>45468</v>
      </c>
      <c r="J88" s="3">
        <f>EDATE(Table1[[#This Row],[Application_Date]],1)</f>
        <v>45498</v>
      </c>
      <c r="K88" s="9">
        <v>8580000</v>
      </c>
      <c r="L88" s="9">
        <f>Table1[[#This Row],[Annual_Income]]/12</f>
        <v>715000</v>
      </c>
      <c r="M88" s="9">
        <v>8780000</v>
      </c>
      <c r="N88" s="5">
        <f ca="1">DATEDIF(Table1[[#This Row],[EMI_payment_date]],TODAY(),"m")</f>
        <v>24</v>
      </c>
      <c r="O88" s="9">
        <f ca="1">Table1[[#This Row],[month_paid]]*Table1[[#This Row],[monthly_EMI]]</f>
        <v>5148000</v>
      </c>
      <c r="P88" s="1">
        <v>9.39</v>
      </c>
      <c r="Q88" s="9">
        <f>Table1[[#This Row],[monthly_income]]*30%</f>
        <v>214500</v>
      </c>
      <c r="R88" s="1">
        <f>ROUNDUP(NPER(P88/100/12,-Q88,Table1[[#This Row],[Loan_Amount]]),0)</f>
        <v>50</v>
      </c>
      <c r="S88" s="1">
        <v>824</v>
      </c>
      <c r="T88" s="1" t="s">
        <v>20</v>
      </c>
      <c r="U88" s="1" t="str">
        <f>IF(Table1[[#This Row],[Repayment_Status]]="late","bad loan","good loan")</f>
        <v>good loan</v>
      </c>
      <c r="V88" s="1" t="str">
        <f>IF(Table1[[#This Row],[Repayment_Status]]="late","high","low")</f>
        <v>low</v>
      </c>
      <c r="W88" s="1">
        <f>(Table1[[#This Row],[monthly_EMI]]/Table1[[#This Row],[monthly_income]])*100</f>
        <v>30</v>
      </c>
      <c r="X88" s="7">
        <v>20725.87</v>
      </c>
    </row>
    <row r="89" spans="1:24" x14ac:dyDescent="0.25">
      <c r="A89" s="1" t="s">
        <v>491</v>
      </c>
      <c r="B89" s="2" t="s">
        <v>910</v>
      </c>
      <c r="C89" s="5">
        <v>46</v>
      </c>
      <c r="D89" s="1" t="s">
        <v>15</v>
      </c>
      <c r="E89" s="1" t="s">
        <v>36</v>
      </c>
      <c r="F89" s="1" t="s">
        <v>22</v>
      </c>
      <c r="G89" s="1">
        <f>YEAR(Table1[[#This Row],[Application_Date]])</f>
        <v>2024</v>
      </c>
      <c r="H89" s="1" t="str">
        <f>TEXT(Table1[[#This Row],[EMI_payment_date]],"mmmm")</f>
        <v>July</v>
      </c>
      <c r="I89" s="3">
        <v>45469</v>
      </c>
      <c r="J89" s="3">
        <f>EDATE(Table1[[#This Row],[Application_Date]],1)</f>
        <v>45499</v>
      </c>
      <c r="K89" s="9">
        <v>6156000</v>
      </c>
      <c r="L89" s="9">
        <f>Table1[[#This Row],[Annual_Income]]/12</f>
        <v>513000</v>
      </c>
      <c r="M89" s="9">
        <v>6356000</v>
      </c>
      <c r="N89" s="5">
        <f ca="1">DATEDIF(Table1[[#This Row],[EMI_payment_date]],TODAY(),"m")</f>
        <v>24</v>
      </c>
      <c r="O89" s="9">
        <f ca="1">Table1[[#This Row],[month_paid]]*Table1[[#This Row],[monthly_EMI]]</f>
        <v>3693600</v>
      </c>
      <c r="P89" s="1">
        <v>9.64</v>
      </c>
      <c r="Q89" s="9">
        <f>Table1[[#This Row],[monthly_income]]*30%</f>
        <v>153900</v>
      </c>
      <c r="R89" s="1">
        <f>ROUNDUP(NPER(P89/100/12,-Q89,Table1[[#This Row],[Loan_Amount]]),0)</f>
        <v>51</v>
      </c>
      <c r="S89" s="1">
        <v>830</v>
      </c>
      <c r="T89" s="1" t="s">
        <v>20</v>
      </c>
      <c r="U89" s="1" t="str">
        <f>IF(Table1[[#This Row],[Repayment_Status]]="late","bad loan","good loan")</f>
        <v>good loan</v>
      </c>
      <c r="V89" s="1" t="str">
        <f>IF(Table1[[#This Row],[Repayment_Status]]="late","high","low")</f>
        <v>low</v>
      </c>
      <c r="W89" s="1">
        <f>(Table1[[#This Row],[monthly_EMI]]/Table1[[#This Row],[monthly_income]])*100</f>
        <v>30</v>
      </c>
      <c r="X89" s="7">
        <v>28445.19</v>
      </c>
    </row>
    <row r="90" spans="1:24" x14ac:dyDescent="0.25">
      <c r="A90" s="1" t="s">
        <v>75</v>
      </c>
      <c r="B90" s="2" t="s">
        <v>772</v>
      </c>
      <c r="C90" s="5">
        <v>31</v>
      </c>
      <c r="D90" s="1" t="s">
        <v>15</v>
      </c>
      <c r="E90" s="1" t="s">
        <v>27</v>
      </c>
      <c r="F90" s="1" t="s">
        <v>51</v>
      </c>
      <c r="G90" s="1">
        <f>YEAR(Table1[[#This Row],[Application_Date]])</f>
        <v>2024</v>
      </c>
      <c r="H90" s="1" t="str">
        <f>TEXT(Table1[[#This Row],[EMI_payment_date]],"mmmm")</f>
        <v>July</v>
      </c>
      <c r="I90" s="3">
        <v>45470</v>
      </c>
      <c r="J90" s="3">
        <f>EDATE(Table1[[#This Row],[Application_Date]],1)</f>
        <v>45500</v>
      </c>
      <c r="K90" s="9">
        <v>1152000</v>
      </c>
      <c r="L90" s="9">
        <f>Table1[[#This Row],[Annual_Income]]/12</f>
        <v>96000</v>
      </c>
      <c r="M90" s="9">
        <v>1352000</v>
      </c>
      <c r="N90" s="5">
        <f ca="1">DATEDIF(Table1[[#This Row],[EMI_payment_date]],TODAY(),"m")</f>
        <v>24</v>
      </c>
      <c r="O90" s="9">
        <f ca="1">Table1[[#This Row],[month_paid]]*Table1[[#This Row],[monthly_EMI]]</f>
        <v>691200</v>
      </c>
      <c r="P90" s="1">
        <v>9.42</v>
      </c>
      <c r="Q90" s="9">
        <f>Table1[[#This Row],[monthly_income]]*30%</f>
        <v>28800</v>
      </c>
      <c r="R90" s="1">
        <f>ROUNDUP(NPER(P90/100/12,-Q90,Table1[[#This Row],[Loan_Amount]]),0)</f>
        <v>59</v>
      </c>
      <c r="S90" s="1">
        <v>690</v>
      </c>
      <c r="T90" s="1" t="s">
        <v>20</v>
      </c>
      <c r="U90" s="1" t="str">
        <f>IF(Table1[[#This Row],[Repayment_Status]]="late","bad loan","good loan")</f>
        <v>good loan</v>
      </c>
      <c r="V90" s="1" t="str">
        <f>IF(Table1[[#This Row],[Repayment_Status]]="late","high","low")</f>
        <v>low</v>
      </c>
      <c r="W90" s="1">
        <f>(Table1[[#This Row],[monthly_EMI]]/Table1[[#This Row],[monthly_income]])*100</f>
        <v>30</v>
      </c>
      <c r="X90" s="7">
        <v>27249.71</v>
      </c>
    </row>
    <row r="91" spans="1:24" x14ac:dyDescent="0.25">
      <c r="A91" s="1" t="s">
        <v>144</v>
      </c>
      <c r="B91" s="2" t="s">
        <v>819</v>
      </c>
      <c r="C91" s="5">
        <v>33</v>
      </c>
      <c r="D91" s="1" t="s">
        <v>26</v>
      </c>
      <c r="E91" s="1" t="s">
        <v>24</v>
      </c>
      <c r="F91" s="1" t="s">
        <v>17</v>
      </c>
      <c r="G91" s="1">
        <f>YEAR(Table1[[#This Row],[Application_Date]])</f>
        <v>2024</v>
      </c>
      <c r="H91" s="1" t="str">
        <f>TEXT(Table1[[#This Row],[EMI_payment_date]],"mmmm")</f>
        <v>July</v>
      </c>
      <c r="I91" s="3">
        <v>45471</v>
      </c>
      <c r="J91" s="3">
        <f>EDATE(Table1[[#This Row],[Application_Date]],1)</f>
        <v>45501</v>
      </c>
      <c r="K91" s="9">
        <v>1992000</v>
      </c>
      <c r="L91" s="9">
        <f>Table1[[#This Row],[Annual_Income]]/12</f>
        <v>166000</v>
      </c>
      <c r="M91" s="9">
        <v>2192000</v>
      </c>
      <c r="N91" s="5">
        <f ca="1">DATEDIF(Table1[[#This Row],[EMI_payment_date]],TODAY(),"m")</f>
        <v>24</v>
      </c>
      <c r="O91" s="9">
        <f ca="1">Table1[[#This Row],[month_paid]]*Table1[[#This Row],[monthly_EMI]]</f>
        <v>1195200</v>
      </c>
      <c r="P91" s="1">
        <v>8.89</v>
      </c>
      <c r="Q91" s="9">
        <f>Table1[[#This Row],[monthly_income]]*30%</f>
        <v>49800</v>
      </c>
      <c r="R91" s="1">
        <f>ROUNDUP(NPER(P91/100/12,-Q91,Table1[[#This Row],[Loan_Amount]]),0)</f>
        <v>54</v>
      </c>
      <c r="S91" s="1">
        <v>837</v>
      </c>
      <c r="T91" s="1" t="s">
        <v>37</v>
      </c>
      <c r="U91" s="1" t="str">
        <f>IF(Table1[[#This Row],[Repayment_Status]]="late","bad loan","good loan")</f>
        <v>bad loan</v>
      </c>
      <c r="V91" s="1" t="str">
        <f>IF(Table1[[#This Row],[Repayment_Status]]="late","high","low")</f>
        <v>high</v>
      </c>
      <c r="W91" s="1">
        <f>(Table1[[#This Row],[monthly_EMI]]/Table1[[#This Row],[monthly_income]])*100</f>
        <v>30</v>
      </c>
      <c r="X91" s="7">
        <v>12659.2</v>
      </c>
    </row>
    <row r="92" spans="1:24" x14ac:dyDescent="0.25">
      <c r="A92" s="1" t="s">
        <v>339</v>
      </c>
      <c r="B92" s="2" t="s">
        <v>885</v>
      </c>
      <c r="C92" s="5">
        <v>29</v>
      </c>
      <c r="D92" s="1" t="s">
        <v>15</v>
      </c>
      <c r="E92" s="1" t="s">
        <v>27</v>
      </c>
      <c r="F92" s="1" t="s">
        <v>19</v>
      </c>
      <c r="G92" s="1">
        <f>YEAR(Table1[[#This Row],[Application_Date]])</f>
        <v>2024</v>
      </c>
      <c r="H92" s="1" t="str">
        <f>TEXT(Table1[[#This Row],[EMI_payment_date]],"mmmm")</f>
        <v>July</v>
      </c>
      <c r="I92" s="3">
        <v>45472</v>
      </c>
      <c r="J92" s="3">
        <f>EDATE(Table1[[#This Row],[Application_Date]],1)</f>
        <v>45502</v>
      </c>
      <c r="K92" s="9">
        <v>4332000</v>
      </c>
      <c r="L92" s="9">
        <f>Table1[[#This Row],[Annual_Income]]/12</f>
        <v>361000</v>
      </c>
      <c r="M92" s="9">
        <v>4532000</v>
      </c>
      <c r="N92" s="5">
        <f ca="1">DATEDIF(Table1[[#This Row],[EMI_payment_date]],TODAY(),"m")</f>
        <v>24</v>
      </c>
      <c r="O92" s="9">
        <f ca="1">Table1[[#This Row],[month_paid]]*Table1[[#This Row],[monthly_EMI]]</f>
        <v>2599200</v>
      </c>
      <c r="P92" s="1">
        <v>5.77</v>
      </c>
      <c r="Q92" s="9">
        <f>Table1[[#This Row],[monthly_income]]*30%</f>
        <v>108300</v>
      </c>
      <c r="R92" s="1">
        <f>ROUNDUP(NPER(P92/100/12,-Q92,Table1[[#This Row],[Loan_Amount]]),0)</f>
        <v>47</v>
      </c>
      <c r="S92" s="1">
        <v>735</v>
      </c>
      <c r="T92" s="1" t="s">
        <v>20</v>
      </c>
      <c r="U92" s="1" t="str">
        <f>IF(Table1[[#This Row],[Repayment_Status]]="late","bad loan","good loan")</f>
        <v>good loan</v>
      </c>
      <c r="V92" s="1" t="str">
        <f>IF(Table1[[#This Row],[Repayment_Status]]="late","high","low")</f>
        <v>low</v>
      </c>
      <c r="W92" s="1">
        <f>(Table1[[#This Row],[monthly_EMI]]/Table1[[#This Row],[monthly_income]])*100</f>
        <v>30</v>
      </c>
      <c r="X92" s="7">
        <v>21853.59</v>
      </c>
    </row>
    <row r="93" spans="1:24" x14ac:dyDescent="0.25">
      <c r="A93" s="1" t="s">
        <v>586</v>
      </c>
      <c r="B93" s="2" t="s">
        <v>910</v>
      </c>
      <c r="C93" s="5">
        <v>30</v>
      </c>
      <c r="D93" s="1" t="s">
        <v>26</v>
      </c>
      <c r="E93" s="1" t="s">
        <v>29</v>
      </c>
      <c r="F93" s="1" t="s">
        <v>17</v>
      </c>
      <c r="G93" s="1">
        <f>YEAR(Table1[[#This Row],[Application_Date]])</f>
        <v>2024</v>
      </c>
      <c r="H93" s="1" t="str">
        <f>TEXT(Table1[[#This Row],[EMI_payment_date]],"mmmm")</f>
        <v>July</v>
      </c>
      <c r="I93" s="3">
        <v>45473</v>
      </c>
      <c r="J93" s="3">
        <f>EDATE(Table1[[#This Row],[Application_Date]],1)</f>
        <v>45503</v>
      </c>
      <c r="K93" s="9">
        <v>7296000</v>
      </c>
      <c r="L93" s="9">
        <f>Table1[[#This Row],[Annual_Income]]/12</f>
        <v>608000</v>
      </c>
      <c r="M93" s="9">
        <v>7496000</v>
      </c>
      <c r="N93" s="5">
        <f ca="1">DATEDIF(Table1[[#This Row],[EMI_payment_date]],TODAY(),"m")</f>
        <v>24</v>
      </c>
      <c r="O93" s="9">
        <f ca="1">Table1[[#This Row],[month_paid]]*Table1[[#This Row],[monthly_EMI]]</f>
        <v>4377600</v>
      </c>
      <c r="P93" s="1">
        <v>5.27</v>
      </c>
      <c r="Q93" s="9">
        <f>Table1[[#This Row],[monthly_income]]*30%</f>
        <v>182400</v>
      </c>
      <c r="R93" s="1">
        <f>ROUNDUP(NPER(P93/100/12,-Q93,Table1[[#This Row],[Loan_Amount]]),0)</f>
        <v>46</v>
      </c>
      <c r="S93" s="1">
        <v>791</v>
      </c>
      <c r="T93" s="1" t="s">
        <v>20</v>
      </c>
      <c r="U93" s="1" t="str">
        <f>IF(Table1[[#This Row],[Repayment_Status]]="late","bad loan","good loan")</f>
        <v>good loan</v>
      </c>
      <c r="V93" s="1" t="str">
        <f>IF(Table1[[#This Row],[Repayment_Status]]="late","high","low")</f>
        <v>low</v>
      </c>
      <c r="W93" s="1">
        <f>(Table1[[#This Row],[monthly_EMI]]/Table1[[#This Row],[monthly_income]])*100</f>
        <v>30</v>
      </c>
      <c r="X93" s="7">
        <v>9009.33</v>
      </c>
    </row>
    <row r="94" spans="1:24" x14ac:dyDescent="0.25">
      <c r="A94" s="1" t="s">
        <v>259</v>
      </c>
      <c r="B94" s="2" t="s">
        <v>801</v>
      </c>
      <c r="C94" s="5">
        <v>27</v>
      </c>
      <c r="D94" s="1" t="s">
        <v>26</v>
      </c>
      <c r="E94" s="1" t="s">
        <v>16</v>
      </c>
      <c r="F94" s="1" t="s">
        <v>51</v>
      </c>
      <c r="G94" s="1">
        <f>YEAR(Table1[[#This Row],[Application_Date]])</f>
        <v>2024</v>
      </c>
      <c r="H94" s="1" t="str">
        <f>TEXT(Table1[[#This Row],[EMI_payment_date]],"mmmm")</f>
        <v>August</v>
      </c>
      <c r="I94" s="3">
        <v>45474</v>
      </c>
      <c r="J94" s="3">
        <f>EDATE(Table1[[#This Row],[Application_Date]],1)</f>
        <v>45505</v>
      </c>
      <c r="K94" s="9">
        <v>3372000</v>
      </c>
      <c r="L94" s="9">
        <f>Table1[[#This Row],[Annual_Income]]/12</f>
        <v>281000</v>
      </c>
      <c r="M94" s="9">
        <v>3572000</v>
      </c>
      <c r="N94" s="5">
        <f ca="1">DATEDIF(Table1[[#This Row],[EMI_payment_date]],TODAY(),"m")</f>
        <v>23</v>
      </c>
      <c r="O94" s="9">
        <f ca="1">Table1[[#This Row],[month_paid]]*Table1[[#This Row],[monthly_EMI]]</f>
        <v>1938900</v>
      </c>
      <c r="P94" s="1">
        <v>6.52</v>
      </c>
      <c r="Q94" s="9">
        <f>Table1[[#This Row],[monthly_income]]*30%</f>
        <v>84300</v>
      </c>
      <c r="R94" s="1">
        <f>ROUNDUP(NPER(P94/100/12,-Q94,Table1[[#This Row],[Loan_Amount]]),0)</f>
        <v>49</v>
      </c>
      <c r="S94" s="1">
        <v>621</v>
      </c>
      <c r="T94" s="1" t="s">
        <v>37</v>
      </c>
      <c r="U94" s="1" t="str">
        <f>IF(Table1[[#This Row],[Repayment_Status]]="late","bad loan","good loan")</f>
        <v>bad loan</v>
      </c>
      <c r="V94" s="1" t="str">
        <f>IF(Table1[[#This Row],[Repayment_Status]]="late","high","low")</f>
        <v>high</v>
      </c>
      <c r="W94" s="1">
        <f>(Table1[[#This Row],[monthly_EMI]]/Table1[[#This Row],[monthly_income]])*100</f>
        <v>30</v>
      </c>
      <c r="X94" s="7">
        <v>19304.36</v>
      </c>
    </row>
    <row r="95" spans="1:24" x14ac:dyDescent="0.25">
      <c r="A95" s="1" t="s">
        <v>379</v>
      </c>
      <c r="B95" s="2" t="s">
        <v>833</v>
      </c>
      <c r="C95" s="5">
        <v>54</v>
      </c>
      <c r="D95" s="1" t="s">
        <v>15</v>
      </c>
      <c r="E95" s="1" t="s">
        <v>27</v>
      </c>
      <c r="F95" s="1" t="s">
        <v>51</v>
      </c>
      <c r="G95" s="1">
        <f>YEAR(Table1[[#This Row],[Application_Date]])</f>
        <v>2024</v>
      </c>
      <c r="H95" s="1" t="str">
        <f>TEXT(Table1[[#This Row],[EMI_payment_date]],"mmmm")</f>
        <v>August</v>
      </c>
      <c r="I95" s="3">
        <v>45475</v>
      </c>
      <c r="J95" s="3">
        <f>EDATE(Table1[[#This Row],[Application_Date]],1)</f>
        <v>45506</v>
      </c>
      <c r="K95" s="9">
        <v>4812000</v>
      </c>
      <c r="L95" s="9">
        <f>Table1[[#This Row],[Annual_Income]]/12</f>
        <v>401000</v>
      </c>
      <c r="M95" s="9">
        <v>5012000</v>
      </c>
      <c r="N95" s="5">
        <f ca="1">DATEDIF(Table1[[#This Row],[EMI_payment_date]],TODAY(),"m")</f>
        <v>23</v>
      </c>
      <c r="O95" s="9">
        <f ca="1">Table1[[#This Row],[month_paid]]*Table1[[#This Row],[monthly_EMI]]</f>
        <v>2766900</v>
      </c>
      <c r="P95" s="1">
        <v>8.1</v>
      </c>
      <c r="Q95" s="9">
        <f>Table1[[#This Row],[monthly_income]]*30%</f>
        <v>120300</v>
      </c>
      <c r="R95" s="1">
        <f>ROUNDUP(NPER(P95/100/12,-Q95,Table1[[#This Row],[Loan_Amount]]),0)</f>
        <v>50</v>
      </c>
      <c r="S95" s="1">
        <v>818</v>
      </c>
      <c r="T95" s="1" t="s">
        <v>20</v>
      </c>
      <c r="U95" s="1" t="str">
        <f>IF(Table1[[#This Row],[Repayment_Status]]="late","bad loan","good loan")</f>
        <v>good loan</v>
      </c>
      <c r="V95" s="1" t="str">
        <f>IF(Table1[[#This Row],[Repayment_Status]]="late","high","low")</f>
        <v>low</v>
      </c>
      <c r="W95" s="1">
        <f>(Table1[[#This Row],[monthly_EMI]]/Table1[[#This Row],[monthly_income]])*100</f>
        <v>30</v>
      </c>
      <c r="X95" s="7">
        <v>29074.240000000002</v>
      </c>
    </row>
    <row r="96" spans="1:24" x14ac:dyDescent="0.25">
      <c r="A96" s="1" t="s">
        <v>460</v>
      </c>
      <c r="B96" s="2" t="s">
        <v>802</v>
      </c>
      <c r="C96" s="5">
        <v>44</v>
      </c>
      <c r="D96" s="1" t="s">
        <v>26</v>
      </c>
      <c r="E96" s="1" t="s">
        <v>36</v>
      </c>
      <c r="F96" s="1" t="s">
        <v>51</v>
      </c>
      <c r="G96" s="1">
        <f>YEAR(Table1[[#This Row],[Application_Date]])</f>
        <v>2024</v>
      </c>
      <c r="H96" s="1" t="str">
        <f>TEXT(Table1[[#This Row],[EMI_payment_date]],"mmmm")</f>
        <v>August</v>
      </c>
      <c r="I96" s="3">
        <v>45476</v>
      </c>
      <c r="J96" s="3">
        <f>EDATE(Table1[[#This Row],[Application_Date]],1)</f>
        <v>45507</v>
      </c>
      <c r="K96" s="9">
        <v>5784000</v>
      </c>
      <c r="L96" s="9">
        <f>Table1[[#This Row],[Annual_Income]]/12</f>
        <v>482000</v>
      </c>
      <c r="M96" s="9">
        <v>5984000</v>
      </c>
      <c r="N96" s="5">
        <f ca="1">DATEDIF(Table1[[#This Row],[EMI_payment_date]],TODAY(),"m")</f>
        <v>23</v>
      </c>
      <c r="O96" s="9">
        <f ca="1">Table1[[#This Row],[month_paid]]*Table1[[#This Row],[monthly_EMI]]</f>
        <v>3325800</v>
      </c>
      <c r="P96" s="1">
        <v>7.32</v>
      </c>
      <c r="Q96" s="9">
        <f>Table1[[#This Row],[monthly_income]]*30%</f>
        <v>144600</v>
      </c>
      <c r="R96" s="1">
        <f>ROUNDUP(NPER(P96/100/12,-Q96,Table1[[#This Row],[Loan_Amount]]),0)</f>
        <v>48</v>
      </c>
      <c r="S96" s="1">
        <v>653</v>
      </c>
      <c r="T96" s="1" t="s">
        <v>20</v>
      </c>
      <c r="U96" s="1" t="str">
        <f>IF(Table1[[#This Row],[Repayment_Status]]="late","bad loan","good loan")</f>
        <v>good loan</v>
      </c>
      <c r="V96" s="1" t="str">
        <f>IF(Table1[[#This Row],[Repayment_Status]]="late","high","low")</f>
        <v>low</v>
      </c>
      <c r="W96" s="1">
        <f>(Table1[[#This Row],[monthly_EMI]]/Table1[[#This Row],[monthly_income]])*100</f>
        <v>30</v>
      </c>
      <c r="X96" s="7">
        <v>13881.74</v>
      </c>
    </row>
    <row r="97" spans="1:24" x14ac:dyDescent="0.25">
      <c r="A97" s="1" t="s">
        <v>219</v>
      </c>
      <c r="B97" s="2" t="s">
        <v>854</v>
      </c>
      <c r="C97" s="5">
        <v>42</v>
      </c>
      <c r="D97" s="1" t="s">
        <v>26</v>
      </c>
      <c r="E97" s="1" t="s">
        <v>33</v>
      </c>
      <c r="F97" s="1" t="s">
        <v>19</v>
      </c>
      <c r="G97" s="1">
        <f>YEAR(Table1[[#This Row],[Application_Date]])</f>
        <v>2024</v>
      </c>
      <c r="H97" s="1" t="str">
        <f>TEXT(Table1[[#This Row],[EMI_payment_date]],"mmmm")</f>
        <v>August</v>
      </c>
      <c r="I97" s="3">
        <v>45477</v>
      </c>
      <c r="J97" s="3">
        <f>EDATE(Table1[[#This Row],[Application_Date]],1)</f>
        <v>45508</v>
      </c>
      <c r="K97" s="9">
        <v>2892000</v>
      </c>
      <c r="L97" s="9">
        <f>Table1[[#This Row],[Annual_Income]]/12</f>
        <v>241000</v>
      </c>
      <c r="M97" s="9">
        <v>3092000</v>
      </c>
      <c r="N97" s="5">
        <f ca="1">DATEDIF(Table1[[#This Row],[EMI_payment_date]],TODAY(),"m")</f>
        <v>23</v>
      </c>
      <c r="O97" s="9">
        <f ca="1">Table1[[#This Row],[month_paid]]*Table1[[#This Row],[monthly_EMI]]</f>
        <v>1662900</v>
      </c>
      <c r="P97" s="1">
        <v>7.12</v>
      </c>
      <c r="Q97" s="9">
        <f>Table1[[#This Row],[monthly_income]]*30%</f>
        <v>72300</v>
      </c>
      <c r="R97" s="1">
        <f>ROUNDUP(NPER(P97/100/12,-Q97,Table1[[#This Row],[Loan_Amount]]),0)</f>
        <v>50</v>
      </c>
      <c r="S97" s="1">
        <v>669</v>
      </c>
      <c r="T97" s="1" t="s">
        <v>20</v>
      </c>
      <c r="U97" s="1" t="str">
        <f>IF(Table1[[#This Row],[Repayment_Status]]="late","bad loan","good loan")</f>
        <v>good loan</v>
      </c>
      <c r="V97" s="1" t="str">
        <f>IF(Table1[[#This Row],[Repayment_Status]]="late","high","low")</f>
        <v>low</v>
      </c>
      <c r="W97" s="1">
        <f>(Table1[[#This Row],[monthly_EMI]]/Table1[[#This Row],[monthly_income]])*100</f>
        <v>30</v>
      </c>
      <c r="X97" s="7">
        <v>29371.68</v>
      </c>
    </row>
    <row r="98" spans="1:24" x14ac:dyDescent="0.25">
      <c r="A98" s="1" t="s">
        <v>482</v>
      </c>
      <c r="B98" s="2" t="s">
        <v>754</v>
      </c>
      <c r="C98" s="5">
        <v>23</v>
      </c>
      <c r="D98" s="1" t="s">
        <v>15</v>
      </c>
      <c r="E98" s="1" t="s">
        <v>33</v>
      </c>
      <c r="F98" s="1" t="s">
        <v>31</v>
      </c>
      <c r="G98" s="1">
        <f>YEAR(Table1[[#This Row],[Application_Date]])</f>
        <v>2024</v>
      </c>
      <c r="H98" s="1" t="str">
        <f>TEXT(Table1[[#This Row],[EMI_payment_date]],"mmmm")</f>
        <v>August</v>
      </c>
      <c r="I98" s="3">
        <v>45478</v>
      </c>
      <c r="J98" s="3">
        <f>EDATE(Table1[[#This Row],[Application_Date]],1)</f>
        <v>45509</v>
      </c>
      <c r="K98" s="9">
        <v>6048000</v>
      </c>
      <c r="L98" s="9">
        <f>Table1[[#This Row],[Annual_Income]]/12</f>
        <v>504000</v>
      </c>
      <c r="M98" s="9">
        <v>6248000</v>
      </c>
      <c r="N98" s="5">
        <f ca="1">DATEDIF(Table1[[#This Row],[EMI_payment_date]],TODAY(),"m")</f>
        <v>23</v>
      </c>
      <c r="O98" s="9">
        <f ca="1">Table1[[#This Row],[month_paid]]*Table1[[#This Row],[monthly_EMI]]</f>
        <v>3477600</v>
      </c>
      <c r="P98" s="1">
        <v>8.32</v>
      </c>
      <c r="Q98" s="9">
        <f>Table1[[#This Row],[monthly_income]]*30%</f>
        <v>151200</v>
      </c>
      <c r="R98" s="1">
        <f>ROUNDUP(NPER(P98/100/12,-Q98,Table1[[#This Row],[Loan_Amount]]),0)</f>
        <v>49</v>
      </c>
      <c r="S98" s="1">
        <v>831</v>
      </c>
      <c r="T98" s="1" t="s">
        <v>37</v>
      </c>
      <c r="U98" s="1" t="str">
        <f>IF(Table1[[#This Row],[Repayment_Status]]="late","bad loan","good loan")</f>
        <v>bad loan</v>
      </c>
      <c r="V98" s="1" t="str">
        <f>IF(Table1[[#This Row],[Repayment_Status]]="late","high","low")</f>
        <v>high</v>
      </c>
      <c r="W98" s="1">
        <f>(Table1[[#This Row],[monthly_EMI]]/Table1[[#This Row],[monthly_income]])*100</f>
        <v>30</v>
      </c>
      <c r="X98" s="7">
        <v>28536.54</v>
      </c>
    </row>
    <row r="99" spans="1:24" x14ac:dyDescent="0.25">
      <c r="A99" s="1" t="s">
        <v>578</v>
      </c>
      <c r="B99" s="2" t="s">
        <v>829</v>
      </c>
      <c r="C99" s="5">
        <v>39</v>
      </c>
      <c r="D99" s="1" t="s">
        <v>26</v>
      </c>
      <c r="E99" s="1" t="s">
        <v>27</v>
      </c>
      <c r="F99" s="1" t="s">
        <v>22</v>
      </c>
      <c r="G99" s="1">
        <f>YEAR(Table1[[#This Row],[Application_Date]])</f>
        <v>2024</v>
      </c>
      <c r="H99" s="1" t="str">
        <f>TEXT(Table1[[#This Row],[EMI_payment_date]],"mmmm")</f>
        <v>August</v>
      </c>
      <c r="I99" s="3">
        <v>45479</v>
      </c>
      <c r="J99" s="3">
        <f>EDATE(Table1[[#This Row],[Application_Date]],1)</f>
        <v>45510</v>
      </c>
      <c r="K99" s="9">
        <v>7200000</v>
      </c>
      <c r="L99" s="9">
        <f>Table1[[#This Row],[Annual_Income]]/12</f>
        <v>600000</v>
      </c>
      <c r="M99" s="9">
        <v>7400000</v>
      </c>
      <c r="N99" s="5">
        <f ca="1">DATEDIF(Table1[[#This Row],[EMI_payment_date]],TODAY(),"m")</f>
        <v>23</v>
      </c>
      <c r="O99" s="9">
        <f ca="1">Table1[[#This Row],[month_paid]]*Table1[[#This Row],[monthly_EMI]]</f>
        <v>4140000</v>
      </c>
      <c r="P99" s="1">
        <v>7.37</v>
      </c>
      <c r="Q99" s="9">
        <f>Table1[[#This Row],[monthly_income]]*30%</f>
        <v>180000</v>
      </c>
      <c r="R99" s="1">
        <f>ROUNDUP(NPER(P99/100/12,-Q99,Table1[[#This Row],[Loan_Amount]]),0)</f>
        <v>48</v>
      </c>
      <c r="S99" s="1">
        <v>735</v>
      </c>
      <c r="T99" s="1" t="s">
        <v>37</v>
      </c>
      <c r="U99" s="1" t="str">
        <f>IF(Table1[[#This Row],[Repayment_Status]]="late","bad loan","good loan")</f>
        <v>bad loan</v>
      </c>
      <c r="V99" s="1" t="str">
        <f>IF(Table1[[#This Row],[Repayment_Status]]="late","high","low")</f>
        <v>high</v>
      </c>
      <c r="W99" s="1">
        <f>(Table1[[#This Row],[monthly_EMI]]/Table1[[#This Row],[monthly_income]])*100</f>
        <v>30</v>
      </c>
      <c r="X99" s="7">
        <v>19247.86</v>
      </c>
    </row>
    <row r="100" spans="1:24" x14ac:dyDescent="0.25">
      <c r="A100" s="1" t="s">
        <v>449</v>
      </c>
      <c r="B100" s="2" t="s">
        <v>868</v>
      </c>
      <c r="C100" s="5">
        <v>28</v>
      </c>
      <c r="D100" s="1" t="s">
        <v>26</v>
      </c>
      <c r="E100" s="1" t="s">
        <v>16</v>
      </c>
      <c r="F100" s="1" t="s">
        <v>51</v>
      </c>
      <c r="G100" s="1">
        <f>YEAR(Table1[[#This Row],[Application_Date]])</f>
        <v>2024</v>
      </c>
      <c r="H100" s="1" t="str">
        <f>TEXT(Table1[[#This Row],[EMI_payment_date]],"mmmm")</f>
        <v>August</v>
      </c>
      <c r="I100" s="3">
        <v>45480</v>
      </c>
      <c r="J100" s="3">
        <f>EDATE(Table1[[#This Row],[Application_Date]],1)</f>
        <v>45511</v>
      </c>
      <c r="K100" s="9">
        <v>5652000</v>
      </c>
      <c r="L100" s="9">
        <f>Table1[[#This Row],[Annual_Income]]/12</f>
        <v>471000</v>
      </c>
      <c r="M100" s="9">
        <v>5852000</v>
      </c>
      <c r="N100" s="5">
        <f ca="1">DATEDIF(Table1[[#This Row],[EMI_payment_date]],TODAY(),"m")</f>
        <v>23</v>
      </c>
      <c r="O100" s="9">
        <f ca="1">Table1[[#This Row],[month_paid]]*Table1[[#This Row],[monthly_EMI]]</f>
        <v>3249900</v>
      </c>
      <c r="P100" s="1">
        <v>9.5500000000000007</v>
      </c>
      <c r="Q100" s="9">
        <f>Table1[[#This Row],[monthly_income]]*30%</f>
        <v>141300</v>
      </c>
      <c r="R100" s="1">
        <f>ROUNDUP(NPER(P100/100/12,-Q100,Table1[[#This Row],[Loan_Amount]]),0)</f>
        <v>51</v>
      </c>
      <c r="S100" s="1">
        <v>747</v>
      </c>
      <c r="T100" s="1" t="s">
        <v>20</v>
      </c>
      <c r="U100" s="1" t="str">
        <f>IF(Table1[[#This Row],[Repayment_Status]]="late","bad loan","good loan")</f>
        <v>good loan</v>
      </c>
      <c r="V100" s="1" t="str">
        <f>IF(Table1[[#This Row],[Repayment_Status]]="late","high","low")</f>
        <v>low</v>
      </c>
      <c r="W100" s="1">
        <f>(Table1[[#This Row],[monthly_EMI]]/Table1[[#This Row],[monthly_income]])*100</f>
        <v>30</v>
      </c>
      <c r="X100" s="7">
        <v>28832.18</v>
      </c>
    </row>
    <row r="101" spans="1:24" x14ac:dyDescent="0.25">
      <c r="A101" s="1" t="s">
        <v>588</v>
      </c>
      <c r="B101" s="2" t="s">
        <v>731</v>
      </c>
      <c r="C101" s="5">
        <v>50</v>
      </c>
      <c r="D101" s="1" t="s">
        <v>15</v>
      </c>
      <c r="E101" s="1" t="s">
        <v>27</v>
      </c>
      <c r="F101" s="1" t="s">
        <v>22</v>
      </c>
      <c r="G101" s="1">
        <f>YEAR(Table1[[#This Row],[Application_Date]])</f>
        <v>2024</v>
      </c>
      <c r="H101" s="1" t="str">
        <f>TEXT(Table1[[#This Row],[EMI_payment_date]],"mmmm")</f>
        <v>August</v>
      </c>
      <c r="I101" s="3">
        <v>45481</v>
      </c>
      <c r="J101" s="3">
        <f>EDATE(Table1[[#This Row],[Application_Date]],1)</f>
        <v>45512</v>
      </c>
      <c r="K101" s="9">
        <v>7320000</v>
      </c>
      <c r="L101" s="9">
        <f>Table1[[#This Row],[Annual_Income]]/12</f>
        <v>610000</v>
      </c>
      <c r="M101" s="9">
        <v>7520000</v>
      </c>
      <c r="N101" s="5">
        <f ca="1">DATEDIF(Table1[[#This Row],[EMI_payment_date]],TODAY(),"m")</f>
        <v>23</v>
      </c>
      <c r="O101" s="9">
        <f ca="1">Table1[[#This Row],[month_paid]]*Table1[[#This Row],[monthly_EMI]]</f>
        <v>4209000</v>
      </c>
      <c r="P101" s="1">
        <v>7.3</v>
      </c>
      <c r="Q101" s="9">
        <f>Table1[[#This Row],[monthly_income]]*30%</f>
        <v>183000</v>
      </c>
      <c r="R101" s="1">
        <f>ROUNDUP(NPER(P101/100/12,-Q101,Table1[[#This Row],[Loan_Amount]]),0)</f>
        <v>48</v>
      </c>
      <c r="S101" s="1">
        <v>711</v>
      </c>
      <c r="T101" s="1" t="s">
        <v>20</v>
      </c>
      <c r="U101" s="1" t="str">
        <f>IF(Table1[[#This Row],[Repayment_Status]]="late","bad loan","good loan")</f>
        <v>good loan</v>
      </c>
      <c r="V101" s="1" t="str">
        <f>IF(Table1[[#This Row],[Repayment_Status]]="late","high","low")</f>
        <v>low</v>
      </c>
      <c r="W101" s="1">
        <f>(Table1[[#This Row],[monthly_EMI]]/Table1[[#This Row],[monthly_income]])*100</f>
        <v>30</v>
      </c>
      <c r="X101" s="7">
        <v>26123.68</v>
      </c>
    </row>
    <row r="102" spans="1:24" x14ac:dyDescent="0.25">
      <c r="A102" s="1" t="s">
        <v>687</v>
      </c>
      <c r="B102" s="2" t="s">
        <v>904</v>
      </c>
      <c r="C102" s="5">
        <v>54</v>
      </c>
      <c r="D102" s="1" t="s">
        <v>15</v>
      </c>
      <c r="E102" s="1" t="s">
        <v>27</v>
      </c>
      <c r="F102" s="1" t="s">
        <v>51</v>
      </c>
      <c r="G102" s="1">
        <f>YEAR(Table1[[#This Row],[Application_Date]])</f>
        <v>2024</v>
      </c>
      <c r="H102" s="1" t="str">
        <f>TEXT(Table1[[#This Row],[EMI_payment_date]],"mmmm")</f>
        <v>August</v>
      </c>
      <c r="I102" s="3">
        <v>45482</v>
      </c>
      <c r="J102" s="3">
        <f>EDATE(Table1[[#This Row],[Application_Date]],1)</f>
        <v>45513</v>
      </c>
      <c r="K102" s="9">
        <v>8508000</v>
      </c>
      <c r="L102" s="9">
        <f>Table1[[#This Row],[Annual_Income]]/12</f>
        <v>709000</v>
      </c>
      <c r="M102" s="9">
        <v>8708000</v>
      </c>
      <c r="N102" s="5">
        <f ca="1">DATEDIF(Table1[[#This Row],[EMI_payment_date]],TODAY(),"m")</f>
        <v>23</v>
      </c>
      <c r="O102" s="9">
        <f ca="1">Table1[[#This Row],[month_paid]]*Table1[[#This Row],[monthly_EMI]]</f>
        <v>4892100</v>
      </c>
      <c r="P102" s="1">
        <v>6.87</v>
      </c>
      <c r="Q102" s="9">
        <f>Table1[[#This Row],[monthly_income]]*30%</f>
        <v>212700</v>
      </c>
      <c r="R102" s="1">
        <f>ROUNDUP(NPER(P102/100/12,-Q102,Table1[[#This Row],[Loan_Amount]]),0)</f>
        <v>47</v>
      </c>
      <c r="S102" s="1">
        <v>753</v>
      </c>
      <c r="T102" s="1" t="s">
        <v>20</v>
      </c>
      <c r="U102" s="1" t="str">
        <f>IF(Table1[[#This Row],[Repayment_Status]]="late","bad loan","good loan")</f>
        <v>good loan</v>
      </c>
      <c r="V102" s="1" t="str">
        <f>IF(Table1[[#This Row],[Repayment_Status]]="late","high","low")</f>
        <v>low</v>
      </c>
      <c r="W102" s="1">
        <f>(Table1[[#This Row],[monthly_EMI]]/Table1[[#This Row],[monthly_income]])*100</f>
        <v>30</v>
      </c>
      <c r="X102" s="7">
        <v>11547.49</v>
      </c>
    </row>
    <row r="103" spans="1:24" x14ac:dyDescent="0.25">
      <c r="A103" s="1" t="s">
        <v>689</v>
      </c>
      <c r="B103" s="2" t="s">
        <v>920</v>
      </c>
      <c r="C103" s="5">
        <v>21</v>
      </c>
      <c r="D103" s="1" t="s">
        <v>15</v>
      </c>
      <c r="E103" s="1" t="s">
        <v>29</v>
      </c>
      <c r="F103" s="1" t="s">
        <v>17</v>
      </c>
      <c r="G103" s="1">
        <f>YEAR(Table1[[#This Row],[Application_Date]])</f>
        <v>2024</v>
      </c>
      <c r="H103" s="1" t="str">
        <f>TEXT(Table1[[#This Row],[EMI_payment_date]],"mmmm")</f>
        <v>August</v>
      </c>
      <c r="I103" s="3">
        <v>45483</v>
      </c>
      <c r="J103" s="3">
        <f>EDATE(Table1[[#This Row],[Application_Date]],1)</f>
        <v>45514</v>
      </c>
      <c r="K103" s="9">
        <v>8532000</v>
      </c>
      <c r="L103" s="9">
        <f>Table1[[#This Row],[Annual_Income]]/12</f>
        <v>711000</v>
      </c>
      <c r="M103" s="9">
        <v>8732000</v>
      </c>
      <c r="N103" s="5">
        <f ca="1">DATEDIF(Table1[[#This Row],[EMI_payment_date]],TODAY(),"m")</f>
        <v>23</v>
      </c>
      <c r="O103" s="9">
        <f ca="1">Table1[[#This Row],[month_paid]]*Table1[[#This Row],[monthly_EMI]]</f>
        <v>4905900</v>
      </c>
      <c r="P103" s="1">
        <v>6.54</v>
      </c>
      <c r="Q103" s="9">
        <f>Table1[[#This Row],[monthly_income]]*30%</f>
        <v>213300</v>
      </c>
      <c r="R103" s="1">
        <f>ROUNDUP(NPER(P103/100/12,-Q103,Table1[[#This Row],[Loan_Amount]]),0)</f>
        <v>47</v>
      </c>
      <c r="S103" s="1">
        <v>834</v>
      </c>
      <c r="T103" s="1" t="s">
        <v>20</v>
      </c>
      <c r="U103" s="1" t="str">
        <f>IF(Table1[[#This Row],[Repayment_Status]]="late","bad loan","good loan")</f>
        <v>good loan</v>
      </c>
      <c r="V103" s="1" t="str">
        <f>IF(Table1[[#This Row],[Repayment_Status]]="late","high","low")</f>
        <v>low</v>
      </c>
      <c r="W103" s="1">
        <f>(Table1[[#This Row],[monthly_EMI]]/Table1[[#This Row],[monthly_income]])*100</f>
        <v>30</v>
      </c>
      <c r="X103" s="7">
        <v>13481.91</v>
      </c>
    </row>
    <row r="104" spans="1:24" x14ac:dyDescent="0.25">
      <c r="A104" s="1" t="s">
        <v>108</v>
      </c>
      <c r="B104" s="2" t="s">
        <v>797</v>
      </c>
      <c r="C104" s="5">
        <v>51</v>
      </c>
      <c r="D104" s="1" t="s">
        <v>26</v>
      </c>
      <c r="E104" s="1" t="s">
        <v>27</v>
      </c>
      <c r="F104" s="1" t="s">
        <v>51</v>
      </c>
      <c r="G104" s="1">
        <f>YEAR(Table1[[#This Row],[Application_Date]])</f>
        <v>2024</v>
      </c>
      <c r="H104" s="1" t="str">
        <f>TEXT(Table1[[#This Row],[EMI_payment_date]],"mmmm")</f>
        <v>August</v>
      </c>
      <c r="I104" s="3">
        <v>45484</v>
      </c>
      <c r="J104" s="3">
        <f>EDATE(Table1[[#This Row],[Application_Date]],1)</f>
        <v>45515</v>
      </c>
      <c r="K104" s="9">
        <v>1560000</v>
      </c>
      <c r="L104" s="9">
        <f>Table1[[#This Row],[Annual_Income]]/12</f>
        <v>130000</v>
      </c>
      <c r="M104" s="9">
        <v>1760000</v>
      </c>
      <c r="N104" s="5">
        <f ca="1">DATEDIF(Table1[[#This Row],[EMI_payment_date]],TODAY(),"m")</f>
        <v>23</v>
      </c>
      <c r="O104" s="9">
        <f ca="1">Table1[[#This Row],[month_paid]]*Table1[[#This Row],[monthly_EMI]]</f>
        <v>897000</v>
      </c>
      <c r="P104" s="1">
        <v>7.22</v>
      </c>
      <c r="Q104" s="9">
        <f>Table1[[#This Row],[monthly_income]]*30%</f>
        <v>39000</v>
      </c>
      <c r="R104" s="1">
        <f>ROUNDUP(NPER(P104/100/12,-Q104,Table1[[#This Row],[Loan_Amount]]),0)</f>
        <v>53</v>
      </c>
      <c r="S104" s="1">
        <v>737</v>
      </c>
      <c r="T104" s="1" t="s">
        <v>20</v>
      </c>
      <c r="U104" s="1" t="str">
        <f>IF(Table1[[#This Row],[Repayment_Status]]="late","bad loan","good loan")</f>
        <v>good loan</v>
      </c>
      <c r="V104" s="1" t="str">
        <f>IF(Table1[[#This Row],[Repayment_Status]]="late","high","low")</f>
        <v>low</v>
      </c>
      <c r="W104" s="1">
        <f>(Table1[[#This Row],[monthly_EMI]]/Table1[[#This Row],[monthly_income]])*100</f>
        <v>30</v>
      </c>
      <c r="X104" s="7">
        <v>27118.07</v>
      </c>
    </row>
    <row r="105" spans="1:24" x14ac:dyDescent="0.25">
      <c r="A105" s="1" t="s">
        <v>669</v>
      </c>
      <c r="B105" s="2" t="s">
        <v>850</v>
      </c>
      <c r="C105" s="5">
        <v>40</v>
      </c>
      <c r="D105" s="1" t="s">
        <v>15</v>
      </c>
      <c r="E105" s="1" t="s">
        <v>29</v>
      </c>
      <c r="F105" s="1" t="s">
        <v>19</v>
      </c>
      <c r="G105" s="1">
        <f>YEAR(Table1[[#This Row],[Application_Date]])</f>
        <v>2024</v>
      </c>
      <c r="H105" s="1" t="str">
        <f>TEXT(Table1[[#This Row],[EMI_payment_date]],"mmmm")</f>
        <v>August</v>
      </c>
      <c r="I105" s="3">
        <v>45485</v>
      </c>
      <c r="J105" s="3">
        <f>EDATE(Table1[[#This Row],[Application_Date]],1)</f>
        <v>45516</v>
      </c>
      <c r="K105" s="9">
        <v>8292000</v>
      </c>
      <c r="L105" s="9">
        <f>Table1[[#This Row],[Annual_Income]]/12</f>
        <v>691000</v>
      </c>
      <c r="M105" s="9">
        <v>8492000</v>
      </c>
      <c r="N105" s="5">
        <f ca="1">DATEDIF(Table1[[#This Row],[EMI_payment_date]],TODAY(),"m")</f>
        <v>23</v>
      </c>
      <c r="O105" s="9">
        <f ca="1">Table1[[#This Row],[month_paid]]*Table1[[#This Row],[monthly_EMI]]</f>
        <v>4767900</v>
      </c>
      <c r="P105" s="1">
        <v>7.16</v>
      </c>
      <c r="Q105" s="9">
        <f>Table1[[#This Row],[monthly_income]]*30%</f>
        <v>207300</v>
      </c>
      <c r="R105" s="1">
        <f>ROUNDUP(NPER(P105/100/12,-Q105,Table1[[#This Row],[Loan_Amount]]),0)</f>
        <v>48</v>
      </c>
      <c r="S105" s="1">
        <v>617</v>
      </c>
      <c r="T105" s="1" t="s">
        <v>20</v>
      </c>
      <c r="U105" s="1" t="str">
        <f>IF(Table1[[#This Row],[Repayment_Status]]="late","bad loan","good loan")</f>
        <v>good loan</v>
      </c>
      <c r="V105" s="1" t="str">
        <f>IF(Table1[[#This Row],[Repayment_Status]]="late","high","low")</f>
        <v>low</v>
      </c>
      <c r="W105" s="1">
        <f>(Table1[[#This Row],[monthly_EMI]]/Table1[[#This Row],[monthly_income]])*100</f>
        <v>30</v>
      </c>
      <c r="X105" s="7">
        <v>33341.49</v>
      </c>
    </row>
    <row r="106" spans="1:24" x14ac:dyDescent="0.25">
      <c r="A106" s="1" t="s">
        <v>342</v>
      </c>
      <c r="B106" s="2" t="s">
        <v>886</v>
      </c>
      <c r="C106" s="5">
        <v>23</v>
      </c>
      <c r="D106" s="1" t="s">
        <v>15</v>
      </c>
      <c r="E106" s="1" t="s">
        <v>16</v>
      </c>
      <c r="F106" s="1" t="s">
        <v>31</v>
      </c>
      <c r="G106" s="1">
        <f>YEAR(Table1[[#This Row],[Application_Date]])</f>
        <v>2024</v>
      </c>
      <c r="H106" s="1" t="str">
        <f>TEXT(Table1[[#This Row],[EMI_payment_date]],"mmmm")</f>
        <v>August</v>
      </c>
      <c r="I106" s="3">
        <v>45486</v>
      </c>
      <c r="J106" s="3">
        <f>EDATE(Table1[[#This Row],[Application_Date]],1)</f>
        <v>45517</v>
      </c>
      <c r="K106" s="9">
        <v>4368000</v>
      </c>
      <c r="L106" s="9">
        <f>Table1[[#This Row],[Annual_Income]]/12</f>
        <v>364000</v>
      </c>
      <c r="M106" s="9">
        <v>4568000</v>
      </c>
      <c r="N106" s="5">
        <f ca="1">DATEDIF(Table1[[#This Row],[EMI_payment_date]],TODAY(),"m")</f>
        <v>23</v>
      </c>
      <c r="O106" s="9">
        <f ca="1">Table1[[#This Row],[month_paid]]*Table1[[#This Row],[monthly_EMI]]</f>
        <v>2511600</v>
      </c>
      <c r="P106" s="1">
        <v>5.34</v>
      </c>
      <c r="Q106" s="9">
        <f>Table1[[#This Row],[monthly_income]]*30%</f>
        <v>109200</v>
      </c>
      <c r="R106" s="1">
        <f>ROUNDUP(NPER(P106/100/12,-Q106,Table1[[#This Row],[Loan_Amount]]),0)</f>
        <v>47</v>
      </c>
      <c r="S106" s="1">
        <v>627</v>
      </c>
      <c r="T106" s="1" t="s">
        <v>20</v>
      </c>
      <c r="U106" s="1" t="str">
        <f>IF(Table1[[#This Row],[Repayment_Status]]="late","bad loan","good loan")</f>
        <v>good loan</v>
      </c>
      <c r="V106" s="1" t="str">
        <f>IF(Table1[[#This Row],[Repayment_Status]]="late","high","low")</f>
        <v>low</v>
      </c>
      <c r="W106" s="1">
        <f>(Table1[[#This Row],[monthly_EMI]]/Table1[[#This Row],[monthly_income]])*100</f>
        <v>30</v>
      </c>
      <c r="X106" s="7">
        <v>6238.46</v>
      </c>
    </row>
    <row r="107" spans="1:24" x14ac:dyDescent="0.25">
      <c r="A107" s="1" t="s">
        <v>443</v>
      </c>
      <c r="B107" s="2" t="s">
        <v>768</v>
      </c>
      <c r="C107" s="5">
        <v>54</v>
      </c>
      <c r="D107" s="1" t="s">
        <v>26</v>
      </c>
      <c r="E107" s="1" t="s">
        <v>36</v>
      </c>
      <c r="F107" s="1" t="s">
        <v>19</v>
      </c>
      <c r="G107" s="1">
        <f>YEAR(Table1[[#This Row],[Application_Date]])</f>
        <v>2024</v>
      </c>
      <c r="H107" s="1" t="str">
        <f>TEXT(Table1[[#This Row],[EMI_payment_date]],"mmmm")</f>
        <v>August</v>
      </c>
      <c r="I107" s="3">
        <v>45487</v>
      </c>
      <c r="J107" s="3">
        <f>EDATE(Table1[[#This Row],[Application_Date]],1)</f>
        <v>45518</v>
      </c>
      <c r="K107" s="9">
        <v>5580000</v>
      </c>
      <c r="L107" s="9">
        <f>Table1[[#This Row],[Annual_Income]]/12</f>
        <v>465000</v>
      </c>
      <c r="M107" s="9">
        <v>5780000</v>
      </c>
      <c r="N107" s="5">
        <f ca="1">DATEDIF(Table1[[#This Row],[EMI_payment_date]],TODAY(),"m")</f>
        <v>23</v>
      </c>
      <c r="O107" s="9">
        <f ca="1">Table1[[#This Row],[month_paid]]*Table1[[#This Row],[monthly_EMI]]</f>
        <v>3208500</v>
      </c>
      <c r="P107" s="1">
        <v>7.51</v>
      </c>
      <c r="Q107" s="9">
        <f>Table1[[#This Row],[monthly_income]]*30%</f>
        <v>139500</v>
      </c>
      <c r="R107" s="1">
        <f>ROUNDUP(NPER(P107/100/12,-Q107,Table1[[#This Row],[Loan_Amount]]),0)</f>
        <v>49</v>
      </c>
      <c r="S107" s="1">
        <v>820</v>
      </c>
      <c r="T107" s="1" t="s">
        <v>37</v>
      </c>
      <c r="U107" s="1" t="str">
        <f>IF(Table1[[#This Row],[Repayment_Status]]="late","bad loan","good loan")</f>
        <v>bad loan</v>
      </c>
      <c r="V107" s="1" t="str">
        <f>IF(Table1[[#This Row],[Repayment_Status]]="late","high","low")</f>
        <v>high</v>
      </c>
      <c r="W107" s="1">
        <f>(Table1[[#This Row],[monthly_EMI]]/Table1[[#This Row],[monthly_income]])*100</f>
        <v>30</v>
      </c>
      <c r="X107" s="7">
        <v>18868.38</v>
      </c>
    </row>
    <row r="108" spans="1:24" x14ac:dyDescent="0.25">
      <c r="A108" s="1" t="s">
        <v>398</v>
      </c>
      <c r="B108" s="2" t="s">
        <v>896</v>
      </c>
      <c r="C108" s="5">
        <v>24</v>
      </c>
      <c r="D108" s="1" t="s">
        <v>26</v>
      </c>
      <c r="E108" s="1" t="s">
        <v>29</v>
      </c>
      <c r="F108" s="1" t="s">
        <v>22</v>
      </c>
      <c r="G108" s="1">
        <f>YEAR(Table1[[#This Row],[Application_Date]])</f>
        <v>2024</v>
      </c>
      <c r="H108" s="1" t="str">
        <f>TEXT(Table1[[#This Row],[EMI_payment_date]],"mmmm")</f>
        <v>August</v>
      </c>
      <c r="I108" s="3">
        <v>45488</v>
      </c>
      <c r="J108" s="3">
        <f>EDATE(Table1[[#This Row],[Application_Date]],1)</f>
        <v>45519</v>
      </c>
      <c r="K108" s="9">
        <v>5040000</v>
      </c>
      <c r="L108" s="9">
        <f>Table1[[#This Row],[Annual_Income]]/12</f>
        <v>420000</v>
      </c>
      <c r="M108" s="9">
        <v>5240000</v>
      </c>
      <c r="N108" s="5">
        <f ca="1">DATEDIF(Table1[[#This Row],[EMI_payment_date]],TODAY(),"m")</f>
        <v>23</v>
      </c>
      <c r="O108" s="9">
        <f ca="1">Table1[[#This Row],[month_paid]]*Table1[[#This Row],[monthly_EMI]]</f>
        <v>2898000</v>
      </c>
      <c r="P108" s="1">
        <v>6.89</v>
      </c>
      <c r="Q108" s="9">
        <f>Table1[[#This Row],[monthly_income]]*30%</f>
        <v>126000</v>
      </c>
      <c r="R108" s="1">
        <f>ROUNDUP(NPER(P108/100/12,-Q108,Table1[[#This Row],[Loan_Amount]]),0)</f>
        <v>48</v>
      </c>
      <c r="S108" s="1">
        <v>810</v>
      </c>
      <c r="T108" s="1" t="s">
        <v>37</v>
      </c>
      <c r="U108" s="1" t="str">
        <f>IF(Table1[[#This Row],[Repayment_Status]]="late","bad loan","good loan")</f>
        <v>bad loan</v>
      </c>
      <c r="V108" s="1" t="str">
        <f>IF(Table1[[#This Row],[Repayment_Status]]="late","high","low")</f>
        <v>high</v>
      </c>
      <c r="W108" s="1">
        <f>(Table1[[#This Row],[monthly_EMI]]/Table1[[#This Row],[monthly_income]])*100</f>
        <v>30</v>
      </c>
      <c r="X108" s="7">
        <v>23362.57</v>
      </c>
    </row>
    <row r="109" spans="1:24" x14ac:dyDescent="0.25">
      <c r="A109" s="1" t="s">
        <v>320</v>
      </c>
      <c r="B109" s="2" t="s">
        <v>878</v>
      </c>
      <c r="C109" s="5">
        <v>34</v>
      </c>
      <c r="D109" s="1" t="s">
        <v>15</v>
      </c>
      <c r="E109" s="1" t="s">
        <v>16</v>
      </c>
      <c r="F109" s="1" t="s">
        <v>19</v>
      </c>
      <c r="G109" s="1">
        <f>YEAR(Table1[[#This Row],[Application_Date]])</f>
        <v>2024</v>
      </c>
      <c r="H109" s="1" t="str">
        <f>TEXT(Table1[[#This Row],[EMI_payment_date]],"mmmm")</f>
        <v>August</v>
      </c>
      <c r="I109" s="3">
        <v>45489</v>
      </c>
      <c r="J109" s="3">
        <f>EDATE(Table1[[#This Row],[Application_Date]],1)</f>
        <v>45520</v>
      </c>
      <c r="K109" s="9">
        <v>4104000</v>
      </c>
      <c r="L109" s="9">
        <f>Table1[[#This Row],[Annual_Income]]/12</f>
        <v>342000</v>
      </c>
      <c r="M109" s="9">
        <v>4304000</v>
      </c>
      <c r="N109" s="5">
        <f ca="1">DATEDIF(Table1[[#This Row],[EMI_payment_date]],TODAY(),"m")</f>
        <v>23</v>
      </c>
      <c r="O109" s="9">
        <f ca="1">Table1[[#This Row],[month_paid]]*Table1[[#This Row],[monthly_EMI]]</f>
        <v>2359800</v>
      </c>
      <c r="P109" s="1">
        <v>9.57</v>
      </c>
      <c r="Q109" s="9">
        <f>Table1[[#This Row],[monthly_income]]*30%</f>
        <v>102600</v>
      </c>
      <c r="R109" s="1">
        <f>ROUNDUP(NPER(P109/100/12,-Q109,Table1[[#This Row],[Loan_Amount]]),0)</f>
        <v>52</v>
      </c>
      <c r="S109" s="1">
        <v>806</v>
      </c>
      <c r="T109" s="1" t="s">
        <v>20</v>
      </c>
      <c r="U109" s="1" t="str">
        <f>IF(Table1[[#This Row],[Repayment_Status]]="late","bad loan","good loan")</f>
        <v>good loan</v>
      </c>
      <c r="V109" s="1" t="str">
        <f>IF(Table1[[#This Row],[Repayment_Status]]="late","high","low")</f>
        <v>low</v>
      </c>
      <c r="W109" s="1">
        <f>(Table1[[#This Row],[monthly_EMI]]/Table1[[#This Row],[monthly_income]])*100</f>
        <v>30</v>
      </c>
      <c r="X109" s="7">
        <v>19713.47</v>
      </c>
    </row>
    <row r="110" spans="1:24" x14ac:dyDescent="0.25">
      <c r="A110" s="1" t="s">
        <v>382</v>
      </c>
      <c r="B110" s="2" t="s">
        <v>841</v>
      </c>
      <c r="C110" s="5">
        <v>51</v>
      </c>
      <c r="D110" s="1" t="s">
        <v>15</v>
      </c>
      <c r="E110" s="1" t="s">
        <v>27</v>
      </c>
      <c r="F110" s="1" t="s">
        <v>17</v>
      </c>
      <c r="G110" s="1">
        <f>YEAR(Table1[[#This Row],[Application_Date]])</f>
        <v>2024</v>
      </c>
      <c r="H110" s="1" t="str">
        <f>TEXT(Table1[[#This Row],[EMI_payment_date]],"mmmm")</f>
        <v>August</v>
      </c>
      <c r="I110" s="3">
        <v>45490</v>
      </c>
      <c r="J110" s="3">
        <f>EDATE(Table1[[#This Row],[Application_Date]],1)</f>
        <v>45521</v>
      </c>
      <c r="K110" s="9">
        <v>4848000</v>
      </c>
      <c r="L110" s="9">
        <f>Table1[[#This Row],[Annual_Income]]/12</f>
        <v>404000</v>
      </c>
      <c r="M110" s="9">
        <v>5048000</v>
      </c>
      <c r="N110" s="5">
        <f ca="1">DATEDIF(Table1[[#This Row],[EMI_payment_date]],TODAY(),"m")</f>
        <v>23</v>
      </c>
      <c r="O110" s="9">
        <f ca="1">Table1[[#This Row],[month_paid]]*Table1[[#This Row],[monthly_EMI]]</f>
        <v>2787600</v>
      </c>
      <c r="P110" s="1">
        <v>5.12</v>
      </c>
      <c r="Q110" s="9">
        <f>Table1[[#This Row],[monthly_income]]*30%</f>
        <v>121200</v>
      </c>
      <c r="R110" s="1">
        <f>ROUNDUP(NPER(P110/100/12,-Q110,Table1[[#This Row],[Loan_Amount]]),0)</f>
        <v>46</v>
      </c>
      <c r="S110" s="1">
        <v>606</v>
      </c>
      <c r="T110" s="1" t="s">
        <v>20</v>
      </c>
      <c r="U110" s="1" t="str">
        <f>IF(Table1[[#This Row],[Repayment_Status]]="late","bad loan","good loan")</f>
        <v>good loan</v>
      </c>
      <c r="V110" s="1" t="str">
        <f>IF(Table1[[#This Row],[Repayment_Status]]="late","high","low")</f>
        <v>low</v>
      </c>
      <c r="W110" s="1">
        <f>(Table1[[#This Row],[monthly_EMI]]/Table1[[#This Row],[monthly_income]])*100</f>
        <v>30</v>
      </c>
      <c r="X110" s="7">
        <v>17630.490000000002</v>
      </c>
    </row>
    <row r="111" spans="1:24" x14ac:dyDescent="0.25">
      <c r="A111" s="1" t="s">
        <v>395</v>
      </c>
      <c r="B111" s="2" t="s">
        <v>864</v>
      </c>
      <c r="C111" s="5">
        <v>48</v>
      </c>
      <c r="D111" s="1" t="s">
        <v>26</v>
      </c>
      <c r="E111" s="1" t="s">
        <v>16</v>
      </c>
      <c r="F111" s="1" t="s">
        <v>51</v>
      </c>
      <c r="G111" s="1">
        <f>YEAR(Table1[[#This Row],[Application_Date]])</f>
        <v>2024</v>
      </c>
      <c r="H111" s="1" t="str">
        <f>TEXT(Table1[[#This Row],[EMI_payment_date]],"mmmm")</f>
        <v>August</v>
      </c>
      <c r="I111" s="3">
        <v>45491</v>
      </c>
      <c r="J111" s="3">
        <f>EDATE(Table1[[#This Row],[Application_Date]],1)</f>
        <v>45522</v>
      </c>
      <c r="K111" s="9">
        <v>5004000</v>
      </c>
      <c r="L111" s="9">
        <f>Table1[[#This Row],[Annual_Income]]/12</f>
        <v>417000</v>
      </c>
      <c r="M111" s="9">
        <v>5204000</v>
      </c>
      <c r="N111" s="5">
        <f ca="1">DATEDIF(Table1[[#This Row],[EMI_payment_date]],TODAY(),"m")</f>
        <v>23</v>
      </c>
      <c r="O111" s="9">
        <f ca="1">Table1[[#This Row],[month_paid]]*Table1[[#This Row],[monthly_EMI]]</f>
        <v>2877300</v>
      </c>
      <c r="P111" s="1">
        <v>9.1999999999999993</v>
      </c>
      <c r="Q111" s="9">
        <f>Table1[[#This Row],[monthly_income]]*30%</f>
        <v>125100</v>
      </c>
      <c r="R111" s="1">
        <f>ROUNDUP(NPER(P111/100/12,-Q111,Table1[[#This Row],[Loan_Amount]]),0)</f>
        <v>51</v>
      </c>
      <c r="S111" s="1">
        <v>847</v>
      </c>
      <c r="T111" s="1" t="s">
        <v>20</v>
      </c>
      <c r="U111" s="1" t="str">
        <f>IF(Table1[[#This Row],[Repayment_Status]]="late","bad loan","good loan")</f>
        <v>good loan</v>
      </c>
      <c r="V111" s="1" t="str">
        <f>IF(Table1[[#This Row],[Repayment_Status]]="late","high","low")</f>
        <v>low</v>
      </c>
      <c r="W111" s="1">
        <f>(Table1[[#This Row],[monthly_EMI]]/Table1[[#This Row],[monthly_income]])*100</f>
        <v>30</v>
      </c>
      <c r="X111" s="7">
        <v>34001.65</v>
      </c>
    </row>
    <row r="112" spans="1:24" x14ac:dyDescent="0.25">
      <c r="A112" s="1" t="s">
        <v>624</v>
      </c>
      <c r="B112" s="2" t="s">
        <v>874</v>
      </c>
      <c r="C112" s="5">
        <v>48</v>
      </c>
      <c r="D112" s="1" t="s">
        <v>26</v>
      </c>
      <c r="E112" s="1" t="s">
        <v>33</v>
      </c>
      <c r="F112" s="1" t="s">
        <v>19</v>
      </c>
      <c r="G112" s="1">
        <f>YEAR(Table1[[#This Row],[Application_Date]])</f>
        <v>2024</v>
      </c>
      <c r="H112" s="1" t="str">
        <f>TEXT(Table1[[#This Row],[EMI_payment_date]],"mmmm")</f>
        <v>August</v>
      </c>
      <c r="I112" s="3">
        <v>45492</v>
      </c>
      <c r="J112" s="3">
        <f>EDATE(Table1[[#This Row],[Application_Date]],1)</f>
        <v>45523</v>
      </c>
      <c r="K112" s="9">
        <v>7752000</v>
      </c>
      <c r="L112" s="9">
        <f>Table1[[#This Row],[Annual_Income]]/12</f>
        <v>646000</v>
      </c>
      <c r="M112" s="9">
        <v>7952000</v>
      </c>
      <c r="N112" s="5">
        <f ca="1">DATEDIF(Table1[[#This Row],[EMI_payment_date]],TODAY(),"m")</f>
        <v>23</v>
      </c>
      <c r="O112" s="9">
        <f ca="1">Table1[[#This Row],[month_paid]]*Table1[[#This Row],[monthly_EMI]]</f>
        <v>4457400</v>
      </c>
      <c r="P112" s="1">
        <v>9.98</v>
      </c>
      <c r="Q112" s="9">
        <f>Table1[[#This Row],[monthly_income]]*30%</f>
        <v>193800</v>
      </c>
      <c r="R112" s="1">
        <f>ROUNDUP(NPER(P112/100/12,-Q112,Table1[[#This Row],[Loan_Amount]]),0)</f>
        <v>51</v>
      </c>
      <c r="S112" s="1">
        <v>690</v>
      </c>
      <c r="T112" s="1" t="s">
        <v>37</v>
      </c>
      <c r="U112" s="1" t="str">
        <f>IF(Table1[[#This Row],[Repayment_Status]]="late","bad loan","good loan")</f>
        <v>bad loan</v>
      </c>
      <c r="V112" s="1" t="str">
        <f>IF(Table1[[#This Row],[Repayment_Status]]="late","high","low")</f>
        <v>high</v>
      </c>
      <c r="W112" s="1">
        <f>(Table1[[#This Row],[monthly_EMI]]/Table1[[#This Row],[monthly_income]])*100</f>
        <v>30</v>
      </c>
      <c r="X112" s="7">
        <v>24884.21</v>
      </c>
    </row>
    <row r="113" spans="1:24" x14ac:dyDescent="0.25">
      <c r="A113" s="1" t="s">
        <v>543</v>
      </c>
      <c r="B113" s="2" t="s">
        <v>812</v>
      </c>
      <c r="C113" s="5">
        <v>45</v>
      </c>
      <c r="D113" s="1" t="s">
        <v>15</v>
      </c>
      <c r="E113" s="1" t="s">
        <v>16</v>
      </c>
      <c r="F113" s="1" t="s">
        <v>31</v>
      </c>
      <c r="G113" s="1">
        <f>YEAR(Table1[[#This Row],[Application_Date]])</f>
        <v>2024</v>
      </c>
      <c r="H113" s="1" t="str">
        <f>TEXT(Table1[[#This Row],[EMI_payment_date]],"mmmm")</f>
        <v>August</v>
      </c>
      <c r="I113" s="3">
        <v>45493</v>
      </c>
      <c r="J113" s="3">
        <f>EDATE(Table1[[#This Row],[Application_Date]],1)</f>
        <v>45524</v>
      </c>
      <c r="K113" s="9">
        <v>6780000</v>
      </c>
      <c r="L113" s="9">
        <f>Table1[[#This Row],[Annual_Income]]/12</f>
        <v>565000</v>
      </c>
      <c r="M113" s="9">
        <v>6980000</v>
      </c>
      <c r="N113" s="5">
        <f ca="1">DATEDIF(Table1[[#This Row],[EMI_payment_date]],TODAY(),"m")</f>
        <v>23</v>
      </c>
      <c r="O113" s="9">
        <f ca="1">Table1[[#This Row],[month_paid]]*Table1[[#This Row],[monthly_EMI]]</f>
        <v>3898500</v>
      </c>
      <c r="P113" s="1">
        <v>8.68</v>
      </c>
      <c r="Q113" s="9">
        <f>Table1[[#This Row],[monthly_income]]*30%</f>
        <v>169500</v>
      </c>
      <c r="R113" s="1">
        <f>ROUNDUP(NPER(P113/100/12,-Q113,Table1[[#This Row],[Loan_Amount]]),0)</f>
        <v>50</v>
      </c>
      <c r="S113" s="1">
        <v>827</v>
      </c>
      <c r="T113" s="1" t="s">
        <v>37</v>
      </c>
      <c r="U113" s="1" t="str">
        <f>IF(Table1[[#This Row],[Repayment_Status]]="late","bad loan","good loan")</f>
        <v>bad loan</v>
      </c>
      <c r="V113" s="1" t="str">
        <f>IF(Table1[[#This Row],[Repayment_Status]]="late","high","low")</f>
        <v>high</v>
      </c>
      <c r="W113" s="1">
        <f>(Table1[[#This Row],[monthly_EMI]]/Table1[[#This Row],[monthly_income]])*100</f>
        <v>30</v>
      </c>
      <c r="X113" s="7">
        <v>13229.54</v>
      </c>
    </row>
    <row r="114" spans="1:24" x14ac:dyDescent="0.25">
      <c r="A114" s="1" t="s">
        <v>466</v>
      </c>
      <c r="B114" s="2" t="s">
        <v>798</v>
      </c>
      <c r="C114" s="5">
        <v>58</v>
      </c>
      <c r="D114" s="1" t="s">
        <v>26</v>
      </c>
      <c r="E114" s="1" t="s">
        <v>33</v>
      </c>
      <c r="F114" s="1" t="s">
        <v>17</v>
      </c>
      <c r="G114" s="1">
        <f>YEAR(Table1[[#This Row],[Application_Date]])</f>
        <v>2024</v>
      </c>
      <c r="H114" s="1" t="str">
        <f>TEXT(Table1[[#This Row],[EMI_payment_date]],"mmmm")</f>
        <v>August</v>
      </c>
      <c r="I114" s="3">
        <v>45494</v>
      </c>
      <c r="J114" s="3">
        <f>EDATE(Table1[[#This Row],[Application_Date]],1)</f>
        <v>45525</v>
      </c>
      <c r="K114" s="9">
        <v>5856000</v>
      </c>
      <c r="L114" s="9">
        <f>Table1[[#This Row],[Annual_Income]]/12</f>
        <v>488000</v>
      </c>
      <c r="M114" s="9">
        <v>6056000</v>
      </c>
      <c r="N114" s="5">
        <f ca="1">DATEDIF(Table1[[#This Row],[EMI_payment_date]],TODAY(),"m")</f>
        <v>23</v>
      </c>
      <c r="O114" s="9">
        <f ca="1">Table1[[#This Row],[month_paid]]*Table1[[#This Row],[monthly_EMI]]</f>
        <v>3367200</v>
      </c>
      <c r="P114" s="1">
        <v>5.71</v>
      </c>
      <c r="Q114" s="9">
        <f>Table1[[#This Row],[monthly_income]]*30%</f>
        <v>146400</v>
      </c>
      <c r="R114" s="1">
        <f>ROUNDUP(NPER(P114/100/12,-Q114,Table1[[#This Row],[Loan_Amount]]),0)</f>
        <v>47</v>
      </c>
      <c r="S114" s="1">
        <v>758</v>
      </c>
      <c r="T114" s="1" t="s">
        <v>37</v>
      </c>
      <c r="U114" s="1" t="str">
        <f>IF(Table1[[#This Row],[Repayment_Status]]="late","bad loan","good loan")</f>
        <v>bad loan</v>
      </c>
      <c r="V114" s="1" t="str">
        <f>IF(Table1[[#This Row],[Repayment_Status]]="late","high","low")</f>
        <v>high</v>
      </c>
      <c r="W114" s="1">
        <f>(Table1[[#This Row],[monthly_EMI]]/Table1[[#This Row],[monthly_income]])*100</f>
        <v>30</v>
      </c>
      <c r="X114" s="7">
        <v>22789.1</v>
      </c>
    </row>
    <row r="115" spans="1:24" x14ac:dyDescent="0.25">
      <c r="A115" s="1" t="s">
        <v>554</v>
      </c>
      <c r="B115" s="2" t="s">
        <v>805</v>
      </c>
      <c r="C115" s="5">
        <v>39</v>
      </c>
      <c r="D115" s="1" t="s">
        <v>15</v>
      </c>
      <c r="E115" s="1" t="s">
        <v>24</v>
      </c>
      <c r="F115" s="1" t="s">
        <v>22</v>
      </c>
      <c r="G115" s="1">
        <f>YEAR(Table1[[#This Row],[Application_Date]])</f>
        <v>2024</v>
      </c>
      <c r="H115" s="1" t="str">
        <f>TEXT(Table1[[#This Row],[EMI_payment_date]],"mmmm")</f>
        <v>August</v>
      </c>
      <c r="I115" s="3">
        <v>45495</v>
      </c>
      <c r="J115" s="3">
        <f>EDATE(Table1[[#This Row],[Application_Date]],1)</f>
        <v>45526</v>
      </c>
      <c r="K115" s="9">
        <v>6912000</v>
      </c>
      <c r="L115" s="9">
        <f>Table1[[#This Row],[Annual_Income]]/12</f>
        <v>576000</v>
      </c>
      <c r="M115" s="9">
        <v>7112000</v>
      </c>
      <c r="N115" s="5">
        <f ca="1">DATEDIF(Table1[[#This Row],[EMI_payment_date]],TODAY(),"m")</f>
        <v>23</v>
      </c>
      <c r="O115" s="9">
        <f ca="1">Table1[[#This Row],[month_paid]]*Table1[[#This Row],[monthly_EMI]]</f>
        <v>3974400</v>
      </c>
      <c r="P115" s="1">
        <v>8.94</v>
      </c>
      <c r="Q115" s="9">
        <f>Table1[[#This Row],[monthly_income]]*30%</f>
        <v>172800</v>
      </c>
      <c r="R115" s="1">
        <f>ROUNDUP(NPER(P115/100/12,-Q115,Table1[[#This Row],[Loan_Amount]]),0)</f>
        <v>50</v>
      </c>
      <c r="S115" s="1">
        <v>764</v>
      </c>
      <c r="T115" s="1" t="s">
        <v>20</v>
      </c>
      <c r="U115" s="1" t="str">
        <f>IF(Table1[[#This Row],[Repayment_Status]]="late","bad loan","good loan")</f>
        <v>good loan</v>
      </c>
      <c r="V115" s="1" t="str">
        <f>IF(Table1[[#This Row],[Repayment_Status]]="late","high","low")</f>
        <v>low</v>
      </c>
      <c r="W115" s="1">
        <f>(Table1[[#This Row],[monthly_EMI]]/Table1[[#This Row],[monthly_income]])*100</f>
        <v>30</v>
      </c>
      <c r="X115" s="7">
        <v>12155.13</v>
      </c>
    </row>
    <row r="116" spans="1:24" x14ac:dyDescent="0.25">
      <c r="A116" s="1" t="s">
        <v>153</v>
      </c>
      <c r="B116" s="2" t="s">
        <v>775</v>
      </c>
      <c r="C116" s="5">
        <v>31</v>
      </c>
      <c r="D116" s="1" t="s">
        <v>26</v>
      </c>
      <c r="E116" s="1" t="s">
        <v>36</v>
      </c>
      <c r="F116" s="1" t="s">
        <v>51</v>
      </c>
      <c r="G116" s="1">
        <f>YEAR(Table1[[#This Row],[Application_Date]])</f>
        <v>2024</v>
      </c>
      <c r="H116" s="1" t="str">
        <f>TEXT(Table1[[#This Row],[EMI_payment_date]],"mmmm")</f>
        <v>August</v>
      </c>
      <c r="I116" s="3">
        <v>45496</v>
      </c>
      <c r="J116" s="3">
        <f>EDATE(Table1[[#This Row],[Application_Date]],1)</f>
        <v>45527</v>
      </c>
      <c r="K116" s="9">
        <v>2100000</v>
      </c>
      <c r="L116" s="9">
        <f>Table1[[#This Row],[Annual_Income]]/12</f>
        <v>175000</v>
      </c>
      <c r="M116" s="9">
        <v>2300000</v>
      </c>
      <c r="N116" s="5">
        <f ca="1">DATEDIF(Table1[[#This Row],[EMI_payment_date]],TODAY(),"m")</f>
        <v>23</v>
      </c>
      <c r="O116" s="9">
        <f ca="1">Table1[[#This Row],[month_paid]]*Table1[[#This Row],[monthly_EMI]]</f>
        <v>1207500</v>
      </c>
      <c r="P116" s="1">
        <v>6.42</v>
      </c>
      <c r="Q116" s="9">
        <f>Table1[[#This Row],[monthly_income]]*30%</f>
        <v>52500</v>
      </c>
      <c r="R116" s="1">
        <f>ROUNDUP(NPER(P116/100/12,-Q116,Table1[[#This Row],[Loan_Amount]]),0)</f>
        <v>51</v>
      </c>
      <c r="S116" s="1">
        <v>758</v>
      </c>
      <c r="T116" s="1" t="s">
        <v>37</v>
      </c>
      <c r="U116" s="1" t="str">
        <f>IF(Table1[[#This Row],[Repayment_Status]]="late","bad loan","good loan")</f>
        <v>bad loan</v>
      </c>
      <c r="V116" s="1" t="str">
        <f>IF(Table1[[#This Row],[Repayment_Status]]="late","high","low")</f>
        <v>high</v>
      </c>
      <c r="W116" s="1">
        <f>(Table1[[#This Row],[monthly_EMI]]/Table1[[#This Row],[monthly_income]])*100</f>
        <v>30</v>
      </c>
      <c r="X116" s="7">
        <v>16839.27</v>
      </c>
    </row>
    <row r="117" spans="1:24" x14ac:dyDescent="0.25">
      <c r="A117" s="1" t="s">
        <v>706</v>
      </c>
      <c r="B117" s="2" t="s">
        <v>823</v>
      </c>
      <c r="C117" s="5">
        <v>38</v>
      </c>
      <c r="D117" s="1" t="s">
        <v>26</v>
      </c>
      <c r="E117" s="1" t="s">
        <v>27</v>
      </c>
      <c r="F117" s="1" t="s">
        <v>19</v>
      </c>
      <c r="G117" s="1">
        <f>YEAR(Table1[[#This Row],[Application_Date]])</f>
        <v>2024</v>
      </c>
      <c r="H117" s="1" t="str">
        <f>TEXT(Table1[[#This Row],[EMI_payment_date]],"mmmm")</f>
        <v>August</v>
      </c>
      <c r="I117" s="3">
        <v>45497</v>
      </c>
      <c r="J117" s="3">
        <f>EDATE(Table1[[#This Row],[Application_Date]],1)</f>
        <v>45528</v>
      </c>
      <c r="K117" s="9">
        <v>8736000</v>
      </c>
      <c r="L117" s="9">
        <f>Table1[[#This Row],[Annual_Income]]/12</f>
        <v>728000</v>
      </c>
      <c r="M117" s="9">
        <v>8936000</v>
      </c>
      <c r="N117" s="5">
        <f ca="1">DATEDIF(Table1[[#This Row],[EMI_payment_date]],TODAY(),"m")</f>
        <v>23</v>
      </c>
      <c r="O117" s="9">
        <f ca="1">Table1[[#This Row],[month_paid]]*Table1[[#This Row],[monthly_EMI]]</f>
        <v>5023200</v>
      </c>
      <c r="P117" s="1">
        <v>5.36</v>
      </c>
      <c r="Q117" s="9">
        <f>Table1[[#This Row],[monthly_income]]*30%</f>
        <v>218400</v>
      </c>
      <c r="R117" s="1">
        <f>ROUNDUP(NPER(P117/100/12,-Q117,Table1[[#This Row],[Loan_Amount]]),0)</f>
        <v>46</v>
      </c>
      <c r="S117" s="1">
        <v>629</v>
      </c>
      <c r="T117" s="1" t="s">
        <v>20</v>
      </c>
      <c r="U117" s="1" t="str">
        <f>IF(Table1[[#This Row],[Repayment_Status]]="late","bad loan","good loan")</f>
        <v>good loan</v>
      </c>
      <c r="V117" s="1" t="str">
        <f>IF(Table1[[#This Row],[Repayment_Status]]="late","high","low")</f>
        <v>low</v>
      </c>
      <c r="W117" s="1">
        <f>(Table1[[#This Row],[monthly_EMI]]/Table1[[#This Row],[monthly_income]])*100</f>
        <v>30</v>
      </c>
      <c r="X117" s="7">
        <v>23316.62</v>
      </c>
    </row>
    <row r="118" spans="1:24" x14ac:dyDescent="0.25">
      <c r="A118" s="1" t="s">
        <v>192</v>
      </c>
      <c r="B118" s="2" t="s">
        <v>840</v>
      </c>
      <c r="C118" s="5">
        <v>56</v>
      </c>
      <c r="D118" s="1" t="s">
        <v>26</v>
      </c>
      <c r="E118" s="1" t="s">
        <v>27</v>
      </c>
      <c r="F118" s="1" t="s">
        <v>51</v>
      </c>
      <c r="G118" s="1">
        <f>YEAR(Table1[[#This Row],[Application_Date]])</f>
        <v>2024</v>
      </c>
      <c r="H118" s="1" t="str">
        <f>TEXT(Table1[[#This Row],[EMI_payment_date]],"mmmm")</f>
        <v>August</v>
      </c>
      <c r="I118" s="3">
        <v>45498</v>
      </c>
      <c r="J118" s="3">
        <f>EDATE(Table1[[#This Row],[Application_Date]],1)</f>
        <v>45529</v>
      </c>
      <c r="K118" s="9">
        <v>2568000</v>
      </c>
      <c r="L118" s="9">
        <f>Table1[[#This Row],[Annual_Income]]/12</f>
        <v>214000</v>
      </c>
      <c r="M118" s="9">
        <v>2768000</v>
      </c>
      <c r="N118" s="5">
        <f ca="1">DATEDIF(Table1[[#This Row],[EMI_payment_date]],TODAY(),"m")</f>
        <v>23</v>
      </c>
      <c r="O118" s="9">
        <f ca="1">Table1[[#This Row],[month_paid]]*Table1[[#This Row],[monthly_EMI]]</f>
        <v>1476600</v>
      </c>
      <c r="P118" s="1">
        <v>9.86</v>
      </c>
      <c r="Q118" s="9">
        <f>Table1[[#This Row],[monthly_income]]*30%</f>
        <v>64200</v>
      </c>
      <c r="R118" s="1">
        <f>ROUNDUP(NPER(P118/100/12,-Q118,Table1[[#This Row],[Loan_Amount]]),0)</f>
        <v>54</v>
      </c>
      <c r="S118" s="1">
        <v>679</v>
      </c>
      <c r="T118" s="1" t="s">
        <v>20</v>
      </c>
      <c r="U118" s="1" t="str">
        <f>IF(Table1[[#This Row],[Repayment_Status]]="late","bad loan","good loan")</f>
        <v>good loan</v>
      </c>
      <c r="V118" s="1" t="str">
        <f>IF(Table1[[#This Row],[Repayment_Status]]="late","high","low")</f>
        <v>low</v>
      </c>
      <c r="W118" s="1">
        <f>(Table1[[#This Row],[monthly_EMI]]/Table1[[#This Row],[monthly_income]])*100</f>
        <v>30</v>
      </c>
      <c r="X118" s="7">
        <v>32644.9</v>
      </c>
    </row>
    <row r="119" spans="1:24" x14ac:dyDescent="0.25">
      <c r="A119" s="1" t="s">
        <v>608</v>
      </c>
      <c r="B119" s="2" t="s">
        <v>881</v>
      </c>
      <c r="C119" s="5">
        <v>56</v>
      </c>
      <c r="D119" s="1" t="s">
        <v>15</v>
      </c>
      <c r="E119" s="1" t="s">
        <v>24</v>
      </c>
      <c r="F119" s="1" t="s">
        <v>19</v>
      </c>
      <c r="G119" s="1">
        <f>YEAR(Table1[[#This Row],[Application_Date]])</f>
        <v>2024</v>
      </c>
      <c r="H119" s="1" t="str">
        <f>TEXT(Table1[[#This Row],[EMI_payment_date]],"mmmm")</f>
        <v>August</v>
      </c>
      <c r="I119" s="3">
        <v>45499</v>
      </c>
      <c r="J119" s="3">
        <f>EDATE(Table1[[#This Row],[Application_Date]],1)</f>
        <v>45530</v>
      </c>
      <c r="K119" s="9">
        <v>7560000</v>
      </c>
      <c r="L119" s="9">
        <f>Table1[[#This Row],[Annual_Income]]/12</f>
        <v>630000</v>
      </c>
      <c r="M119" s="9">
        <v>7760000</v>
      </c>
      <c r="N119" s="5">
        <f ca="1">DATEDIF(Table1[[#This Row],[EMI_payment_date]],TODAY(),"m")</f>
        <v>23</v>
      </c>
      <c r="O119" s="9">
        <f ca="1">Table1[[#This Row],[month_paid]]*Table1[[#This Row],[monthly_EMI]]</f>
        <v>4347000</v>
      </c>
      <c r="P119" s="1">
        <v>8.07</v>
      </c>
      <c r="Q119" s="9">
        <f>Table1[[#This Row],[monthly_income]]*30%</f>
        <v>189000</v>
      </c>
      <c r="R119" s="1">
        <f>ROUNDUP(NPER(P119/100/12,-Q119,Table1[[#This Row],[Loan_Amount]]),0)</f>
        <v>49</v>
      </c>
      <c r="S119" s="1">
        <v>652</v>
      </c>
      <c r="T119" s="1" t="s">
        <v>37</v>
      </c>
      <c r="U119" s="1" t="str">
        <f>IF(Table1[[#This Row],[Repayment_Status]]="late","bad loan","good loan")</f>
        <v>bad loan</v>
      </c>
      <c r="V119" s="1" t="str">
        <f>IF(Table1[[#This Row],[Repayment_Status]]="late","high","low")</f>
        <v>high</v>
      </c>
      <c r="W119" s="1">
        <f>(Table1[[#This Row],[monthly_EMI]]/Table1[[#This Row],[monthly_income]])*100</f>
        <v>30</v>
      </c>
      <c r="X119" s="7">
        <v>23112.85</v>
      </c>
    </row>
    <row r="120" spans="1:24" x14ac:dyDescent="0.25">
      <c r="A120" s="1" t="s">
        <v>537</v>
      </c>
      <c r="B120" s="2" t="s">
        <v>768</v>
      </c>
      <c r="C120" s="5">
        <v>40</v>
      </c>
      <c r="D120" s="1" t="s">
        <v>15</v>
      </c>
      <c r="E120" s="1" t="s">
        <v>33</v>
      </c>
      <c r="F120" s="1" t="s">
        <v>31</v>
      </c>
      <c r="G120" s="1">
        <f>YEAR(Table1[[#This Row],[Application_Date]])</f>
        <v>2024</v>
      </c>
      <c r="H120" s="1" t="str">
        <f>TEXT(Table1[[#This Row],[EMI_payment_date]],"mmmm")</f>
        <v>August</v>
      </c>
      <c r="I120" s="3">
        <v>45500</v>
      </c>
      <c r="J120" s="3">
        <f>EDATE(Table1[[#This Row],[Application_Date]],1)</f>
        <v>45531</v>
      </c>
      <c r="K120" s="9">
        <v>6708000</v>
      </c>
      <c r="L120" s="9">
        <f>Table1[[#This Row],[Annual_Income]]/12</f>
        <v>559000</v>
      </c>
      <c r="M120" s="9">
        <v>6908000</v>
      </c>
      <c r="N120" s="5">
        <f ca="1">DATEDIF(Table1[[#This Row],[EMI_payment_date]],TODAY(),"m")</f>
        <v>23</v>
      </c>
      <c r="O120" s="9">
        <f ca="1">Table1[[#This Row],[month_paid]]*Table1[[#This Row],[monthly_EMI]]</f>
        <v>3857100</v>
      </c>
      <c r="P120" s="1">
        <v>6.57</v>
      </c>
      <c r="Q120" s="9">
        <f>Table1[[#This Row],[monthly_income]]*30%</f>
        <v>167700</v>
      </c>
      <c r="R120" s="1">
        <f>ROUNDUP(NPER(P120/100/12,-Q120,Table1[[#This Row],[Loan_Amount]]),0)</f>
        <v>47</v>
      </c>
      <c r="S120" s="1">
        <v>607</v>
      </c>
      <c r="T120" s="1" t="s">
        <v>37</v>
      </c>
      <c r="U120" s="1" t="str">
        <f>IF(Table1[[#This Row],[Repayment_Status]]="late","bad loan","good loan")</f>
        <v>bad loan</v>
      </c>
      <c r="V120" s="1" t="str">
        <f>IF(Table1[[#This Row],[Repayment_Status]]="late","high","low")</f>
        <v>high</v>
      </c>
      <c r="W120" s="1">
        <f>(Table1[[#This Row],[monthly_EMI]]/Table1[[#This Row],[monthly_income]])*100</f>
        <v>30</v>
      </c>
      <c r="X120" s="7">
        <v>17132.41</v>
      </c>
    </row>
    <row r="121" spans="1:24" x14ac:dyDescent="0.25">
      <c r="A121" s="1" t="s">
        <v>343</v>
      </c>
      <c r="B121" s="2" t="s">
        <v>814</v>
      </c>
      <c r="C121" s="5">
        <v>26</v>
      </c>
      <c r="D121" s="1" t="s">
        <v>15</v>
      </c>
      <c r="E121" s="1" t="s">
        <v>27</v>
      </c>
      <c r="F121" s="1" t="s">
        <v>31</v>
      </c>
      <c r="G121" s="1">
        <f>YEAR(Table1[[#This Row],[Application_Date]])</f>
        <v>2024</v>
      </c>
      <c r="H121" s="1" t="str">
        <f>TEXT(Table1[[#This Row],[EMI_payment_date]],"mmmm")</f>
        <v>August</v>
      </c>
      <c r="I121" s="3">
        <v>45501</v>
      </c>
      <c r="J121" s="3">
        <f>EDATE(Table1[[#This Row],[Application_Date]],1)</f>
        <v>45532</v>
      </c>
      <c r="K121" s="9">
        <v>4380000</v>
      </c>
      <c r="L121" s="9">
        <f>Table1[[#This Row],[Annual_Income]]/12</f>
        <v>365000</v>
      </c>
      <c r="M121" s="9">
        <v>4580000</v>
      </c>
      <c r="N121" s="5">
        <f ca="1">DATEDIF(Table1[[#This Row],[EMI_payment_date]],TODAY(),"m")</f>
        <v>23</v>
      </c>
      <c r="O121" s="9">
        <f ca="1">Table1[[#This Row],[month_paid]]*Table1[[#This Row],[monthly_EMI]]</f>
        <v>2518500</v>
      </c>
      <c r="P121" s="1">
        <v>7.13</v>
      </c>
      <c r="Q121" s="9">
        <f>Table1[[#This Row],[monthly_income]]*30%</f>
        <v>109500</v>
      </c>
      <c r="R121" s="1">
        <f>ROUNDUP(NPER(P121/100/12,-Q121,Table1[[#This Row],[Loan_Amount]]),0)</f>
        <v>49</v>
      </c>
      <c r="S121" s="1">
        <v>639</v>
      </c>
      <c r="T121" s="1" t="s">
        <v>20</v>
      </c>
      <c r="U121" s="1" t="str">
        <f>IF(Table1[[#This Row],[Repayment_Status]]="late","bad loan","good loan")</f>
        <v>good loan</v>
      </c>
      <c r="V121" s="1" t="str">
        <f>IF(Table1[[#This Row],[Repayment_Status]]="late","high","low")</f>
        <v>low</v>
      </c>
      <c r="W121" s="1">
        <f>(Table1[[#This Row],[monthly_EMI]]/Table1[[#This Row],[monthly_income]])*100</f>
        <v>30</v>
      </c>
      <c r="X121" s="7">
        <v>28502</v>
      </c>
    </row>
    <row r="122" spans="1:24" x14ac:dyDescent="0.25">
      <c r="A122" s="1" t="s">
        <v>684</v>
      </c>
      <c r="B122" s="2" t="s">
        <v>871</v>
      </c>
      <c r="C122" s="5">
        <v>48</v>
      </c>
      <c r="D122" s="1" t="s">
        <v>15</v>
      </c>
      <c r="E122" s="1" t="s">
        <v>33</v>
      </c>
      <c r="F122" s="1" t="s">
        <v>31</v>
      </c>
      <c r="G122" s="1">
        <f>YEAR(Table1[[#This Row],[Application_Date]])</f>
        <v>2024</v>
      </c>
      <c r="H122" s="1" t="str">
        <f>TEXT(Table1[[#This Row],[EMI_payment_date]],"mmmm")</f>
        <v>August</v>
      </c>
      <c r="I122" s="3">
        <v>45502</v>
      </c>
      <c r="J122" s="3">
        <f>EDATE(Table1[[#This Row],[Application_Date]],1)</f>
        <v>45533</v>
      </c>
      <c r="K122" s="9">
        <v>8472000</v>
      </c>
      <c r="L122" s="9">
        <f>Table1[[#This Row],[Annual_Income]]/12</f>
        <v>706000</v>
      </c>
      <c r="M122" s="9">
        <v>8672000</v>
      </c>
      <c r="N122" s="5">
        <f ca="1">DATEDIF(Table1[[#This Row],[EMI_payment_date]],TODAY(),"m")</f>
        <v>23</v>
      </c>
      <c r="O122" s="9">
        <f ca="1">Table1[[#This Row],[month_paid]]*Table1[[#This Row],[monthly_EMI]]</f>
        <v>4871400</v>
      </c>
      <c r="P122" s="1">
        <v>9.9600000000000009</v>
      </c>
      <c r="Q122" s="9">
        <f>Table1[[#This Row],[monthly_income]]*30%</f>
        <v>211800</v>
      </c>
      <c r="R122" s="1">
        <f>ROUNDUP(NPER(P122/100/12,-Q122,Table1[[#This Row],[Loan_Amount]]),0)</f>
        <v>51</v>
      </c>
      <c r="S122" s="1">
        <v>614</v>
      </c>
      <c r="T122" s="1" t="s">
        <v>20</v>
      </c>
      <c r="U122" s="1" t="str">
        <f>IF(Table1[[#This Row],[Repayment_Status]]="late","bad loan","good loan")</f>
        <v>good loan</v>
      </c>
      <c r="V122" s="1" t="str">
        <f>IF(Table1[[#This Row],[Repayment_Status]]="late","high","low")</f>
        <v>low</v>
      </c>
      <c r="W122" s="1">
        <f>(Table1[[#This Row],[monthly_EMI]]/Table1[[#This Row],[monthly_income]])*100</f>
        <v>30</v>
      </c>
      <c r="X122" s="7">
        <v>13037.84</v>
      </c>
    </row>
    <row r="123" spans="1:24" x14ac:dyDescent="0.25">
      <c r="A123" s="1" t="s">
        <v>167</v>
      </c>
      <c r="B123" s="2" t="s">
        <v>745</v>
      </c>
      <c r="C123" s="5">
        <v>56</v>
      </c>
      <c r="D123" s="1" t="s">
        <v>15</v>
      </c>
      <c r="E123" s="1" t="s">
        <v>29</v>
      </c>
      <c r="F123" s="1" t="s">
        <v>31</v>
      </c>
      <c r="G123" s="1">
        <f>YEAR(Table1[[#This Row],[Application_Date]])</f>
        <v>2024</v>
      </c>
      <c r="H123" s="1" t="str">
        <f>TEXT(Table1[[#This Row],[EMI_payment_date]],"mmmm")</f>
        <v>August</v>
      </c>
      <c r="I123" s="3">
        <v>45503</v>
      </c>
      <c r="J123" s="3">
        <f>EDATE(Table1[[#This Row],[Application_Date]],1)</f>
        <v>45534</v>
      </c>
      <c r="K123" s="9">
        <v>2268000</v>
      </c>
      <c r="L123" s="9">
        <f>Table1[[#This Row],[Annual_Income]]/12</f>
        <v>189000</v>
      </c>
      <c r="M123" s="9">
        <v>2468000</v>
      </c>
      <c r="N123" s="5">
        <f ca="1">DATEDIF(Table1[[#This Row],[EMI_payment_date]],TODAY(),"m")</f>
        <v>23</v>
      </c>
      <c r="O123" s="9">
        <f ca="1">Table1[[#This Row],[month_paid]]*Table1[[#This Row],[monthly_EMI]]</f>
        <v>1304100</v>
      </c>
      <c r="P123" s="1">
        <v>7.1</v>
      </c>
      <c r="Q123" s="9">
        <f>Table1[[#This Row],[monthly_income]]*30%</f>
        <v>56700</v>
      </c>
      <c r="R123" s="1">
        <f>ROUNDUP(NPER(P123/100/12,-Q123,Table1[[#This Row],[Loan_Amount]]),0)</f>
        <v>51</v>
      </c>
      <c r="S123" s="1">
        <v>635</v>
      </c>
      <c r="T123" s="1" t="s">
        <v>20</v>
      </c>
      <c r="U123" s="1" t="str">
        <f>IF(Table1[[#This Row],[Repayment_Status]]="late","bad loan","good loan")</f>
        <v>good loan</v>
      </c>
      <c r="V123" s="1" t="str">
        <f>IF(Table1[[#This Row],[Repayment_Status]]="late","high","low")</f>
        <v>low</v>
      </c>
      <c r="W123" s="1">
        <f>(Table1[[#This Row],[monthly_EMI]]/Table1[[#This Row],[monthly_income]])*100</f>
        <v>30</v>
      </c>
      <c r="X123" s="7">
        <v>14174.17</v>
      </c>
    </row>
    <row r="124" spans="1:24" x14ac:dyDescent="0.25">
      <c r="A124" s="1" t="s">
        <v>555</v>
      </c>
      <c r="B124" s="2" t="s">
        <v>816</v>
      </c>
      <c r="C124" s="5">
        <v>28</v>
      </c>
      <c r="D124" s="1" t="s">
        <v>15</v>
      </c>
      <c r="E124" s="1" t="s">
        <v>33</v>
      </c>
      <c r="F124" s="1" t="s">
        <v>31</v>
      </c>
      <c r="G124" s="1">
        <f>YEAR(Table1[[#This Row],[Application_Date]])</f>
        <v>2024</v>
      </c>
      <c r="H124" s="1" t="str">
        <f>TEXT(Table1[[#This Row],[EMI_payment_date]],"mmmm")</f>
        <v>August</v>
      </c>
      <c r="I124" s="3">
        <v>45504</v>
      </c>
      <c r="J124" s="3">
        <f>EDATE(Table1[[#This Row],[Application_Date]],1)</f>
        <v>45535</v>
      </c>
      <c r="K124" s="9">
        <v>6924000</v>
      </c>
      <c r="L124" s="9">
        <f>Table1[[#This Row],[Annual_Income]]/12</f>
        <v>577000</v>
      </c>
      <c r="M124" s="9">
        <v>7124000</v>
      </c>
      <c r="N124" s="5">
        <f ca="1">DATEDIF(Table1[[#This Row],[EMI_payment_date]],TODAY(),"m")</f>
        <v>22</v>
      </c>
      <c r="O124" s="9">
        <f ca="1">Table1[[#This Row],[month_paid]]*Table1[[#This Row],[monthly_EMI]]</f>
        <v>3808200</v>
      </c>
      <c r="P124" s="1">
        <v>9.8800000000000008</v>
      </c>
      <c r="Q124" s="9">
        <f>Table1[[#This Row],[monthly_income]]*30%</f>
        <v>173100</v>
      </c>
      <c r="R124" s="1">
        <f>ROUNDUP(NPER(P124/100/12,-Q124,Table1[[#This Row],[Loan_Amount]]),0)</f>
        <v>51</v>
      </c>
      <c r="S124" s="1">
        <v>767</v>
      </c>
      <c r="T124" s="1" t="s">
        <v>37</v>
      </c>
      <c r="U124" s="1" t="str">
        <f>IF(Table1[[#This Row],[Repayment_Status]]="late","bad loan","good loan")</f>
        <v>bad loan</v>
      </c>
      <c r="V124" s="1" t="str">
        <f>IF(Table1[[#This Row],[Repayment_Status]]="late","high","low")</f>
        <v>high</v>
      </c>
      <c r="W124" s="1">
        <f>(Table1[[#This Row],[monthly_EMI]]/Table1[[#This Row],[monthly_income]])*100</f>
        <v>30</v>
      </c>
      <c r="X124" s="7">
        <v>21080.240000000002</v>
      </c>
    </row>
    <row r="125" spans="1:24" x14ac:dyDescent="0.25">
      <c r="A125" s="1" t="s">
        <v>323</v>
      </c>
      <c r="B125" s="2" t="s">
        <v>852</v>
      </c>
      <c r="C125" s="5">
        <v>55</v>
      </c>
      <c r="D125" s="1" t="s">
        <v>26</v>
      </c>
      <c r="E125" s="1" t="s">
        <v>27</v>
      </c>
      <c r="F125" s="1" t="s">
        <v>51</v>
      </c>
      <c r="G125" s="1">
        <f>YEAR(Table1[[#This Row],[Application_Date]])</f>
        <v>2024</v>
      </c>
      <c r="H125" s="1" t="str">
        <f>TEXT(Table1[[#This Row],[EMI_payment_date]],"mmmm")</f>
        <v>September</v>
      </c>
      <c r="I125" s="3">
        <v>45505</v>
      </c>
      <c r="J125" s="3">
        <f>EDATE(Table1[[#This Row],[Application_Date]],1)</f>
        <v>45536</v>
      </c>
      <c r="K125" s="9">
        <v>4140000</v>
      </c>
      <c r="L125" s="9">
        <f>Table1[[#This Row],[Annual_Income]]/12</f>
        <v>345000</v>
      </c>
      <c r="M125" s="9">
        <v>4340000</v>
      </c>
      <c r="N125" s="5">
        <f ca="1">DATEDIF(Table1[[#This Row],[EMI_payment_date]],TODAY(),"m")</f>
        <v>22</v>
      </c>
      <c r="O125" s="9">
        <f ca="1">Table1[[#This Row],[month_paid]]*Table1[[#This Row],[monthly_EMI]]</f>
        <v>2277000</v>
      </c>
      <c r="P125" s="1">
        <v>8.57</v>
      </c>
      <c r="Q125" s="9">
        <f>Table1[[#This Row],[monthly_income]]*30%</f>
        <v>103500</v>
      </c>
      <c r="R125" s="1">
        <f>ROUNDUP(NPER(P125/100/12,-Q125,Table1[[#This Row],[Loan_Amount]]),0)</f>
        <v>51</v>
      </c>
      <c r="S125" s="1">
        <v>767</v>
      </c>
      <c r="T125" s="1" t="s">
        <v>37</v>
      </c>
      <c r="U125" s="1" t="str">
        <f>IF(Table1[[#This Row],[Repayment_Status]]="late","bad loan","good loan")</f>
        <v>bad loan</v>
      </c>
      <c r="V125" s="1" t="str">
        <f>IF(Table1[[#This Row],[Repayment_Status]]="late","high","low")</f>
        <v>high</v>
      </c>
      <c r="W125" s="1">
        <f>(Table1[[#This Row],[monthly_EMI]]/Table1[[#This Row],[monthly_income]])*100</f>
        <v>30</v>
      </c>
      <c r="X125" s="7">
        <v>17850.5</v>
      </c>
    </row>
    <row r="126" spans="1:24" x14ac:dyDescent="0.25">
      <c r="A126" s="1" t="s">
        <v>246</v>
      </c>
      <c r="B126" s="2" t="s">
        <v>853</v>
      </c>
      <c r="C126" s="5">
        <v>53</v>
      </c>
      <c r="D126" s="1" t="s">
        <v>15</v>
      </c>
      <c r="E126" s="1" t="s">
        <v>16</v>
      </c>
      <c r="F126" s="1" t="s">
        <v>22</v>
      </c>
      <c r="G126" s="1">
        <f>YEAR(Table1[[#This Row],[Application_Date]])</f>
        <v>2024</v>
      </c>
      <c r="H126" s="1" t="str">
        <f>TEXT(Table1[[#This Row],[EMI_payment_date]],"mmmm")</f>
        <v>September</v>
      </c>
      <c r="I126" s="3">
        <v>45506</v>
      </c>
      <c r="J126" s="3">
        <f>EDATE(Table1[[#This Row],[Application_Date]],1)</f>
        <v>45537</v>
      </c>
      <c r="K126" s="9">
        <v>3216000</v>
      </c>
      <c r="L126" s="9">
        <f>Table1[[#This Row],[Annual_Income]]/12</f>
        <v>268000</v>
      </c>
      <c r="M126" s="9">
        <v>3416000</v>
      </c>
      <c r="N126" s="5">
        <f ca="1">DATEDIF(Table1[[#This Row],[EMI_payment_date]],TODAY(),"m")</f>
        <v>22</v>
      </c>
      <c r="O126" s="9">
        <f ca="1">Table1[[#This Row],[month_paid]]*Table1[[#This Row],[monthly_EMI]]</f>
        <v>1768800</v>
      </c>
      <c r="P126" s="1">
        <v>6.09</v>
      </c>
      <c r="Q126" s="9">
        <f>Table1[[#This Row],[monthly_income]]*30%</f>
        <v>80400</v>
      </c>
      <c r="R126" s="1">
        <f>ROUNDUP(NPER(P126/100/12,-Q126,Table1[[#This Row],[Loan_Amount]]),0)</f>
        <v>48</v>
      </c>
      <c r="S126" s="1">
        <v>735</v>
      </c>
      <c r="T126" s="1" t="s">
        <v>20</v>
      </c>
      <c r="U126" s="1" t="str">
        <f>IF(Table1[[#This Row],[Repayment_Status]]="late","bad loan","good loan")</f>
        <v>good loan</v>
      </c>
      <c r="V126" s="1" t="str">
        <f>IF(Table1[[#This Row],[Repayment_Status]]="late","high","low")</f>
        <v>low</v>
      </c>
      <c r="W126" s="1">
        <f>(Table1[[#This Row],[monthly_EMI]]/Table1[[#This Row],[monthly_income]])*100</f>
        <v>30</v>
      </c>
      <c r="X126" s="7">
        <v>7263.38</v>
      </c>
    </row>
    <row r="127" spans="1:24" x14ac:dyDescent="0.25">
      <c r="A127" s="1" t="s">
        <v>552</v>
      </c>
      <c r="B127" s="2" t="s">
        <v>852</v>
      </c>
      <c r="C127" s="5">
        <v>38</v>
      </c>
      <c r="D127" s="1" t="s">
        <v>15</v>
      </c>
      <c r="E127" s="1" t="s">
        <v>36</v>
      </c>
      <c r="F127" s="1" t="s">
        <v>31</v>
      </c>
      <c r="G127" s="1">
        <f>YEAR(Table1[[#This Row],[Application_Date]])</f>
        <v>2024</v>
      </c>
      <c r="H127" s="1" t="str">
        <f>TEXT(Table1[[#This Row],[EMI_payment_date]],"mmmm")</f>
        <v>September</v>
      </c>
      <c r="I127" s="3">
        <v>45507</v>
      </c>
      <c r="J127" s="3">
        <f>EDATE(Table1[[#This Row],[Application_Date]],1)</f>
        <v>45538</v>
      </c>
      <c r="K127" s="9">
        <v>6888000</v>
      </c>
      <c r="L127" s="9">
        <f>Table1[[#This Row],[Annual_Income]]/12</f>
        <v>574000</v>
      </c>
      <c r="M127" s="9">
        <v>7088000</v>
      </c>
      <c r="N127" s="5">
        <f ca="1">DATEDIF(Table1[[#This Row],[EMI_payment_date]],TODAY(),"m")</f>
        <v>22</v>
      </c>
      <c r="O127" s="9">
        <f ca="1">Table1[[#This Row],[month_paid]]*Table1[[#This Row],[monthly_EMI]]</f>
        <v>3788400</v>
      </c>
      <c r="P127" s="1">
        <v>5.66</v>
      </c>
      <c r="Q127" s="9">
        <f>Table1[[#This Row],[monthly_income]]*30%</f>
        <v>172200</v>
      </c>
      <c r="R127" s="1">
        <f>ROUNDUP(NPER(P127/100/12,-Q127,Table1[[#This Row],[Loan_Amount]]),0)</f>
        <v>46</v>
      </c>
      <c r="S127" s="1">
        <v>630</v>
      </c>
      <c r="T127" s="1" t="s">
        <v>37</v>
      </c>
      <c r="U127" s="1" t="str">
        <f>IF(Table1[[#This Row],[Repayment_Status]]="late","bad loan","good loan")</f>
        <v>bad loan</v>
      </c>
      <c r="V127" s="1" t="str">
        <f>IF(Table1[[#This Row],[Repayment_Status]]="late","high","low")</f>
        <v>high</v>
      </c>
      <c r="W127" s="1">
        <f>(Table1[[#This Row],[monthly_EMI]]/Table1[[#This Row],[monthly_income]])*100</f>
        <v>30</v>
      </c>
      <c r="X127" s="7">
        <v>8373.7000000000007</v>
      </c>
    </row>
    <row r="128" spans="1:24" x14ac:dyDescent="0.25">
      <c r="A128" s="1" t="s">
        <v>511</v>
      </c>
      <c r="B128" s="2" t="s">
        <v>894</v>
      </c>
      <c r="C128" s="5">
        <v>59</v>
      </c>
      <c r="D128" s="1" t="s">
        <v>26</v>
      </c>
      <c r="E128" s="1" t="s">
        <v>33</v>
      </c>
      <c r="F128" s="1" t="s">
        <v>31</v>
      </c>
      <c r="G128" s="1">
        <f>YEAR(Table1[[#This Row],[Application_Date]])</f>
        <v>2024</v>
      </c>
      <c r="H128" s="1" t="str">
        <f>TEXT(Table1[[#This Row],[EMI_payment_date]],"mmmm")</f>
        <v>September</v>
      </c>
      <c r="I128" s="3">
        <v>45508</v>
      </c>
      <c r="J128" s="3">
        <f>EDATE(Table1[[#This Row],[Application_Date]],1)</f>
        <v>45539</v>
      </c>
      <c r="K128" s="9">
        <v>6396000</v>
      </c>
      <c r="L128" s="9">
        <f>Table1[[#This Row],[Annual_Income]]/12</f>
        <v>533000</v>
      </c>
      <c r="M128" s="9">
        <v>6596000</v>
      </c>
      <c r="N128" s="5">
        <f ca="1">DATEDIF(Table1[[#This Row],[EMI_payment_date]],TODAY(),"m")</f>
        <v>22</v>
      </c>
      <c r="O128" s="9">
        <f ca="1">Table1[[#This Row],[month_paid]]*Table1[[#This Row],[monthly_EMI]]</f>
        <v>3517800</v>
      </c>
      <c r="P128" s="1">
        <v>9.84</v>
      </c>
      <c r="Q128" s="9">
        <f>Table1[[#This Row],[monthly_income]]*30%</f>
        <v>159900</v>
      </c>
      <c r="R128" s="1">
        <f>ROUNDUP(NPER(P128/100/12,-Q128,Table1[[#This Row],[Loan_Amount]]),0)</f>
        <v>51</v>
      </c>
      <c r="S128" s="1">
        <v>735</v>
      </c>
      <c r="T128" s="1" t="s">
        <v>20</v>
      </c>
      <c r="U128" s="1" t="str">
        <f>IF(Table1[[#This Row],[Repayment_Status]]="late","bad loan","good loan")</f>
        <v>good loan</v>
      </c>
      <c r="V128" s="1" t="str">
        <f>IF(Table1[[#This Row],[Repayment_Status]]="late","high","low")</f>
        <v>low</v>
      </c>
      <c r="W128" s="1">
        <f>(Table1[[#This Row],[monthly_EMI]]/Table1[[#This Row],[monthly_income]])*100</f>
        <v>30</v>
      </c>
      <c r="X128" s="7">
        <v>12982.27</v>
      </c>
    </row>
    <row r="129" spans="1:24" x14ac:dyDescent="0.25">
      <c r="A129" s="1" t="s">
        <v>59</v>
      </c>
      <c r="B129" s="2" t="s">
        <v>758</v>
      </c>
      <c r="C129" s="5">
        <v>35</v>
      </c>
      <c r="D129" s="1" t="s">
        <v>26</v>
      </c>
      <c r="E129" s="1" t="s">
        <v>27</v>
      </c>
      <c r="F129" s="1" t="s">
        <v>31</v>
      </c>
      <c r="G129" s="1">
        <f>YEAR(Table1[[#This Row],[Application_Date]])</f>
        <v>2024</v>
      </c>
      <c r="H129" s="1" t="str">
        <f>TEXT(Table1[[#This Row],[EMI_payment_date]],"mmmm")</f>
        <v>September</v>
      </c>
      <c r="I129" s="3">
        <v>45509</v>
      </c>
      <c r="J129" s="3">
        <f>EDATE(Table1[[#This Row],[Application_Date]],1)</f>
        <v>45540</v>
      </c>
      <c r="K129" s="9">
        <v>960000</v>
      </c>
      <c r="L129" s="9">
        <f>Table1[[#This Row],[Annual_Income]]/12</f>
        <v>80000</v>
      </c>
      <c r="M129" s="9">
        <v>1160000</v>
      </c>
      <c r="N129" s="5">
        <f ca="1">DATEDIF(Table1[[#This Row],[EMI_payment_date]],TODAY(),"m")</f>
        <v>22</v>
      </c>
      <c r="O129" s="9">
        <f ca="1">Table1[[#This Row],[month_paid]]*Table1[[#This Row],[monthly_EMI]]</f>
        <v>528000</v>
      </c>
      <c r="P129" s="1">
        <v>9.7899999999999991</v>
      </c>
      <c r="Q129" s="9">
        <f>Table1[[#This Row],[monthly_income]]*30%</f>
        <v>24000</v>
      </c>
      <c r="R129" s="1">
        <f>ROUNDUP(NPER(P129/100/12,-Q129,Table1[[#This Row],[Loan_Amount]]),0)</f>
        <v>62</v>
      </c>
      <c r="S129" s="1">
        <v>751</v>
      </c>
      <c r="T129" s="1" t="s">
        <v>20</v>
      </c>
      <c r="U129" s="1" t="str">
        <f>IF(Table1[[#This Row],[Repayment_Status]]="late","bad loan","good loan")</f>
        <v>good loan</v>
      </c>
      <c r="V129" s="1" t="str">
        <f>IF(Table1[[#This Row],[Repayment_Status]]="late","high","low")</f>
        <v>low</v>
      </c>
      <c r="W129" s="1">
        <f>(Table1[[#This Row],[monthly_EMI]]/Table1[[#This Row],[monthly_income]])*100</f>
        <v>30</v>
      </c>
      <c r="X129" s="7">
        <v>24339.53</v>
      </c>
    </row>
    <row r="130" spans="1:24" x14ac:dyDescent="0.25">
      <c r="A130" s="1" t="s">
        <v>206</v>
      </c>
      <c r="B130" s="2" t="s">
        <v>848</v>
      </c>
      <c r="C130" s="5">
        <v>27</v>
      </c>
      <c r="D130" s="1" t="s">
        <v>15</v>
      </c>
      <c r="E130" s="1" t="s">
        <v>24</v>
      </c>
      <c r="F130" s="1" t="s">
        <v>19</v>
      </c>
      <c r="G130" s="1">
        <f>YEAR(Table1[[#This Row],[Application_Date]])</f>
        <v>2024</v>
      </c>
      <c r="H130" s="1" t="str">
        <f>TEXT(Table1[[#This Row],[EMI_payment_date]],"mmmm")</f>
        <v>September</v>
      </c>
      <c r="I130" s="3">
        <v>45510</v>
      </c>
      <c r="J130" s="3">
        <f>EDATE(Table1[[#This Row],[Application_Date]],1)</f>
        <v>45541</v>
      </c>
      <c r="K130" s="9">
        <v>2736000</v>
      </c>
      <c r="L130" s="9">
        <f>Table1[[#This Row],[Annual_Income]]/12</f>
        <v>228000</v>
      </c>
      <c r="M130" s="9">
        <v>2936000</v>
      </c>
      <c r="N130" s="5">
        <f ca="1">DATEDIF(Table1[[#This Row],[EMI_payment_date]],TODAY(),"m")</f>
        <v>22</v>
      </c>
      <c r="O130" s="9">
        <f ca="1">Table1[[#This Row],[month_paid]]*Table1[[#This Row],[monthly_EMI]]</f>
        <v>1504800</v>
      </c>
      <c r="P130" s="1">
        <v>7.69</v>
      </c>
      <c r="Q130" s="9">
        <f>Table1[[#This Row],[monthly_income]]*30%</f>
        <v>68400</v>
      </c>
      <c r="R130" s="1">
        <f>ROUNDUP(NPER(P130/100/12,-Q130,Table1[[#This Row],[Loan_Amount]]),0)</f>
        <v>51</v>
      </c>
      <c r="S130" s="1">
        <v>797</v>
      </c>
      <c r="T130" s="1" t="s">
        <v>37</v>
      </c>
      <c r="U130" s="1" t="str">
        <f>IF(Table1[[#This Row],[Repayment_Status]]="late","bad loan","good loan")</f>
        <v>bad loan</v>
      </c>
      <c r="V130" s="1" t="str">
        <f>IF(Table1[[#This Row],[Repayment_Status]]="late","high","low")</f>
        <v>high</v>
      </c>
      <c r="W130" s="1">
        <f>(Table1[[#This Row],[monthly_EMI]]/Table1[[#This Row],[monthly_income]])*100</f>
        <v>30</v>
      </c>
      <c r="X130" s="7">
        <v>24063.49</v>
      </c>
    </row>
    <row r="131" spans="1:24" x14ac:dyDescent="0.25">
      <c r="A131" s="1" t="s">
        <v>109</v>
      </c>
      <c r="B131" s="2" t="s">
        <v>798</v>
      </c>
      <c r="C131" s="5">
        <v>33</v>
      </c>
      <c r="D131" s="1" t="s">
        <v>26</v>
      </c>
      <c r="E131" s="1" t="s">
        <v>16</v>
      </c>
      <c r="F131" s="1" t="s">
        <v>19</v>
      </c>
      <c r="G131" s="1">
        <f>YEAR(Table1[[#This Row],[Application_Date]])</f>
        <v>2024</v>
      </c>
      <c r="H131" s="1" t="str">
        <f>TEXT(Table1[[#This Row],[EMI_payment_date]],"mmmm")</f>
        <v>September</v>
      </c>
      <c r="I131" s="3">
        <v>45511</v>
      </c>
      <c r="J131" s="3">
        <f>EDATE(Table1[[#This Row],[Application_Date]],1)</f>
        <v>45542</v>
      </c>
      <c r="K131" s="9">
        <v>1572000</v>
      </c>
      <c r="L131" s="9">
        <f>Table1[[#This Row],[Annual_Income]]/12</f>
        <v>131000</v>
      </c>
      <c r="M131" s="9">
        <v>1772000</v>
      </c>
      <c r="N131" s="5">
        <f ca="1">DATEDIF(Table1[[#This Row],[EMI_payment_date]],TODAY(),"m")</f>
        <v>22</v>
      </c>
      <c r="O131" s="9">
        <f ca="1">Table1[[#This Row],[month_paid]]*Table1[[#This Row],[monthly_EMI]]</f>
        <v>864600</v>
      </c>
      <c r="P131" s="1">
        <v>5.51</v>
      </c>
      <c r="Q131" s="9">
        <f>Table1[[#This Row],[monthly_income]]*30%</f>
        <v>39300</v>
      </c>
      <c r="R131" s="1">
        <f>ROUNDUP(NPER(P131/100/12,-Q131,Table1[[#This Row],[Loan_Amount]]),0)</f>
        <v>51</v>
      </c>
      <c r="S131" s="1">
        <v>616</v>
      </c>
      <c r="T131" s="1" t="s">
        <v>37</v>
      </c>
      <c r="U131" s="1" t="str">
        <f>IF(Table1[[#This Row],[Repayment_Status]]="late","bad loan","good loan")</f>
        <v>bad loan</v>
      </c>
      <c r="V131" s="1" t="str">
        <f>IF(Table1[[#This Row],[Repayment_Status]]="late","high","low")</f>
        <v>high</v>
      </c>
      <c r="W131" s="1">
        <f>(Table1[[#This Row],[monthly_EMI]]/Table1[[#This Row],[monthly_income]])*100</f>
        <v>30</v>
      </c>
      <c r="X131" s="7">
        <v>20001.11</v>
      </c>
    </row>
    <row r="132" spans="1:24" x14ac:dyDescent="0.25">
      <c r="A132" s="1" t="s">
        <v>328</v>
      </c>
      <c r="B132" s="2" t="s">
        <v>884</v>
      </c>
      <c r="C132" s="5">
        <v>50</v>
      </c>
      <c r="D132" s="1" t="s">
        <v>26</v>
      </c>
      <c r="E132" s="1" t="s">
        <v>33</v>
      </c>
      <c r="F132" s="1" t="s">
        <v>19</v>
      </c>
      <c r="G132" s="1">
        <f>YEAR(Table1[[#This Row],[Application_Date]])</f>
        <v>2024</v>
      </c>
      <c r="H132" s="1" t="str">
        <f>TEXT(Table1[[#This Row],[EMI_payment_date]],"mmmm")</f>
        <v>September</v>
      </c>
      <c r="I132" s="3">
        <v>45512</v>
      </c>
      <c r="J132" s="3">
        <f>EDATE(Table1[[#This Row],[Application_Date]],1)</f>
        <v>45543</v>
      </c>
      <c r="K132" s="9">
        <v>4200000</v>
      </c>
      <c r="L132" s="9">
        <f>Table1[[#This Row],[Annual_Income]]/12</f>
        <v>350000</v>
      </c>
      <c r="M132" s="9">
        <v>4400000</v>
      </c>
      <c r="N132" s="5">
        <f ca="1">DATEDIF(Table1[[#This Row],[EMI_payment_date]],TODAY(),"m")</f>
        <v>22</v>
      </c>
      <c r="O132" s="9">
        <f ca="1">Table1[[#This Row],[month_paid]]*Table1[[#This Row],[monthly_EMI]]</f>
        <v>2310000</v>
      </c>
      <c r="P132" s="1">
        <v>9.84</v>
      </c>
      <c r="Q132" s="9">
        <f>Table1[[#This Row],[monthly_income]]*30%</f>
        <v>105000</v>
      </c>
      <c r="R132" s="1">
        <f>ROUNDUP(NPER(P132/100/12,-Q132,Table1[[#This Row],[Loan_Amount]]),0)</f>
        <v>52</v>
      </c>
      <c r="S132" s="1">
        <v>724</v>
      </c>
      <c r="T132" s="1" t="s">
        <v>20</v>
      </c>
      <c r="U132" s="1" t="str">
        <f>IF(Table1[[#This Row],[Repayment_Status]]="late","bad loan","good loan")</f>
        <v>good loan</v>
      </c>
      <c r="V132" s="1" t="str">
        <f>IF(Table1[[#This Row],[Repayment_Status]]="late","high","low")</f>
        <v>low</v>
      </c>
      <c r="W132" s="1">
        <f>(Table1[[#This Row],[monthly_EMI]]/Table1[[#This Row],[monthly_income]])*100</f>
        <v>30</v>
      </c>
      <c r="X132" s="7">
        <v>34390.129999999997</v>
      </c>
    </row>
    <row r="133" spans="1:24" x14ac:dyDescent="0.25">
      <c r="A133" s="1" t="s">
        <v>193</v>
      </c>
      <c r="B133" s="2" t="s">
        <v>841</v>
      </c>
      <c r="C133" s="5">
        <v>49</v>
      </c>
      <c r="D133" s="1" t="s">
        <v>15</v>
      </c>
      <c r="E133" s="1" t="s">
        <v>33</v>
      </c>
      <c r="F133" s="1" t="s">
        <v>31</v>
      </c>
      <c r="G133" s="1">
        <f>YEAR(Table1[[#This Row],[Application_Date]])</f>
        <v>2024</v>
      </c>
      <c r="H133" s="1" t="str">
        <f>TEXT(Table1[[#This Row],[EMI_payment_date]],"mmmm")</f>
        <v>September</v>
      </c>
      <c r="I133" s="3">
        <v>45513</v>
      </c>
      <c r="J133" s="3">
        <f>EDATE(Table1[[#This Row],[Application_Date]],1)</f>
        <v>45544</v>
      </c>
      <c r="K133" s="9">
        <v>2580000</v>
      </c>
      <c r="L133" s="9">
        <f>Table1[[#This Row],[Annual_Income]]/12</f>
        <v>215000</v>
      </c>
      <c r="M133" s="9">
        <v>2780000</v>
      </c>
      <c r="N133" s="5">
        <f ca="1">DATEDIF(Table1[[#This Row],[EMI_payment_date]],TODAY(),"m")</f>
        <v>22</v>
      </c>
      <c r="O133" s="9">
        <f ca="1">Table1[[#This Row],[month_paid]]*Table1[[#This Row],[monthly_EMI]]</f>
        <v>1419000</v>
      </c>
      <c r="P133" s="1">
        <v>8.41</v>
      </c>
      <c r="Q133" s="9">
        <f>Table1[[#This Row],[monthly_income]]*30%</f>
        <v>64500</v>
      </c>
      <c r="R133" s="1">
        <f>ROUNDUP(NPER(P133/100/12,-Q133,Table1[[#This Row],[Loan_Amount]]),0)</f>
        <v>52</v>
      </c>
      <c r="S133" s="1">
        <v>650</v>
      </c>
      <c r="T133" s="1" t="s">
        <v>37</v>
      </c>
      <c r="U133" s="1" t="str">
        <f>IF(Table1[[#This Row],[Repayment_Status]]="late","bad loan","good loan")</f>
        <v>bad loan</v>
      </c>
      <c r="V133" s="1" t="str">
        <f>IF(Table1[[#This Row],[Repayment_Status]]="late","high","low")</f>
        <v>high</v>
      </c>
      <c r="W133" s="1">
        <f>(Table1[[#This Row],[monthly_EMI]]/Table1[[#This Row],[monthly_income]])*100</f>
        <v>30</v>
      </c>
      <c r="X133" s="7">
        <v>26262.87</v>
      </c>
    </row>
    <row r="134" spans="1:24" x14ac:dyDescent="0.25">
      <c r="A134" s="1" t="s">
        <v>54</v>
      </c>
      <c r="B134" s="2" t="s">
        <v>753</v>
      </c>
      <c r="C134" s="5">
        <v>58</v>
      </c>
      <c r="D134" s="1" t="s">
        <v>26</v>
      </c>
      <c r="E134" s="1" t="s">
        <v>16</v>
      </c>
      <c r="F134" s="1" t="s">
        <v>51</v>
      </c>
      <c r="G134" s="1">
        <f>YEAR(Table1[[#This Row],[Application_Date]])</f>
        <v>2024</v>
      </c>
      <c r="H134" s="1" t="str">
        <f>TEXT(Table1[[#This Row],[EMI_payment_date]],"mmmm")</f>
        <v>September</v>
      </c>
      <c r="I134" s="3">
        <v>45514</v>
      </c>
      <c r="J134" s="3">
        <f>EDATE(Table1[[#This Row],[Application_Date]],1)</f>
        <v>45545</v>
      </c>
      <c r="K134" s="9">
        <v>900000</v>
      </c>
      <c r="L134" s="9">
        <f>Table1[[#This Row],[Annual_Income]]/12</f>
        <v>75000</v>
      </c>
      <c r="M134" s="9">
        <v>1100000</v>
      </c>
      <c r="N134" s="5">
        <f ca="1">DATEDIF(Table1[[#This Row],[EMI_payment_date]],TODAY(),"m")</f>
        <v>22</v>
      </c>
      <c r="O134" s="9">
        <f ca="1">Table1[[#This Row],[month_paid]]*Table1[[#This Row],[monthly_EMI]]</f>
        <v>495000</v>
      </c>
      <c r="P134" s="1">
        <v>6.53</v>
      </c>
      <c r="Q134" s="9">
        <f>Table1[[#This Row],[monthly_income]]*30%</f>
        <v>22500</v>
      </c>
      <c r="R134" s="1">
        <f>ROUNDUP(NPER(P134/100/12,-Q134,Table1[[#This Row],[Loan_Amount]]),0)</f>
        <v>57</v>
      </c>
      <c r="S134" s="1">
        <v>625</v>
      </c>
      <c r="T134" s="1" t="s">
        <v>20</v>
      </c>
      <c r="U134" s="1" t="str">
        <f>IF(Table1[[#This Row],[Repayment_Status]]="late","bad loan","good loan")</f>
        <v>good loan</v>
      </c>
      <c r="V134" s="1" t="str">
        <f>IF(Table1[[#This Row],[Repayment_Status]]="late","high","low")</f>
        <v>low</v>
      </c>
      <c r="W134" s="1">
        <f>(Table1[[#This Row],[monthly_EMI]]/Table1[[#This Row],[monthly_income]])*100</f>
        <v>30</v>
      </c>
      <c r="X134" s="7">
        <v>21861.71</v>
      </c>
    </row>
    <row r="135" spans="1:24" x14ac:dyDescent="0.25">
      <c r="A135" s="1" t="s">
        <v>375</v>
      </c>
      <c r="B135" s="2" t="s">
        <v>811</v>
      </c>
      <c r="C135" s="5">
        <v>37</v>
      </c>
      <c r="D135" s="1" t="s">
        <v>26</v>
      </c>
      <c r="E135" s="1" t="s">
        <v>16</v>
      </c>
      <c r="F135" s="1" t="s">
        <v>51</v>
      </c>
      <c r="G135" s="1">
        <f>YEAR(Table1[[#This Row],[Application_Date]])</f>
        <v>2024</v>
      </c>
      <c r="H135" s="1" t="str">
        <f>TEXT(Table1[[#This Row],[EMI_payment_date]],"mmmm")</f>
        <v>September</v>
      </c>
      <c r="I135" s="3">
        <v>45515</v>
      </c>
      <c r="J135" s="3">
        <f>EDATE(Table1[[#This Row],[Application_Date]],1)</f>
        <v>45546</v>
      </c>
      <c r="K135" s="9">
        <v>4764000</v>
      </c>
      <c r="L135" s="9">
        <f>Table1[[#This Row],[Annual_Income]]/12</f>
        <v>397000</v>
      </c>
      <c r="M135" s="9">
        <v>4964000</v>
      </c>
      <c r="N135" s="5">
        <f ca="1">DATEDIF(Table1[[#This Row],[EMI_payment_date]],TODAY(),"m")</f>
        <v>22</v>
      </c>
      <c r="O135" s="9">
        <f ca="1">Table1[[#This Row],[month_paid]]*Table1[[#This Row],[monthly_EMI]]</f>
        <v>2620200</v>
      </c>
      <c r="P135" s="1">
        <v>7.48</v>
      </c>
      <c r="Q135" s="9">
        <f>Table1[[#This Row],[monthly_income]]*30%</f>
        <v>119100</v>
      </c>
      <c r="R135" s="1">
        <f>ROUNDUP(NPER(P135/100/12,-Q135,Table1[[#This Row],[Loan_Amount]]),0)</f>
        <v>49</v>
      </c>
      <c r="S135" s="1">
        <v>736</v>
      </c>
      <c r="T135" s="1" t="s">
        <v>20</v>
      </c>
      <c r="U135" s="1" t="str">
        <f>IF(Table1[[#This Row],[Repayment_Status]]="late","bad loan","good loan")</f>
        <v>good loan</v>
      </c>
      <c r="V135" s="1" t="str">
        <f>IF(Table1[[#This Row],[Repayment_Status]]="late","high","low")</f>
        <v>low</v>
      </c>
      <c r="W135" s="1">
        <f>(Table1[[#This Row],[monthly_EMI]]/Table1[[#This Row],[monthly_income]])*100</f>
        <v>30</v>
      </c>
      <c r="X135" s="7">
        <v>22572.49</v>
      </c>
    </row>
    <row r="136" spans="1:24" x14ac:dyDescent="0.25">
      <c r="A136" s="1" t="s">
        <v>525</v>
      </c>
      <c r="B136" s="2" t="s">
        <v>761</v>
      </c>
      <c r="C136" s="5">
        <v>34</v>
      </c>
      <c r="D136" s="1" t="s">
        <v>15</v>
      </c>
      <c r="E136" s="1" t="s">
        <v>24</v>
      </c>
      <c r="F136" s="1" t="s">
        <v>17</v>
      </c>
      <c r="G136" s="1">
        <f>YEAR(Table1[[#This Row],[Application_Date]])</f>
        <v>2024</v>
      </c>
      <c r="H136" s="1" t="str">
        <f>TEXT(Table1[[#This Row],[EMI_payment_date]],"mmmm")</f>
        <v>September</v>
      </c>
      <c r="I136" s="3">
        <v>45516</v>
      </c>
      <c r="J136" s="3">
        <f>EDATE(Table1[[#This Row],[Application_Date]],1)</f>
        <v>45547</v>
      </c>
      <c r="K136" s="9">
        <v>6564000</v>
      </c>
      <c r="L136" s="9">
        <f>Table1[[#This Row],[Annual_Income]]/12</f>
        <v>547000</v>
      </c>
      <c r="M136" s="9">
        <v>6764000</v>
      </c>
      <c r="N136" s="5">
        <f ca="1">DATEDIF(Table1[[#This Row],[EMI_payment_date]],TODAY(),"m")</f>
        <v>22</v>
      </c>
      <c r="O136" s="9">
        <f ca="1">Table1[[#This Row],[month_paid]]*Table1[[#This Row],[monthly_EMI]]</f>
        <v>3610200</v>
      </c>
      <c r="P136" s="1">
        <v>7.71</v>
      </c>
      <c r="Q136" s="9">
        <f>Table1[[#This Row],[monthly_income]]*30%</f>
        <v>164100</v>
      </c>
      <c r="R136" s="1">
        <f>ROUNDUP(NPER(P136/100/12,-Q136,Table1[[#This Row],[Loan_Amount]]),0)</f>
        <v>49</v>
      </c>
      <c r="S136" s="1">
        <v>686</v>
      </c>
      <c r="T136" s="1" t="s">
        <v>37</v>
      </c>
      <c r="U136" s="1" t="str">
        <f>IF(Table1[[#This Row],[Repayment_Status]]="late","bad loan","good loan")</f>
        <v>bad loan</v>
      </c>
      <c r="V136" s="1" t="str">
        <f>IF(Table1[[#This Row],[Repayment_Status]]="late","high","low")</f>
        <v>high</v>
      </c>
      <c r="W136" s="1">
        <f>(Table1[[#This Row],[monthly_EMI]]/Table1[[#This Row],[monthly_income]])*100</f>
        <v>30</v>
      </c>
      <c r="X136" s="7">
        <v>19834.45</v>
      </c>
    </row>
    <row r="137" spans="1:24" x14ac:dyDescent="0.25">
      <c r="A137" s="1" t="s">
        <v>238</v>
      </c>
      <c r="B137" s="2" t="s">
        <v>763</v>
      </c>
      <c r="C137" s="5">
        <v>43</v>
      </c>
      <c r="D137" s="1" t="s">
        <v>15</v>
      </c>
      <c r="E137" s="1" t="s">
        <v>24</v>
      </c>
      <c r="F137" s="1" t="s">
        <v>19</v>
      </c>
      <c r="G137" s="1">
        <f>YEAR(Table1[[#This Row],[Application_Date]])</f>
        <v>2024</v>
      </c>
      <c r="H137" s="1" t="str">
        <f>TEXT(Table1[[#This Row],[EMI_payment_date]],"mmmm")</f>
        <v>September</v>
      </c>
      <c r="I137" s="3">
        <v>45517</v>
      </c>
      <c r="J137" s="3">
        <f>EDATE(Table1[[#This Row],[Application_Date]],1)</f>
        <v>45548</v>
      </c>
      <c r="K137" s="9">
        <v>3120000</v>
      </c>
      <c r="L137" s="9">
        <f>Table1[[#This Row],[Annual_Income]]/12</f>
        <v>260000</v>
      </c>
      <c r="M137" s="9">
        <v>3320000</v>
      </c>
      <c r="N137" s="5">
        <f ca="1">DATEDIF(Table1[[#This Row],[EMI_payment_date]],TODAY(),"m")</f>
        <v>22</v>
      </c>
      <c r="O137" s="9">
        <f ca="1">Table1[[#This Row],[month_paid]]*Table1[[#This Row],[monthly_EMI]]</f>
        <v>1716000</v>
      </c>
      <c r="P137" s="1">
        <v>7.12</v>
      </c>
      <c r="Q137" s="9">
        <f>Table1[[#This Row],[monthly_income]]*30%</f>
        <v>78000</v>
      </c>
      <c r="R137" s="1">
        <f>ROUNDUP(NPER(P137/100/12,-Q137,Table1[[#This Row],[Loan_Amount]]),0)</f>
        <v>50</v>
      </c>
      <c r="S137" s="1">
        <v>728</v>
      </c>
      <c r="T137" s="1" t="s">
        <v>37</v>
      </c>
      <c r="U137" s="1" t="str">
        <f>IF(Table1[[#This Row],[Repayment_Status]]="late","bad loan","good loan")</f>
        <v>bad loan</v>
      </c>
      <c r="V137" s="1" t="str">
        <f>IF(Table1[[#This Row],[Repayment_Status]]="late","high","low")</f>
        <v>high</v>
      </c>
      <c r="W137" s="1">
        <f>(Table1[[#This Row],[monthly_EMI]]/Table1[[#This Row],[monthly_income]])*100</f>
        <v>30</v>
      </c>
      <c r="X137" s="7">
        <v>7259.42</v>
      </c>
    </row>
    <row r="138" spans="1:24" x14ac:dyDescent="0.25">
      <c r="A138" s="1" t="s">
        <v>433</v>
      </c>
      <c r="B138" s="2" t="s">
        <v>854</v>
      </c>
      <c r="C138" s="5">
        <v>60</v>
      </c>
      <c r="D138" s="1" t="s">
        <v>15</v>
      </c>
      <c r="E138" s="1" t="s">
        <v>27</v>
      </c>
      <c r="F138" s="1" t="s">
        <v>51</v>
      </c>
      <c r="G138" s="1">
        <f>YEAR(Table1[[#This Row],[Application_Date]])</f>
        <v>2024</v>
      </c>
      <c r="H138" s="1" t="str">
        <f>TEXT(Table1[[#This Row],[EMI_payment_date]],"mmmm")</f>
        <v>September</v>
      </c>
      <c r="I138" s="3">
        <v>45518</v>
      </c>
      <c r="J138" s="3">
        <f>EDATE(Table1[[#This Row],[Application_Date]],1)</f>
        <v>45549</v>
      </c>
      <c r="K138" s="9">
        <v>5460000</v>
      </c>
      <c r="L138" s="9">
        <f>Table1[[#This Row],[Annual_Income]]/12</f>
        <v>455000</v>
      </c>
      <c r="M138" s="9">
        <v>5660000</v>
      </c>
      <c r="N138" s="5">
        <f ca="1">DATEDIF(Table1[[#This Row],[EMI_payment_date]],TODAY(),"m")</f>
        <v>22</v>
      </c>
      <c r="O138" s="9">
        <f ca="1">Table1[[#This Row],[month_paid]]*Table1[[#This Row],[monthly_EMI]]</f>
        <v>3003000</v>
      </c>
      <c r="P138" s="1">
        <v>5.6</v>
      </c>
      <c r="Q138" s="9">
        <f>Table1[[#This Row],[monthly_income]]*30%</f>
        <v>136500</v>
      </c>
      <c r="R138" s="1">
        <f>ROUNDUP(NPER(P138/100/12,-Q138,Table1[[#This Row],[Loan_Amount]]),0)</f>
        <v>47</v>
      </c>
      <c r="S138" s="1">
        <v>825</v>
      </c>
      <c r="T138" s="1" t="s">
        <v>37</v>
      </c>
      <c r="U138" s="1" t="str">
        <f>IF(Table1[[#This Row],[Repayment_Status]]="late","bad loan","good loan")</f>
        <v>bad loan</v>
      </c>
      <c r="V138" s="1" t="str">
        <f>IF(Table1[[#This Row],[Repayment_Status]]="late","high","low")</f>
        <v>high</v>
      </c>
      <c r="W138" s="1">
        <f>(Table1[[#This Row],[monthly_EMI]]/Table1[[#This Row],[monthly_income]])*100</f>
        <v>30</v>
      </c>
      <c r="X138" s="7">
        <v>9573.26</v>
      </c>
    </row>
    <row r="139" spans="1:24" x14ac:dyDescent="0.25">
      <c r="A139" s="1" t="s">
        <v>489</v>
      </c>
      <c r="B139" s="2" t="s">
        <v>898</v>
      </c>
      <c r="C139" s="5">
        <v>26</v>
      </c>
      <c r="D139" s="1" t="s">
        <v>15</v>
      </c>
      <c r="E139" s="1" t="s">
        <v>33</v>
      </c>
      <c r="F139" s="1" t="s">
        <v>19</v>
      </c>
      <c r="G139" s="1">
        <f>YEAR(Table1[[#This Row],[Application_Date]])</f>
        <v>2024</v>
      </c>
      <c r="H139" s="1" t="str">
        <f>TEXT(Table1[[#This Row],[EMI_payment_date]],"mmmm")</f>
        <v>September</v>
      </c>
      <c r="I139" s="3">
        <v>45519</v>
      </c>
      <c r="J139" s="3">
        <f>EDATE(Table1[[#This Row],[Application_Date]],1)</f>
        <v>45550</v>
      </c>
      <c r="K139" s="9">
        <v>6132000</v>
      </c>
      <c r="L139" s="9">
        <f>Table1[[#This Row],[Annual_Income]]/12</f>
        <v>511000</v>
      </c>
      <c r="M139" s="9">
        <v>6332000</v>
      </c>
      <c r="N139" s="5">
        <f ca="1">DATEDIF(Table1[[#This Row],[EMI_payment_date]],TODAY(),"m")</f>
        <v>22</v>
      </c>
      <c r="O139" s="9">
        <f ca="1">Table1[[#This Row],[month_paid]]*Table1[[#This Row],[monthly_EMI]]</f>
        <v>3372600</v>
      </c>
      <c r="P139" s="1">
        <v>9.6199999999999992</v>
      </c>
      <c r="Q139" s="9">
        <f>Table1[[#This Row],[monthly_income]]*30%</f>
        <v>153300</v>
      </c>
      <c r="R139" s="1">
        <f>ROUNDUP(NPER(P139/100/12,-Q139,Table1[[#This Row],[Loan_Amount]]),0)</f>
        <v>51</v>
      </c>
      <c r="S139" s="1">
        <v>786</v>
      </c>
      <c r="T139" s="1" t="s">
        <v>20</v>
      </c>
      <c r="U139" s="1" t="str">
        <f>IF(Table1[[#This Row],[Repayment_Status]]="late","bad loan","good loan")</f>
        <v>good loan</v>
      </c>
      <c r="V139" s="1" t="str">
        <f>IF(Table1[[#This Row],[Repayment_Status]]="late","high","low")</f>
        <v>low</v>
      </c>
      <c r="W139" s="1">
        <f>(Table1[[#This Row],[monthly_EMI]]/Table1[[#This Row],[monthly_income]])*100</f>
        <v>30</v>
      </c>
      <c r="X139" s="7">
        <v>23028.639999999999</v>
      </c>
    </row>
    <row r="140" spans="1:24" x14ac:dyDescent="0.25">
      <c r="A140" s="1" t="s">
        <v>602</v>
      </c>
      <c r="B140" s="2" t="s">
        <v>899</v>
      </c>
      <c r="C140" s="5">
        <v>25</v>
      </c>
      <c r="D140" s="1" t="s">
        <v>26</v>
      </c>
      <c r="E140" s="1" t="s">
        <v>29</v>
      </c>
      <c r="F140" s="1" t="s">
        <v>51</v>
      </c>
      <c r="G140" s="1">
        <f>YEAR(Table1[[#This Row],[Application_Date]])</f>
        <v>2024</v>
      </c>
      <c r="H140" s="1" t="str">
        <f>TEXT(Table1[[#This Row],[EMI_payment_date]],"mmmm")</f>
        <v>September</v>
      </c>
      <c r="I140" s="3">
        <v>45520</v>
      </c>
      <c r="J140" s="3">
        <f>EDATE(Table1[[#This Row],[Application_Date]],1)</f>
        <v>45551</v>
      </c>
      <c r="K140" s="9">
        <v>7488000</v>
      </c>
      <c r="L140" s="9">
        <f>Table1[[#This Row],[Annual_Income]]/12</f>
        <v>624000</v>
      </c>
      <c r="M140" s="9">
        <v>7688000</v>
      </c>
      <c r="N140" s="5">
        <f ca="1">DATEDIF(Table1[[#This Row],[EMI_payment_date]],TODAY(),"m")</f>
        <v>22</v>
      </c>
      <c r="O140" s="9">
        <f ca="1">Table1[[#This Row],[month_paid]]*Table1[[#This Row],[monthly_EMI]]</f>
        <v>4118400</v>
      </c>
      <c r="P140" s="1">
        <v>5.87</v>
      </c>
      <c r="Q140" s="9">
        <f>Table1[[#This Row],[monthly_income]]*30%</f>
        <v>187200</v>
      </c>
      <c r="R140" s="1">
        <f>ROUNDUP(NPER(P140/100/12,-Q140,Table1[[#This Row],[Loan_Amount]]),0)</f>
        <v>46</v>
      </c>
      <c r="S140" s="1">
        <v>685</v>
      </c>
      <c r="T140" s="1" t="s">
        <v>20</v>
      </c>
      <c r="U140" s="1" t="str">
        <f>IF(Table1[[#This Row],[Repayment_Status]]="late","bad loan","good loan")</f>
        <v>good loan</v>
      </c>
      <c r="V140" s="1" t="str">
        <f>IF(Table1[[#This Row],[Repayment_Status]]="late","high","low")</f>
        <v>low</v>
      </c>
      <c r="W140" s="1">
        <f>(Table1[[#This Row],[monthly_EMI]]/Table1[[#This Row],[monthly_income]])*100</f>
        <v>30</v>
      </c>
      <c r="X140" s="7">
        <v>24921.03</v>
      </c>
    </row>
    <row r="141" spans="1:24" x14ac:dyDescent="0.25">
      <c r="A141" s="1" t="s">
        <v>231</v>
      </c>
      <c r="B141" s="2" t="s">
        <v>763</v>
      </c>
      <c r="C141" s="5">
        <v>49</v>
      </c>
      <c r="D141" s="1" t="s">
        <v>15</v>
      </c>
      <c r="E141" s="1" t="s">
        <v>33</v>
      </c>
      <c r="F141" s="1" t="s">
        <v>51</v>
      </c>
      <c r="G141" s="1">
        <f>YEAR(Table1[[#This Row],[Application_Date]])</f>
        <v>2024</v>
      </c>
      <c r="H141" s="1" t="str">
        <f>TEXT(Table1[[#This Row],[EMI_payment_date]],"mmmm")</f>
        <v>September</v>
      </c>
      <c r="I141" s="3">
        <v>45521</v>
      </c>
      <c r="J141" s="3">
        <f>EDATE(Table1[[#This Row],[Application_Date]],1)</f>
        <v>45552</v>
      </c>
      <c r="K141" s="9">
        <v>3036000</v>
      </c>
      <c r="L141" s="9">
        <f>Table1[[#This Row],[Annual_Income]]/12</f>
        <v>253000</v>
      </c>
      <c r="M141" s="9">
        <v>3236000</v>
      </c>
      <c r="N141" s="5">
        <f ca="1">DATEDIF(Table1[[#This Row],[EMI_payment_date]],TODAY(),"m")</f>
        <v>22</v>
      </c>
      <c r="O141" s="9">
        <f ca="1">Table1[[#This Row],[month_paid]]*Table1[[#This Row],[monthly_EMI]]</f>
        <v>1669800</v>
      </c>
      <c r="P141" s="1">
        <v>9.59</v>
      </c>
      <c r="Q141" s="9">
        <f>Table1[[#This Row],[monthly_income]]*30%</f>
        <v>75900</v>
      </c>
      <c r="R141" s="1">
        <f>ROUNDUP(NPER(P141/100/12,-Q141,Table1[[#This Row],[Loan_Amount]]),0)</f>
        <v>53</v>
      </c>
      <c r="S141" s="1">
        <v>694</v>
      </c>
      <c r="T141" s="1" t="s">
        <v>20</v>
      </c>
      <c r="U141" s="1" t="str">
        <f>IF(Table1[[#This Row],[Repayment_Status]]="late","bad loan","good loan")</f>
        <v>good loan</v>
      </c>
      <c r="V141" s="1" t="str">
        <f>IF(Table1[[#This Row],[Repayment_Status]]="late","high","low")</f>
        <v>low</v>
      </c>
      <c r="W141" s="1">
        <f>(Table1[[#This Row],[monthly_EMI]]/Table1[[#This Row],[monthly_income]])*100</f>
        <v>30</v>
      </c>
      <c r="X141" s="7">
        <v>37281.51</v>
      </c>
    </row>
    <row r="142" spans="1:24" x14ac:dyDescent="0.25">
      <c r="A142" s="1" t="s">
        <v>284</v>
      </c>
      <c r="B142" s="2" t="s">
        <v>757</v>
      </c>
      <c r="C142" s="5">
        <v>54</v>
      </c>
      <c r="D142" s="1" t="s">
        <v>26</v>
      </c>
      <c r="E142" s="1" t="s">
        <v>27</v>
      </c>
      <c r="F142" s="1" t="s">
        <v>17</v>
      </c>
      <c r="G142" s="1">
        <f>YEAR(Table1[[#This Row],[Application_Date]])</f>
        <v>2024</v>
      </c>
      <c r="H142" s="1" t="str">
        <f>TEXT(Table1[[#This Row],[EMI_payment_date]],"mmmm")</f>
        <v>September</v>
      </c>
      <c r="I142" s="3">
        <v>45522</v>
      </c>
      <c r="J142" s="3">
        <f>EDATE(Table1[[#This Row],[Application_Date]],1)</f>
        <v>45553</v>
      </c>
      <c r="K142" s="9">
        <v>3672000</v>
      </c>
      <c r="L142" s="9">
        <f>Table1[[#This Row],[Annual_Income]]/12</f>
        <v>306000</v>
      </c>
      <c r="M142" s="9">
        <v>3872000</v>
      </c>
      <c r="N142" s="5">
        <f ca="1">DATEDIF(Table1[[#This Row],[EMI_payment_date]],TODAY(),"m")</f>
        <v>22</v>
      </c>
      <c r="O142" s="9">
        <f ca="1">Table1[[#This Row],[month_paid]]*Table1[[#This Row],[monthly_EMI]]</f>
        <v>2019600</v>
      </c>
      <c r="P142" s="1">
        <v>9.98</v>
      </c>
      <c r="Q142" s="9">
        <f>Table1[[#This Row],[monthly_income]]*30%</f>
        <v>91800</v>
      </c>
      <c r="R142" s="1">
        <f>ROUNDUP(NPER(P142/100/12,-Q142,Table1[[#This Row],[Loan_Amount]]),0)</f>
        <v>53</v>
      </c>
      <c r="S142" s="1">
        <v>712</v>
      </c>
      <c r="T142" s="1" t="s">
        <v>20</v>
      </c>
      <c r="U142" s="1" t="str">
        <f>IF(Table1[[#This Row],[Repayment_Status]]="late","bad loan","good loan")</f>
        <v>good loan</v>
      </c>
      <c r="V142" s="1" t="str">
        <f>IF(Table1[[#This Row],[Repayment_Status]]="late","high","low")</f>
        <v>low</v>
      </c>
      <c r="W142" s="1">
        <f>(Table1[[#This Row],[monthly_EMI]]/Table1[[#This Row],[monthly_income]])*100</f>
        <v>30</v>
      </c>
      <c r="X142" s="7">
        <v>16509.3</v>
      </c>
    </row>
    <row r="143" spans="1:24" x14ac:dyDescent="0.25">
      <c r="A143" s="1" t="s">
        <v>540</v>
      </c>
      <c r="B143" s="2" t="s">
        <v>850</v>
      </c>
      <c r="C143" s="5">
        <v>38</v>
      </c>
      <c r="D143" s="1" t="s">
        <v>15</v>
      </c>
      <c r="E143" s="1" t="s">
        <v>33</v>
      </c>
      <c r="F143" s="1" t="s">
        <v>22</v>
      </c>
      <c r="G143" s="1">
        <f>YEAR(Table1[[#This Row],[Application_Date]])</f>
        <v>2024</v>
      </c>
      <c r="H143" s="1" t="str">
        <f>TEXT(Table1[[#This Row],[EMI_payment_date]],"mmmm")</f>
        <v>September</v>
      </c>
      <c r="I143" s="3">
        <v>45523</v>
      </c>
      <c r="J143" s="3">
        <f>EDATE(Table1[[#This Row],[Application_Date]],1)</f>
        <v>45554</v>
      </c>
      <c r="K143" s="9">
        <v>6744000</v>
      </c>
      <c r="L143" s="9">
        <f>Table1[[#This Row],[Annual_Income]]/12</f>
        <v>562000</v>
      </c>
      <c r="M143" s="9">
        <v>6944000</v>
      </c>
      <c r="N143" s="5">
        <f ca="1">DATEDIF(Table1[[#This Row],[EMI_payment_date]],TODAY(),"m")</f>
        <v>22</v>
      </c>
      <c r="O143" s="9">
        <f ca="1">Table1[[#This Row],[month_paid]]*Table1[[#This Row],[monthly_EMI]]</f>
        <v>3709200</v>
      </c>
      <c r="P143" s="1">
        <v>7.1</v>
      </c>
      <c r="Q143" s="9">
        <f>Table1[[#This Row],[monthly_income]]*30%</f>
        <v>168600</v>
      </c>
      <c r="R143" s="1">
        <f>ROUNDUP(NPER(P143/100/12,-Q143,Table1[[#This Row],[Loan_Amount]]),0)</f>
        <v>48</v>
      </c>
      <c r="S143" s="1">
        <v>605</v>
      </c>
      <c r="T143" s="1" t="s">
        <v>20</v>
      </c>
      <c r="U143" s="1" t="str">
        <f>IF(Table1[[#This Row],[Repayment_Status]]="late","bad loan","good loan")</f>
        <v>good loan</v>
      </c>
      <c r="V143" s="1" t="str">
        <f>IF(Table1[[#This Row],[Repayment_Status]]="late","high","low")</f>
        <v>low</v>
      </c>
      <c r="W143" s="1">
        <f>(Table1[[#This Row],[monthly_EMI]]/Table1[[#This Row],[monthly_income]])*100</f>
        <v>30</v>
      </c>
      <c r="X143" s="7">
        <v>8688.82</v>
      </c>
    </row>
    <row r="144" spans="1:24" x14ac:dyDescent="0.25">
      <c r="A144" s="1" t="s">
        <v>703</v>
      </c>
      <c r="B144" s="2" t="s">
        <v>866</v>
      </c>
      <c r="C144" s="5">
        <v>36</v>
      </c>
      <c r="D144" s="1" t="s">
        <v>15</v>
      </c>
      <c r="E144" s="1" t="s">
        <v>27</v>
      </c>
      <c r="F144" s="1" t="s">
        <v>22</v>
      </c>
      <c r="G144" s="1">
        <f>YEAR(Table1[[#This Row],[Application_Date]])</f>
        <v>2024</v>
      </c>
      <c r="H144" s="1" t="str">
        <f>TEXT(Table1[[#This Row],[EMI_payment_date]],"mmmm")</f>
        <v>September</v>
      </c>
      <c r="I144" s="3">
        <v>45524</v>
      </c>
      <c r="J144" s="3">
        <f>EDATE(Table1[[#This Row],[Application_Date]],1)</f>
        <v>45555</v>
      </c>
      <c r="K144" s="9">
        <v>8700000</v>
      </c>
      <c r="L144" s="9">
        <f>Table1[[#This Row],[Annual_Income]]/12</f>
        <v>725000</v>
      </c>
      <c r="M144" s="9">
        <v>8900000</v>
      </c>
      <c r="N144" s="5">
        <f ca="1">DATEDIF(Table1[[#This Row],[EMI_payment_date]],TODAY(),"m")</f>
        <v>22</v>
      </c>
      <c r="O144" s="9">
        <f ca="1">Table1[[#This Row],[month_paid]]*Table1[[#This Row],[monthly_EMI]]</f>
        <v>4785000</v>
      </c>
      <c r="P144" s="1">
        <v>10</v>
      </c>
      <c r="Q144" s="9">
        <f>Table1[[#This Row],[monthly_income]]*30%</f>
        <v>217500</v>
      </c>
      <c r="R144" s="1">
        <f>ROUNDUP(NPER(P144/100/12,-Q144,Table1[[#This Row],[Loan_Amount]]),0)</f>
        <v>51</v>
      </c>
      <c r="S144" s="1">
        <v>829</v>
      </c>
      <c r="T144" s="1" t="s">
        <v>37</v>
      </c>
      <c r="U144" s="1" t="str">
        <f>IF(Table1[[#This Row],[Repayment_Status]]="late","bad loan","good loan")</f>
        <v>bad loan</v>
      </c>
      <c r="V144" s="1" t="str">
        <f>IF(Table1[[#This Row],[Repayment_Status]]="late","high","low")</f>
        <v>high</v>
      </c>
      <c r="W144" s="1">
        <f>(Table1[[#This Row],[monthly_EMI]]/Table1[[#This Row],[monthly_income]])*100</f>
        <v>30</v>
      </c>
      <c r="X144" s="7">
        <v>40565.4</v>
      </c>
    </row>
    <row r="145" spans="1:24" x14ac:dyDescent="0.25">
      <c r="A145" s="1" t="s">
        <v>697</v>
      </c>
      <c r="B145" s="2" t="s">
        <v>855</v>
      </c>
      <c r="C145" s="5">
        <v>46</v>
      </c>
      <c r="D145" s="1" t="s">
        <v>26</v>
      </c>
      <c r="E145" s="1" t="s">
        <v>27</v>
      </c>
      <c r="F145" s="1" t="s">
        <v>19</v>
      </c>
      <c r="G145" s="1">
        <f>YEAR(Table1[[#This Row],[Application_Date]])</f>
        <v>2024</v>
      </c>
      <c r="H145" s="1" t="str">
        <f>TEXT(Table1[[#This Row],[EMI_payment_date]],"mmmm")</f>
        <v>September</v>
      </c>
      <c r="I145" s="3">
        <v>45525</v>
      </c>
      <c r="J145" s="3">
        <f>EDATE(Table1[[#This Row],[Application_Date]],1)</f>
        <v>45556</v>
      </c>
      <c r="K145" s="9">
        <v>8628000</v>
      </c>
      <c r="L145" s="9">
        <f>Table1[[#This Row],[Annual_Income]]/12</f>
        <v>719000</v>
      </c>
      <c r="M145" s="9">
        <v>8828000</v>
      </c>
      <c r="N145" s="5">
        <f ca="1">DATEDIF(Table1[[#This Row],[EMI_payment_date]],TODAY(),"m")</f>
        <v>22</v>
      </c>
      <c r="O145" s="9">
        <f ca="1">Table1[[#This Row],[month_paid]]*Table1[[#This Row],[monthly_EMI]]</f>
        <v>4745400</v>
      </c>
      <c r="P145" s="1">
        <v>8.17</v>
      </c>
      <c r="Q145" s="9">
        <f>Table1[[#This Row],[monthly_income]]*30%</f>
        <v>215700</v>
      </c>
      <c r="R145" s="1">
        <f>ROUNDUP(NPER(P145/100/12,-Q145,Table1[[#This Row],[Loan_Amount]]),0)</f>
        <v>49</v>
      </c>
      <c r="S145" s="1">
        <v>710</v>
      </c>
      <c r="T145" s="1" t="s">
        <v>37</v>
      </c>
      <c r="U145" s="1" t="str">
        <f>IF(Table1[[#This Row],[Repayment_Status]]="late","bad loan","good loan")</f>
        <v>bad loan</v>
      </c>
      <c r="V145" s="1" t="str">
        <f>IF(Table1[[#This Row],[Repayment_Status]]="late","high","low")</f>
        <v>high</v>
      </c>
      <c r="W145" s="1">
        <f>(Table1[[#This Row],[monthly_EMI]]/Table1[[#This Row],[monthly_income]])*100</f>
        <v>30</v>
      </c>
      <c r="X145" s="7">
        <v>11852.2</v>
      </c>
    </row>
    <row r="146" spans="1:24" x14ac:dyDescent="0.25">
      <c r="A146" s="1" t="s">
        <v>242</v>
      </c>
      <c r="B146" s="2" t="s">
        <v>866</v>
      </c>
      <c r="C146" s="5">
        <v>57</v>
      </c>
      <c r="D146" s="1" t="s">
        <v>26</v>
      </c>
      <c r="E146" s="1" t="s">
        <v>29</v>
      </c>
      <c r="F146" s="1" t="s">
        <v>51</v>
      </c>
      <c r="G146" s="1">
        <f>YEAR(Table1[[#This Row],[Application_Date]])</f>
        <v>2024</v>
      </c>
      <c r="H146" s="1" t="str">
        <f>TEXT(Table1[[#This Row],[EMI_payment_date]],"mmmm")</f>
        <v>September</v>
      </c>
      <c r="I146" s="3">
        <v>45526</v>
      </c>
      <c r="J146" s="3">
        <f>EDATE(Table1[[#This Row],[Application_Date]],1)</f>
        <v>45557</v>
      </c>
      <c r="K146" s="9">
        <v>3168000</v>
      </c>
      <c r="L146" s="9">
        <f>Table1[[#This Row],[Annual_Income]]/12</f>
        <v>264000</v>
      </c>
      <c r="M146" s="9">
        <v>3368000</v>
      </c>
      <c r="N146" s="5">
        <f ca="1">DATEDIF(Table1[[#This Row],[EMI_payment_date]],TODAY(),"m")</f>
        <v>22</v>
      </c>
      <c r="O146" s="9">
        <f ca="1">Table1[[#This Row],[month_paid]]*Table1[[#This Row],[monthly_EMI]]</f>
        <v>1742400</v>
      </c>
      <c r="P146" s="1">
        <v>8.4499999999999993</v>
      </c>
      <c r="Q146" s="9">
        <f>Table1[[#This Row],[monthly_income]]*30%</f>
        <v>79200</v>
      </c>
      <c r="R146" s="1">
        <f>ROUNDUP(NPER(P146/100/12,-Q146,Table1[[#This Row],[Loan_Amount]]),0)</f>
        <v>51</v>
      </c>
      <c r="S146" s="1">
        <v>698</v>
      </c>
      <c r="T146" s="1" t="s">
        <v>37</v>
      </c>
      <c r="U146" s="1" t="str">
        <f>IF(Table1[[#This Row],[Repayment_Status]]="late","bad loan","good loan")</f>
        <v>bad loan</v>
      </c>
      <c r="V146" s="1" t="str">
        <f>IF(Table1[[#This Row],[Repayment_Status]]="late","high","low")</f>
        <v>high</v>
      </c>
      <c r="W146" s="1">
        <f>(Table1[[#This Row],[monthly_EMI]]/Table1[[#This Row],[monthly_income]])*100</f>
        <v>30</v>
      </c>
      <c r="X146" s="7">
        <v>21601.119999999999</v>
      </c>
    </row>
    <row r="147" spans="1:24" x14ac:dyDescent="0.25">
      <c r="A147" s="1" t="s">
        <v>267</v>
      </c>
      <c r="B147" s="2" t="s">
        <v>761</v>
      </c>
      <c r="C147" s="5">
        <v>26</v>
      </c>
      <c r="D147" s="1" t="s">
        <v>26</v>
      </c>
      <c r="E147" s="1" t="s">
        <v>16</v>
      </c>
      <c r="F147" s="1" t="s">
        <v>19</v>
      </c>
      <c r="G147" s="1">
        <f>YEAR(Table1[[#This Row],[Application_Date]])</f>
        <v>2024</v>
      </c>
      <c r="H147" s="1" t="str">
        <f>TEXT(Table1[[#This Row],[EMI_payment_date]],"mmmm")</f>
        <v>September</v>
      </c>
      <c r="I147" s="3">
        <v>45527</v>
      </c>
      <c r="J147" s="3">
        <f>EDATE(Table1[[#This Row],[Application_Date]],1)</f>
        <v>45558</v>
      </c>
      <c r="K147" s="9">
        <v>3468000</v>
      </c>
      <c r="L147" s="9">
        <f>Table1[[#This Row],[Annual_Income]]/12</f>
        <v>289000</v>
      </c>
      <c r="M147" s="9">
        <v>3668000</v>
      </c>
      <c r="N147" s="5">
        <f ca="1">DATEDIF(Table1[[#This Row],[EMI_payment_date]],TODAY(),"m")</f>
        <v>22</v>
      </c>
      <c r="O147" s="9">
        <f ca="1">Table1[[#This Row],[month_paid]]*Table1[[#This Row],[monthly_EMI]]</f>
        <v>1907400</v>
      </c>
      <c r="P147" s="1">
        <v>5.69</v>
      </c>
      <c r="Q147" s="9">
        <f>Table1[[#This Row],[monthly_income]]*30%</f>
        <v>86700</v>
      </c>
      <c r="R147" s="1">
        <f>ROUNDUP(NPER(P147/100/12,-Q147,Table1[[#This Row],[Loan_Amount]]),0)</f>
        <v>48</v>
      </c>
      <c r="S147" s="1">
        <v>643</v>
      </c>
      <c r="T147" s="1" t="s">
        <v>37</v>
      </c>
      <c r="U147" s="1" t="str">
        <f>IF(Table1[[#This Row],[Repayment_Status]]="late","bad loan","good loan")</f>
        <v>bad loan</v>
      </c>
      <c r="V147" s="1" t="str">
        <f>IF(Table1[[#This Row],[Repayment_Status]]="late","high","low")</f>
        <v>high</v>
      </c>
      <c r="W147" s="1">
        <f>(Table1[[#This Row],[monthly_EMI]]/Table1[[#This Row],[monthly_income]])*100</f>
        <v>30</v>
      </c>
      <c r="X147" s="7">
        <v>22836.15</v>
      </c>
    </row>
    <row r="148" spans="1:24" x14ac:dyDescent="0.25">
      <c r="A148" s="1" t="s">
        <v>646</v>
      </c>
      <c r="B148" s="2" t="s">
        <v>732</v>
      </c>
      <c r="C148" s="5">
        <v>53</v>
      </c>
      <c r="D148" s="1" t="s">
        <v>15</v>
      </c>
      <c r="E148" s="1" t="s">
        <v>24</v>
      </c>
      <c r="F148" s="1" t="s">
        <v>19</v>
      </c>
      <c r="G148" s="1">
        <f>YEAR(Table1[[#This Row],[Application_Date]])</f>
        <v>2024</v>
      </c>
      <c r="H148" s="1" t="str">
        <f>TEXT(Table1[[#This Row],[EMI_payment_date]],"mmmm")</f>
        <v>September</v>
      </c>
      <c r="I148" s="3">
        <v>45528</v>
      </c>
      <c r="J148" s="3">
        <f>EDATE(Table1[[#This Row],[Application_Date]],1)</f>
        <v>45559</v>
      </c>
      <c r="K148" s="9">
        <v>8016000</v>
      </c>
      <c r="L148" s="9">
        <f>Table1[[#This Row],[Annual_Income]]/12</f>
        <v>668000</v>
      </c>
      <c r="M148" s="9">
        <v>8216000</v>
      </c>
      <c r="N148" s="5">
        <f ca="1">DATEDIF(Table1[[#This Row],[EMI_payment_date]],TODAY(),"m")</f>
        <v>22</v>
      </c>
      <c r="O148" s="9">
        <f ca="1">Table1[[#This Row],[month_paid]]*Table1[[#This Row],[monthly_EMI]]</f>
        <v>4408800</v>
      </c>
      <c r="P148" s="1">
        <v>6.26</v>
      </c>
      <c r="Q148" s="9">
        <f>Table1[[#This Row],[monthly_income]]*30%</f>
        <v>200400</v>
      </c>
      <c r="R148" s="1">
        <f>ROUNDUP(NPER(P148/100/12,-Q148,Table1[[#This Row],[Loan_Amount]]),0)</f>
        <v>47</v>
      </c>
      <c r="S148" s="1">
        <v>617</v>
      </c>
      <c r="T148" s="1" t="s">
        <v>37</v>
      </c>
      <c r="U148" s="1" t="str">
        <f>IF(Table1[[#This Row],[Repayment_Status]]="late","bad loan","good loan")</f>
        <v>bad loan</v>
      </c>
      <c r="V148" s="1" t="str">
        <f>IF(Table1[[#This Row],[Repayment_Status]]="late","high","low")</f>
        <v>high</v>
      </c>
      <c r="W148" s="1">
        <f>(Table1[[#This Row],[monthly_EMI]]/Table1[[#This Row],[monthly_income]])*100</f>
        <v>30</v>
      </c>
      <c r="X148" s="7">
        <v>25401.1</v>
      </c>
    </row>
    <row r="149" spans="1:24" x14ac:dyDescent="0.25">
      <c r="A149" s="1" t="s">
        <v>129</v>
      </c>
      <c r="B149" s="2" t="s">
        <v>810</v>
      </c>
      <c r="C149" s="5">
        <v>38</v>
      </c>
      <c r="D149" s="1" t="s">
        <v>15</v>
      </c>
      <c r="E149" s="1" t="s">
        <v>36</v>
      </c>
      <c r="F149" s="1" t="s">
        <v>17</v>
      </c>
      <c r="G149" s="1">
        <f>YEAR(Table1[[#This Row],[Application_Date]])</f>
        <v>2024</v>
      </c>
      <c r="H149" s="1" t="str">
        <f>TEXT(Table1[[#This Row],[EMI_payment_date]],"mmmm")</f>
        <v>September</v>
      </c>
      <c r="I149" s="3">
        <v>45529</v>
      </c>
      <c r="J149" s="3">
        <f>EDATE(Table1[[#This Row],[Application_Date]],1)</f>
        <v>45560</v>
      </c>
      <c r="K149" s="9">
        <v>1812000</v>
      </c>
      <c r="L149" s="9">
        <f>Table1[[#This Row],[Annual_Income]]/12</f>
        <v>151000</v>
      </c>
      <c r="M149" s="9">
        <v>2012000</v>
      </c>
      <c r="N149" s="5">
        <f ca="1">DATEDIF(Table1[[#This Row],[EMI_payment_date]],TODAY(),"m")</f>
        <v>22</v>
      </c>
      <c r="O149" s="9">
        <f ca="1">Table1[[#This Row],[month_paid]]*Table1[[#This Row],[monthly_EMI]]</f>
        <v>996600</v>
      </c>
      <c r="P149" s="1">
        <v>5.51</v>
      </c>
      <c r="Q149" s="9">
        <f>Table1[[#This Row],[monthly_income]]*30%</f>
        <v>45300</v>
      </c>
      <c r="R149" s="1">
        <f>ROUNDUP(NPER(P149/100/12,-Q149,Table1[[#This Row],[Loan_Amount]]),0)</f>
        <v>50</v>
      </c>
      <c r="S149" s="1">
        <v>712</v>
      </c>
      <c r="T149" s="1" t="s">
        <v>20</v>
      </c>
      <c r="U149" s="1" t="str">
        <f>IF(Table1[[#This Row],[Repayment_Status]]="late","bad loan","good loan")</f>
        <v>good loan</v>
      </c>
      <c r="V149" s="1" t="str">
        <f>IF(Table1[[#This Row],[Repayment_Status]]="late","high","low")</f>
        <v>low</v>
      </c>
      <c r="W149" s="1">
        <f>(Table1[[#This Row],[monthly_EMI]]/Table1[[#This Row],[monthly_income]])*100</f>
        <v>30</v>
      </c>
      <c r="X149" s="7">
        <v>14927.21</v>
      </c>
    </row>
    <row r="150" spans="1:24" x14ac:dyDescent="0.25">
      <c r="A150" s="1" t="s">
        <v>527</v>
      </c>
      <c r="B150" s="2" t="s">
        <v>904</v>
      </c>
      <c r="C150" s="5">
        <v>25</v>
      </c>
      <c r="D150" s="1" t="s">
        <v>26</v>
      </c>
      <c r="E150" s="1" t="s">
        <v>16</v>
      </c>
      <c r="F150" s="1" t="s">
        <v>19</v>
      </c>
      <c r="G150" s="1">
        <f>YEAR(Table1[[#This Row],[Application_Date]])</f>
        <v>2024</v>
      </c>
      <c r="H150" s="1" t="str">
        <f>TEXT(Table1[[#This Row],[EMI_payment_date]],"mmmm")</f>
        <v>September</v>
      </c>
      <c r="I150" s="3">
        <v>45530</v>
      </c>
      <c r="J150" s="3">
        <f>EDATE(Table1[[#This Row],[Application_Date]],1)</f>
        <v>45561</v>
      </c>
      <c r="K150" s="9">
        <v>6588000</v>
      </c>
      <c r="L150" s="9">
        <f>Table1[[#This Row],[Annual_Income]]/12</f>
        <v>549000</v>
      </c>
      <c r="M150" s="9">
        <v>6788000</v>
      </c>
      <c r="N150" s="5">
        <f ca="1">DATEDIF(Table1[[#This Row],[EMI_payment_date]],TODAY(),"m")</f>
        <v>22</v>
      </c>
      <c r="O150" s="9">
        <f ca="1">Table1[[#This Row],[month_paid]]*Table1[[#This Row],[monthly_EMI]]</f>
        <v>3623400</v>
      </c>
      <c r="P150" s="1">
        <v>5.86</v>
      </c>
      <c r="Q150" s="9">
        <f>Table1[[#This Row],[monthly_income]]*30%</f>
        <v>164700</v>
      </c>
      <c r="R150" s="1">
        <f>ROUNDUP(NPER(P150/100/12,-Q150,Table1[[#This Row],[Loan_Amount]]),0)</f>
        <v>47</v>
      </c>
      <c r="S150" s="1">
        <v>704</v>
      </c>
      <c r="T150" s="1" t="s">
        <v>20</v>
      </c>
      <c r="U150" s="1" t="str">
        <f>IF(Table1[[#This Row],[Repayment_Status]]="late","bad loan","good loan")</f>
        <v>good loan</v>
      </c>
      <c r="V150" s="1" t="str">
        <f>IF(Table1[[#This Row],[Repayment_Status]]="late","high","low")</f>
        <v>low</v>
      </c>
      <c r="W150" s="1">
        <f>(Table1[[#This Row],[monthly_EMI]]/Table1[[#This Row],[monthly_income]])*100</f>
        <v>30</v>
      </c>
      <c r="X150" s="7">
        <v>15962.6</v>
      </c>
    </row>
    <row r="151" spans="1:24" x14ac:dyDescent="0.25">
      <c r="A151" s="1" t="s">
        <v>530</v>
      </c>
      <c r="B151" s="2" t="s">
        <v>798</v>
      </c>
      <c r="C151" s="5">
        <v>36</v>
      </c>
      <c r="D151" s="1" t="s">
        <v>26</v>
      </c>
      <c r="E151" s="1" t="s">
        <v>29</v>
      </c>
      <c r="F151" s="1" t="s">
        <v>17</v>
      </c>
      <c r="G151" s="1">
        <f>YEAR(Table1[[#This Row],[Application_Date]])</f>
        <v>2024</v>
      </c>
      <c r="H151" s="1" t="str">
        <f>TEXT(Table1[[#This Row],[EMI_payment_date]],"mmmm")</f>
        <v>September</v>
      </c>
      <c r="I151" s="3">
        <v>45531</v>
      </c>
      <c r="J151" s="3">
        <f>EDATE(Table1[[#This Row],[Application_Date]],1)</f>
        <v>45562</v>
      </c>
      <c r="K151" s="9">
        <v>6624000</v>
      </c>
      <c r="L151" s="9">
        <f>Table1[[#This Row],[Annual_Income]]/12</f>
        <v>552000</v>
      </c>
      <c r="M151" s="9">
        <v>6824000</v>
      </c>
      <c r="N151" s="5">
        <f ca="1">DATEDIF(Table1[[#This Row],[EMI_payment_date]],TODAY(),"m")</f>
        <v>22</v>
      </c>
      <c r="O151" s="9">
        <f ca="1">Table1[[#This Row],[month_paid]]*Table1[[#This Row],[monthly_EMI]]</f>
        <v>3643200</v>
      </c>
      <c r="P151" s="1">
        <v>5.49</v>
      </c>
      <c r="Q151" s="9">
        <f>Table1[[#This Row],[monthly_income]]*30%</f>
        <v>165600</v>
      </c>
      <c r="R151" s="1">
        <f>ROUNDUP(NPER(P151/100/12,-Q151,Table1[[#This Row],[Loan_Amount]]),0)</f>
        <v>46</v>
      </c>
      <c r="S151" s="1">
        <v>819</v>
      </c>
      <c r="T151" s="1" t="s">
        <v>20</v>
      </c>
      <c r="U151" s="1" t="str">
        <f>IF(Table1[[#This Row],[Repayment_Status]]="late","bad loan","good loan")</f>
        <v>good loan</v>
      </c>
      <c r="V151" s="1" t="str">
        <f>IF(Table1[[#This Row],[Repayment_Status]]="late","high","low")</f>
        <v>low</v>
      </c>
      <c r="W151" s="1">
        <f>(Table1[[#This Row],[monthly_EMI]]/Table1[[#This Row],[monthly_income]])*100</f>
        <v>30</v>
      </c>
      <c r="X151" s="7">
        <v>18044.09</v>
      </c>
    </row>
    <row r="152" spans="1:24" x14ac:dyDescent="0.25">
      <c r="A152" s="1" t="s">
        <v>119</v>
      </c>
      <c r="B152" s="2" t="s">
        <v>804</v>
      </c>
      <c r="C152" s="5">
        <v>32</v>
      </c>
      <c r="D152" s="1" t="s">
        <v>15</v>
      </c>
      <c r="E152" s="1" t="s">
        <v>24</v>
      </c>
      <c r="F152" s="1" t="s">
        <v>22</v>
      </c>
      <c r="G152" s="1">
        <f>YEAR(Table1[[#This Row],[Application_Date]])</f>
        <v>2024</v>
      </c>
      <c r="H152" s="1" t="str">
        <f>TEXT(Table1[[#This Row],[EMI_payment_date]],"mmmm")</f>
        <v>September</v>
      </c>
      <c r="I152" s="3">
        <v>45532</v>
      </c>
      <c r="J152" s="3">
        <f>EDATE(Table1[[#This Row],[Application_Date]],1)</f>
        <v>45563</v>
      </c>
      <c r="K152" s="9">
        <v>1692000</v>
      </c>
      <c r="L152" s="9">
        <f>Table1[[#This Row],[Annual_Income]]/12</f>
        <v>141000</v>
      </c>
      <c r="M152" s="9">
        <v>1892000</v>
      </c>
      <c r="N152" s="5">
        <f ca="1">DATEDIF(Table1[[#This Row],[EMI_payment_date]],TODAY(),"m")</f>
        <v>22</v>
      </c>
      <c r="O152" s="9">
        <f ca="1">Table1[[#This Row],[month_paid]]*Table1[[#This Row],[monthly_EMI]]</f>
        <v>930600</v>
      </c>
      <c r="P152" s="1">
        <v>6.76</v>
      </c>
      <c r="Q152" s="9">
        <f>Table1[[#This Row],[monthly_income]]*30%</f>
        <v>42300</v>
      </c>
      <c r="R152" s="1">
        <f>ROUNDUP(NPER(P152/100/12,-Q152,Table1[[#This Row],[Loan_Amount]]),0)</f>
        <v>52</v>
      </c>
      <c r="S152" s="1">
        <v>768</v>
      </c>
      <c r="T152" s="1" t="s">
        <v>37</v>
      </c>
      <c r="U152" s="1" t="str">
        <f>IF(Table1[[#This Row],[Repayment_Status]]="late","bad loan","good loan")</f>
        <v>bad loan</v>
      </c>
      <c r="V152" s="1" t="str">
        <f>IF(Table1[[#This Row],[Repayment_Status]]="late","high","low")</f>
        <v>high</v>
      </c>
      <c r="W152" s="1">
        <f>(Table1[[#This Row],[monthly_EMI]]/Table1[[#This Row],[monthly_income]])*100</f>
        <v>30</v>
      </c>
      <c r="X152" s="7">
        <v>26414.85</v>
      </c>
    </row>
    <row r="153" spans="1:24" x14ac:dyDescent="0.25">
      <c r="A153" s="1" t="s">
        <v>597</v>
      </c>
      <c r="B153" s="2" t="s">
        <v>830</v>
      </c>
      <c r="C153" s="5">
        <v>59</v>
      </c>
      <c r="D153" s="1" t="s">
        <v>15</v>
      </c>
      <c r="E153" s="1" t="s">
        <v>36</v>
      </c>
      <c r="F153" s="1" t="s">
        <v>19</v>
      </c>
      <c r="G153" s="1">
        <f>YEAR(Table1[[#This Row],[Application_Date]])</f>
        <v>2024</v>
      </c>
      <c r="H153" s="1" t="str">
        <f>TEXT(Table1[[#This Row],[EMI_payment_date]],"mmmm")</f>
        <v>September</v>
      </c>
      <c r="I153" s="3">
        <v>45533</v>
      </c>
      <c r="J153" s="3">
        <f>EDATE(Table1[[#This Row],[Application_Date]],1)</f>
        <v>45564</v>
      </c>
      <c r="K153" s="9">
        <v>7428000</v>
      </c>
      <c r="L153" s="9">
        <f>Table1[[#This Row],[Annual_Income]]/12</f>
        <v>619000</v>
      </c>
      <c r="M153" s="9">
        <v>7628000</v>
      </c>
      <c r="N153" s="5">
        <f ca="1">DATEDIF(Table1[[#This Row],[EMI_payment_date]],TODAY(),"m")</f>
        <v>22</v>
      </c>
      <c r="O153" s="9">
        <f ca="1">Table1[[#This Row],[month_paid]]*Table1[[#This Row],[monthly_EMI]]</f>
        <v>4085400</v>
      </c>
      <c r="P153" s="1">
        <v>8.32</v>
      </c>
      <c r="Q153" s="9">
        <f>Table1[[#This Row],[monthly_income]]*30%</f>
        <v>185700</v>
      </c>
      <c r="R153" s="1">
        <f>ROUNDUP(NPER(P153/100/12,-Q153,Table1[[#This Row],[Loan_Amount]]),0)</f>
        <v>49</v>
      </c>
      <c r="S153" s="1">
        <v>825</v>
      </c>
      <c r="T153" s="1" t="s">
        <v>37</v>
      </c>
      <c r="U153" s="1" t="str">
        <f>IF(Table1[[#This Row],[Repayment_Status]]="late","bad loan","good loan")</f>
        <v>bad loan</v>
      </c>
      <c r="V153" s="1" t="str">
        <f>IF(Table1[[#This Row],[Repayment_Status]]="late","high","low")</f>
        <v>high</v>
      </c>
      <c r="W153" s="1">
        <f>(Table1[[#This Row],[monthly_EMI]]/Table1[[#This Row],[monthly_income]])*100</f>
        <v>30</v>
      </c>
      <c r="X153" s="7">
        <v>6526.26</v>
      </c>
    </row>
    <row r="154" spans="1:24" x14ac:dyDescent="0.25">
      <c r="A154" s="1" t="s">
        <v>691</v>
      </c>
      <c r="B154" s="2" t="s">
        <v>900</v>
      </c>
      <c r="C154" s="5">
        <v>22</v>
      </c>
      <c r="D154" s="1" t="s">
        <v>26</v>
      </c>
      <c r="E154" s="1" t="s">
        <v>36</v>
      </c>
      <c r="F154" s="1" t="s">
        <v>51</v>
      </c>
      <c r="G154" s="1">
        <f>YEAR(Table1[[#This Row],[Application_Date]])</f>
        <v>2024</v>
      </c>
      <c r="H154" s="1" t="str">
        <f>TEXT(Table1[[#This Row],[EMI_payment_date]],"mmmm")</f>
        <v>September</v>
      </c>
      <c r="I154" s="3">
        <v>45534</v>
      </c>
      <c r="J154" s="3">
        <f>EDATE(Table1[[#This Row],[Application_Date]],1)</f>
        <v>45565</v>
      </c>
      <c r="K154" s="9">
        <v>8556000</v>
      </c>
      <c r="L154" s="9">
        <f>Table1[[#This Row],[Annual_Income]]/12</f>
        <v>713000</v>
      </c>
      <c r="M154" s="9">
        <v>8756000</v>
      </c>
      <c r="N154" s="5">
        <f ca="1">DATEDIF(Table1[[#This Row],[EMI_payment_date]],TODAY(),"m")</f>
        <v>22</v>
      </c>
      <c r="O154" s="9">
        <f ca="1">Table1[[#This Row],[month_paid]]*Table1[[#This Row],[monthly_EMI]]</f>
        <v>4705800</v>
      </c>
      <c r="P154" s="1">
        <v>5.09</v>
      </c>
      <c r="Q154" s="9">
        <f>Table1[[#This Row],[monthly_income]]*30%</f>
        <v>213900</v>
      </c>
      <c r="R154" s="1">
        <f>ROUNDUP(NPER(P154/100/12,-Q154,Table1[[#This Row],[Loan_Amount]]),0)</f>
        <v>46</v>
      </c>
      <c r="S154" s="1">
        <v>765</v>
      </c>
      <c r="T154" s="1" t="s">
        <v>20</v>
      </c>
      <c r="U154" s="1" t="str">
        <f>IF(Table1[[#This Row],[Repayment_Status]]="late","bad loan","good loan")</f>
        <v>good loan</v>
      </c>
      <c r="V154" s="1" t="str">
        <f>IF(Table1[[#This Row],[Repayment_Status]]="late","high","low")</f>
        <v>low</v>
      </c>
      <c r="W154" s="1">
        <f>(Table1[[#This Row],[monthly_EMI]]/Table1[[#This Row],[monthly_income]])*100</f>
        <v>30</v>
      </c>
      <c r="X154" s="7">
        <v>20295.400000000001</v>
      </c>
    </row>
    <row r="155" spans="1:24" x14ac:dyDescent="0.25">
      <c r="A155" s="1" t="s">
        <v>696</v>
      </c>
      <c r="B155" s="2" t="s">
        <v>785</v>
      </c>
      <c r="C155" s="5">
        <v>46</v>
      </c>
      <c r="D155" s="1" t="s">
        <v>15</v>
      </c>
      <c r="E155" s="1" t="s">
        <v>36</v>
      </c>
      <c r="F155" s="1" t="s">
        <v>31</v>
      </c>
      <c r="G155" s="1">
        <f>YEAR(Table1[[#This Row],[Application_Date]])</f>
        <v>2024</v>
      </c>
      <c r="H155" s="1" t="str">
        <f>TEXT(Table1[[#This Row],[EMI_payment_date]],"mmmm")</f>
        <v>September</v>
      </c>
      <c r="I155" s="3">
        <v>45535</v>
      </c>
      <c r="J155" s="3">
        <f>EDATE(Table1[[#This Row],[Application_Date]],1)</f>
        <v>45565</v>
      </c>
      <c r="K155" s="9">
        <v>8616000</v>
      </c>
      <c r="L155" s="9">
        <f>Table1[[#This Row],[Annual_Income]]/12</f>
        <v>718000</v>
      </c>
      <c r="M155" s="9">
        <v>8816000</v>
      </c>
      <c r="N155" s="5">
        <f ca="1">DATEDIF(Table1[[#This Row],[EMI_payment_date]],TODAY(),"m")</f>
        <v>22</v>
      </c>
      <c r="O155" s="9">
        <f ca="1">Table1[[#This Row],[month_paid]]*Table1[[#This Row],[monthly_EMI]]</f>
        <v>4738800</v>
      </c>
      <c r="P155" s="1">
        <v>5.34</v>
      </c>
      <c r="Q155" s="9">
        <f>Table1[[#This Row],[monthly_income]]*30%</f>
        <v>215400</v>
      </c>
      <c r="R155" s="1">
        <f>ROUNDUP(NPER(P155/100/12,-Q155,Table1[[#This Row],[Loan_Amount]]),0)</f>
        <v>46</v>
      </c>
      <c r="S155" s="1">
        <v>621</v>
      </c>
      <c r="T155" s="1" t="s">
        <v>20</v>
      </c>
      <c r="U155" s="1" t="str">
        <f>IF(Table1[[#This Row],[Repayment_Status]]="late","bad loan","good loan")</f>
        <v>good loan</v>
      </c>
      <c r="V155" s="1" t="str">
        <f>IF(Table1[[#This Row],[Repayment_Status]]="late","high","low")</f>
        <v>low</v>
      </c>
      <c r="W155" s="1">
        <f>(Table1[[#This Row],[monthly_EMI]]/Table1[[#This Row],[monthly_income]])*100</f>
        <v>30</v>
      </c>
      <c r="X155" s="7">
        <v>8845.82</v>
      </c>
    </row>
    <row r="156" spans="1:24" x14ac:dyDescent="0.25">
      <c r="A156" s="1" t="s">
        <v>175</v>
      </c>
      <c r="B156" s="2" t="s">
        <v>787</v>
      </c>
      <c r="C156" s="5">
        <v>23</v>
      </c>
      <c r="D156" s="1" t="s">
        <v>15</v>
      </c>
      <c r="E156" s="1" t="s">
        <v>33</v>
      </c>
      <c r="F156" s="1" t="s">
        <v>51</v>
      </c>
      <c r="G156" s="1">
        <f>YEAR(Table1[[#This Row],[Application_Date]])</f>
        <v>2024</v>
      </c>
      <c r="H156" s="1" t="str">
        <f>TEXT(Table1[[#This Row],[EMI_payment_date]],"mmmm")</f>
        <v>October</v>
      </c>
      <c r="I156" s="3">
        <v>45536</v>
      </c>
      <c r="J156" s="3">
        <f>EDATE(Table1[[#This Row],[Application_Date]],1)</f>
        <v>45566</v>
      </c>
      <c r="K156" s="9">
        <v>2364000</v>
      </c>
      <c r="L156" s="9">
        <f>Table1[[#This Row],[Annual_Income]]/12</f>
        <v>197000</v>
      </c>
      <c r="M156" s="9">
        <v>2564000</v>
      </c>
      <c r="N156" s="5">
        <f ca="1">DATEDIF(Table1[[#This Row],[EMI_payment_date]],TODAY(),"m")</f>
        <v>21</v>
      </c>
      <c r="O156" s="9">
        <f ca="1">Table1[[#This Row],[month_paid]]*Table1[[#This Row],[monthly_EMI]]</f>
        <v>1241100</v>
      </c>
      <c r="P156" s="1">
        <v>8.7899999999999991</v>
      </c>
      <c r="Q156" s="9">
        <f>Table1[[#This Row],[monthly_income]]*30%</f>
        <v>59100</v>
      </c>
      <c r="R156" s="1">
        <f>ROUNDUP(NPER(P156/100/12,-Q156,Table1[[#This Row],[Loan_Amount]]),0)</f>
        <v>53</v>
      </c>
      <c r="S156" s="1">
        <v>770</v>
      </c>
      <c r="T156" s="1" t="s">
        <v>20</v>
      </c>
      <c r="U156" s="1" t="str">
        <f>IF(Table1[[#This Row],[Repayment_Status]]="late","bad loan","good loan")</f>
        <v>good loan</v>
      </c>
      <c r="V156" s="1" t="str">
        <f>IF(Table1[[#This Row],[Repayment_Status]]="late","high","low")</f>
        <v>low</v>
      </c>
      <c r="W156" s="1">
        <f>(Table1[[#This Row],[monthly_EMI]]/Table1[[#This Row],[monthly_income]])*100</f>
        <v>30</v>
      </c>
      <c r="X156" s="7">
        <v>28727.51</v>
      </c>
    </row>
    <row r="157" spans="1:24" x14ac:dyDescent="0.25">
      <c r="A157" s="1" t="s">
        <v>41</v>
      </c>
      <c r="B157" s="2" t="s">
        <v>742</v>
      </c>
      <c r="C157" s="5">
        <v>41</v>
      </c>
      <c r="D157" s="1" t="s">
        <v>26</v>
      </c>
      <c r="E157" s="1" t="s">
        <v>36</v>
      </c>
      <c r="F157" s="1" t="s">
        <v>22</v>
      </c>
      <c r="G157" s="1">
        <f>YEAR(Table1[[#This Row],[Application_Date]])</f>
        <v>2024</v>
      </c>
      <c r="H157" s="1" t="str">
        <f>TEXT(Table1[[#This Row],[EMI_payment_date]],"mmmm")</f>
        <v>October</v>
      </c>
      <c r="I157" s="3">
        <v>45537</v>
      </c>
      <c r="J157" s="3">
        <f>EDATE(Table1[[#This Row],[Application_Date]],1)</f>
        <v>45567</v>
      </c>
      <c r="K157" s="9">
        <v>756000</v>
      </c>
      <c r="L157" s="9">
        <f>Table1[[#This Row],[Annual_Income]]/12</f>
        <v>63000</v>
      </c>
      <c r="M157" s="9">
        <v>956000</v>
      </c>
      <c r="N157" s="5">
        <f ca="1">DATEDIF(Table1[[#This Row],[EMI_payment_date]],TODAY(),"m")</f>
        <v>21</v>
      </c>
      <c r="O157" s="9">
        <f ca="1">Table1[[#This Row],[month_paid]]*Table1[[#This Row],[monthly_EMI]]</f>
        <v>396900</v>
      </c>
      <c r="P157" s="1">
        <v>7.38</v>
      </c>
      <c r="Q157" s="9">
        <f>Table1[[#This Row],[monthly_income]]*30%</f>
        <v>18900</v>
      </c>
      <c r="R157" s="1">
        <f>ROUNDUP(NPER(P157/100/12,-Q157,Table1[[#This Row],[Loan_Amount]]),0)</f>
        <v>61</v>
      </c>
      <c r="S157" s="1">
        <v>603</v>
      </c>
      <c r="T157" s="1" t="s">
        <v>20</v>
      </c>
      <c r="U157" s="1" t="str">
        <f>IF(Table1[[#This Row],[Repayment_Status]]="late","bad loan","good loan")</f>
        <v>good loan</v>
      </c>
      <c r="V157" s="1" t="str">
        <f>IF(Table1[[#This Row],[Repayment_Status]]="late","high","low")</f>
        <v>low</v>
      </c>
      <c r="W157" s="1">
        <f>(Table1[[#This Row],[monthly_EMI]]/Table1[[#This Row],[monthly_income]])*100</f>
        <v>30</v>
      </c>
      <c r="X157" s="7">
        <v>16703.89</v>
      </c>
    </row>
    <row r="158" spans="1:24" x14ac:dyDescent="0.25">
      <c r="A158" s="1" t="s">
        <v>128</v>
      </c>
      <c r="B158" s="2" t="s">
        <v>808</v>
      </c>
      <c r="C158" s="5">
        <v>30</v>
      </c>
      <c r="D158" s="1" t="s">
        <v>15</v>
      </c>
      <c r="E158" s="1" t="s">
        <v>27</v>
      </c>
      <c r="F158" s="1" t="s">
        <v>31</v>
      </c>
      <c r="G158" s="1">
        <f>YEAR(Table1[[#This Row],[Application_Date]])</f>
        <v>2024</v>
      </c>
      <c r="H158" s="1" t="str">
        <f>TEXT(Table1[[#This Row],[EMI_payment_date]],"mmmm")</f>
        <v>October</v>
      </c>
      <c r="I158" s="3">
        <v>45538</v>
      </c>
      <c r="J158" s="3">
        <f>EDATE(Table1[[#This Row],[Application_Date]],1)</f>
        <v>45568</v>
      </c>
      <c r="K158" s="9">
        <v>1800000</v>
      </c>
      <c r="L158" s="9">
        <f>Table1[[#This Row],[Annual_Income]]/12</f>
        <v>150000</v>
      </c>
      <c r="M158" s="9">
        <v>2000000</v>
      </c>
      <c r="N158" s="5">
        <f ca="1">DATEDIF(Table1[[#This Row],[EMI_payment_date]],TODAY(),"m")</f>
        <v>21</v>
      </c>
      <c r="O158" s="9">
        <f ca="1">Table1[[#This Row],[month_paid]]*Table1[[#This Row],[monthly_EMI]]</f>
        <v>945000</v>
      </c>
      <c r="P158" s="1">
        <v>8.73</v>
      </c>
      <c r="Q158" s="9">
        <f>Table1[[#This Row],[monthly_income]]*30%</f>
        <v>45000</v>
      </c>
      <c r="R158" s="1">
        <f>ROUNDUP(NPER(P158/100/12,-Q158,Table1[[#This Row],[Loan_Amount]]),0)</f>
        <v>54</v>
      </c>
      <c r="S158" s="1">
        <v>632</v>
      </c>
      <c r="T158" s="1" t="s">
        <v>20</v>
      </c>
      <c r="U158" s="1" t="str">
        <f>IF(Table1[[#This Row],[Repayment_Status]]="late","bad loan","good loan")</f>
        <v>good loan</v>
      </c>
      <c r="V158" s="1" t="str">
        <f>IF(Table1[[#This Row],[Repayment_Status]]="late","high","low")</f>
        <v>low</v>
      </c>
      <c r="W158" s="1">
        <f>(Table1[[#This Row],[monthly_EMI]]/Table1[[#This Row],[monthly_income]])*100</f>
        <v>30</v>
      </c>
      <c r="X158" s="7">
        <v>23552.61</v>
      </c>
    </row>
    <row r="159" spans="1:24" x14ac:dyDescent="0.25">
      <c r="A159" s="1" t="s">
        <v>414</v>
      </c>
      <c r="B159" s="2" t="s">
        <v>810</v>
      </c>
      <c r="C159" s="5">
        <v>37</v>
      </c>
      <c r="D159" s="1" t="s">
        <v>26</v>
      </c>
      <c r="E159" s="1" t="s">
        <v>36</v>
      </c>
      <c r="F159" s="1" t="s">
        <v>51</v>
      </c>
      <c r="G159" s="1">
        <f>YEAR(Table1[[#This Row],[Application_Date]])</f>
        <v>2024</v>
      </c>
      <c r="H159" s="1" t="str">
        <f>TEXT(Table1[[#This Row],[EMI_payment_date]],"mmmm")</f>
        <v>October</v>
      </c>
      <c r="I159" s="3">
        <v>45539</v>
      </c>
      <c r="J159" s="3">
        <f>EDATE(Table1[[#This Row],[Application_Date]],1)</f>
        <v>45569</v>
      </c>
      <c r="K159" s="9">
        <v>5232000</v>
      </c>
      <c r="L159" s="9">
        <f>Table1[[#This Row],[Annual_Income]]/12</f>
        <v>436000</v>
      </c>
      <c r="M159" s="9">
        <v>5432000</v>
      </c>
      <c r="N159" s="5">
        <f ca="1">DATEDIF(Table1[[#This Row],[EMI_payment_date]],TODAY(),"m")</f>
        <v>21</v>
      </c>
      <c r="O159" s="9">
        <f ca="1">Table1[[#This Row],[month_paid]]*Table1[[#This Row],[monthly_EMI]]</f>
        <v>2746800</v>
      </c>
      <c r="P159" s="1">
        <v>5.0599999999999996</v>
      </c>
      <c r="Q159" s="9">
        <f>Table1[[#This Row],[monthly_income]]*30%</f>
        <v>130800</v>
      </c>
      <c r="R159" s="1">
        <f>ROUNDUP(NPER(P159/100/12,-Q159,Table1[[#This Row],[Loan_Amount]]),0)</f>
        <v>46</v>
      </c>
      <c r="S159" s="1">
        <v>748</v>
      </c>
      <c r="T159" s="1" t="s">
        <v>37</v>
      </c>
      <c r="U159" s="1" t="str">
        <f>IF(Table1[[#This Row],[Repayment_Status]]="late","bad loan","good loan")</f>
        <v>bad loan</v>
      </c>
      <c r="V159" s="1" t="str">
        <f>IF(Table1[[#This Row],[Repayment_Status]]="late","high","low")</f>
        <v>high</v>
      </c>
      <c r="W159" s="1">
        <f>(Table1[[#This Row],[monthly_EMI]]/Table1[[#This Row],[monthly_income]])*100</f>
        <v>30</v>
      </c>
      <c r="X159" s="7">
        <v>13598.6</v>
      </c>
    </row>
    <row r="160" spans="1:24" x14ac:dyDescent="0.25">
      <c r="A160" s="1" t="s">
        <v>331</v>
      </c>
      <c r="B160" s="2" t="s">
        <v>834</v>
      </c>
      <c r="C160" s="5">
        <v>53</v>
      </c>
      <c r="D160" s="1" t="s">
        <v>26</v>
      </c>
      <c r="E160" s="1" t="s">
        <v>36</v>
      </c>
      <c r="F160" s="1" t="s">
        <v>22</v>
      </c>
      <c r="G160" s="1">
        <f>YEAR(Table1[[#This Row],[Application_Date]])</f>
        <v>2024</v>
      </c>
      <c r="H160" s="1" t="str">
        <f>TEXT(Table1[[#This Row],[EMI_payment_date]],"mmmm")</f>
        <v>October</v>
      </c>
      <c r="I160" s="3">
        <v>45540</v>
      </c>
      <c r="J160" s="3">
        <f>EDATE(Table1[[#This Row],[Application_Date]],1)</f>
        <v>45570</v>
      </c>
      <c r="K160" s="9">
        <v>4236000</v>
      </c>
      <c r="L160" s="9">
        <f>Table1[[#This Row],[Annual_Income]]/12</f>
        <v>353000</v>
      </c>
      <c r="M160" s="9">
        <v>4436000</v>
      </c>
      <c r="N160" s="5">
        <f ca="1">DATEDIF(Table1[[#This Row],[EMI_payment_date]],TODAY(),"m")</f>
        <v>21</v>
      </c>
      <c r="O160" s="9">
        <f ca="1">Table1[[#This Row],[month_paid]]*Table1[[#This Row],[monthly_EMI]]</f>
        <v>2223900</v>
      </c>
      <c r="P160" s="1">
        <v>6.87</v>
      </c>
      <c r="Q160" s="9">
        <f>Table1[[#This Row],[monthly_income]]*30%</f>
        <v>105900</v>
      </c>
      <c r="R160" s="1">
        <f>ROUNDUP(NPER(P160/100/12,-Q160,Table1[[#This Row],[Loan_Amount]]),0)</f>
        <v>49</v>
      </c>
      <c r="S160" s="1">
        <v>741</v>
      </c>
      <c r="T160" s="1" t="s">
        <v>20</v>
      </c>
      <c r="U160" s="1" t="str">
        <f>IF(Table1[[#This Row],[Repayment_Status]]="late","bad loan","good loan")</f>
        <v>good loan</v>
      </c>
      <c r="V160" s="1" t="str">
        <f>IF(Table1[[#This Row],[Repayment_Status]]="late","high","low")</f>
        <v>low</v>
      </c>
      <c r="W160" s="1">
        <f>(Table1[[#This Row],[monthly_EMI]]/Table1[[#This Row],[monthly_income]])*100</f>
        <v>30</v>
      </c>
      <c r="X160" s="7">
        <v>13705.86</v>
      </c>
    </row>
    <row r="161" spans="1:24" x14ac:dyDescent="0.25">
      <c r="A161" s="1" t="s">
        <v>142</v>
      </c>
      <c r="B161" s="2" t="s">
        <v>796</v>
      </c>
      <c r="C161" s="5">
        <v>47</v>
      </c>
      <c r="D161" s="1" t="s">
        <v>26</v>
      </c>
      <c r="E161" s="1" t="s">
        <v>33</v>
      </c>
      <c r="F161" s="1" t="s">
        <v>22</v>
      </c>
      <c r="G161" s="1">
        <f>YEAR(Table1[[#This Row],[Application_Date]])</f>
        <v>2024</v>
      </c>
      <c r="H161" s="1" t="str">
        <f>TEXT(Table1[[#This Row],[EMI_payment_date]],"mmmm")</f>
        <v>October</v>
      </c>
      <c r="I161" s="3">
        <v>45541</v>
      </c>
      <c r="J161" s="3">
        <f>EDATE(Table1[[#This Row],[Application_Date]],1)</f>
        <v>45571</v>
      </c>
      <c r="K161" s="9">
        <v>1968000</v>
      </c>
      <c r="L161" s="9">
        <f>Table1[[#This Row],[Annual_Income]]/12</f>
        <v>164000</v>
      </c>
      <c r="M161" s="9">
        <v>2168000</v>
      </c>
      <c r="N161" s="5">
        <f ca="1">DATEDIF(Table1[[#This Row],[EMI_payment_date]],TODAY(),"m")</f>
        <v>21</v>
      </c>
      <c r="O161" s="9">
        <f ca="1">Table1[[#This Row],[month_paid]]*Table1[[#This Row],[monthly_EMI]]</f>
        <v>1033200</v>
      </c>
      <c r="P161" s="1">
        <v>6.82</v>
      </c>
      <c r="Q161" s="9">
        <f>Table1[[#This Row],[monthly_income]]*30%</f>
        <v>49200</v>
      </c>
      <c r="R161" s="1">
        <f>ROUNDUP(NPER(P161/100/12,-Q161,Table1[[#This Row],[Loan_Amount]]),0)</f>
        <v>51</v>
      </c>
      <c r="S161" s="1">
        <v>836</v>
      </c>
      <c r="T161" s="1" t="s">
        <v>37</v>
      </c>
      <c r="U161" s="1" t="str">
        <f>IF(Table1[[#This Row],[Repayment_Status]]="late","bad loan","good loan")</f>
        <v>bad loan</v>
      </c>
      <c r="V161" s="1" t="str">
        <f>IF(Table1[[#This Row],[Repayment_Status]]="late","high","low")</f>
        <v>high</v>
      </c>
      <c r="W161" s="1">
        <f>(Table1[[#This Row],[monthly_EMI]]/Table1[[#This Row],[monthly_income]])*100</f>
        <v>30</v>
      </c>
      <c r="X161" s="7">
        <v>17787.04</v>
      </c>
    </row>
    <row r="162" spans="1:24" x14ac:dyDescent="0.25">
      <c r="A162" s="1" t="s">
        <v>422</v>
      </c>
      <c r="B162" s="2" t="s">
        <v>901</v>
      </c>
      <c r="C162" s="5">
        <v>40</v>
      </c>
      <c r="D162" s="1" t="s">
        <v>15</v>
      </c>
      <c r="E162" s="1" t="s">
        <v>33</v>
      </c>
      <c r="F162" s="1" t="s">
        <v>17</v>
      </c>
      <c r="G162" s="1">
        <f>YEAR(Table1[[#This Row],[Application_Date]])</f>
        <v>2024</v>
      </c>
      <c r="H162" s="1" t="str">
        <f>TEXT(Table1[[#This Row],[EMI_payment_date]],"mmmm")</f>
        <v>October</v>
      </c>
      <c r="I162" s="3">
        <v>45542</v>
      </c>
      <c r="J162" s="3">
        <f>EDATE(Table1[[#This Row],[Application_Date]],1)</f>
        <v>45572</v>
      </c>
      <c r="K162" s="9">
        <v>5328000</v>
      </c>
      <c r="L162" s="9">
        <f>Table1[[#This Row],[Annual_Income]]/12</f>
        <v>444000</v>
      </c>
      <c r="M162" s="9">
        <v>5528000</v>
      </c>
      <c r="N162" s="5">
        <f ca="1">DATEDIF(Table1[[#This Row],[EMI_payment_date]],TODAY(),"m")</f>
        <v>21</v>
      </c>
      <c r="O162" s="9">
        <f ca="1">Table1[[#This Row],[month_paid]]*Table1[[#This Row],[monthly_EMI]]</f>
        <v>2797200</v>
      </c>
      <c r="P162" s="1">
        <v>6.55</v>
      </c>
      <c r="Q162" s="9">
        <f>Table1[[#This Row],[monthly_income]]*30%</f>
        <v>133200</v>
      </c>
      <c r="R162" s="1">
        <f>ROUNDUP(NPER(P162/100/12,-Q162,Table1[[#This Row],[Loan_Amount]]),0)</f>
        <v>48</v>
      </c>
      <c r="S162" s="1">
        <v>644</v>
      </c>
      <c r="T162" s="1" t="s">
        <v>20</v>
      </c>
      <c r="U162" s="1" t="str">
        <f>IF(Table1[[#This Row],[Repayment_Status]]="late","bad loan","good loan")</f>
        <v>good loan</v>
      </c>
      <c r="V162" s="1" t="str">
        <f>IF(Table1[[#This Row],[Repayment_Status]]="late","high","low")</f>
        <v>low</v>
      </c>
      <c r="W162" s="1">
        <f>(Table1[[#This Row],[monthly_EMI]]/Table1[[#This Row],[monthly_income]])*100</f>
        <v>30</v>
      </c>
      <c r="X162" s="7">
        <v>24037.78</v>
      </c>
    </row>
    <row r="163" spans="1:24" x14ac:dyDescent="0.25">
      <c r="A163" s="1" t="s">
        <v>666</v>
      </c>
      <c r="B163" s="2" t="s">
        <v>859</v>
      </c>
      <c r="C163" s="5">
        <v>28</v>
      </c>
      <c r="D163" s="1" t="s">
        <v>26</v>
      </c>
      <c r="E163" s="1" t="s">
        <v>16</v>
      </c>
      <c r="F163" s="1" t="s">
        <v>31</v>
      </c>
      <c r="G163" s="1">
        <f>YEAR(Table1[[#This Row],[Application_Date]])</f>
        <v>2024</v>
      </c>
      <c r="H163" s="1" t="str">
        <f>TEXT(Table1[[#This Row],[EMI_payment_date]],"mmmm")</f>
        <v>October</v>
      </c>
      <c r="I163" s="3">
        <v>45543</v>
      </c>
      <c r="J163" s="3">
        <f>EDATE(Table1[[#This Row],[Application_Date]],1)</f>
        <v>45573</v>
      </c>
      <c r="K163" s="9">
        <v>8256000</v>
      </c>
      <c r="L163" s="9">
        <f>Table1[[#This Row],[Annual_Income]]/12</f>
        <v>688000</v>
      </c>
      <c r="M163" s="9">
        <v>8456000</v>
      </c>
      <c r="N163" s="5">
        <f ca="1">DATEDIF(Table1[[#This Row],[EMI_payment_date]],TODAY(),"m")</f>
        <v>21</v>
      </c>
      <c r="O163" s="9">
        <f ca="1">Table1[[#This Row],[month_paid]]*Table1[[#This Row],[monthly_EMI]]</f>
        <v>4334400</v>
      </c>
      <c r="P163" s="1">
        <v>8.85</v>
      </c>
      <c r="Q163" s="9">
        <f>Table1[[#This Row],[monthly_income]]*30%</f>
        <v>206400</v>
      </c>
      <c r="R163" s="1">
        <f>ROUNDUP(NPER(P163/100/12,-Q163,Table1[[#This Row],[Loan_Amount]]),0)</f>
        <v>49</v>
      </c>
      <c r="S163" s="1">
        <v>846</v>
      </c>
      <c r="T163" s="1" t="s">
        <v>37</v>
      </c>
      <c r="U163" s="1" t="str">
        <f>IF(Table1[[#This Row],[Repayment_Status]]="late","bad loan","good loan")</f>
        <v>bad loan</v>
      </c>
      <c r="V163" s="1" t="str">
        <f>IF(Table1[[#This Row],[Repayment_Status]]="late","high","low")</f>
        <v>high</v>
      </c>
      <c r="W163" s="1">
        <f>(Table1[[#This Row],[monthly_EMI]]/Table1[[#This Row],[monthly_income]])*100</f>
        <v>30</v>
      </c>
      <c r="X163" s="7">
        <v>20295.32</v>
      </c>
    </row>
    <row r="164" spans="1:24" x14ac:dyDescent="0.25">
      <c r="A164" s="1" t="s">
        <v>386</v>
      </c>
      <c r="B164" s="2" t="s">
        <v>822</v>
      </c>
      <c r="C164" s="5">
        <v>36</v>
      </c>
      <c r="D164" s="1" t="s">
        <v>15</v>
      </c>
      <c r="E164" s="1" t="s">
        <v>33</v>
      </c>
      <c r="F164" s="1" t="s">
        <v>51</v>
      </c>
      <c r="G164" s="1">
        <f>YEAR(Table1[[#This Row],[Application_Date]])</f>
        <v>2024</v>
      </c>
      <c r="H164" s="1" t="str">
        <f>TEXT(Table1[[#This Row],[EMI_payment_date]],"mmmm")</f>
        <v>October</v>
      </c>
      <c r="I164" s="3">
        <v>45544</v>
      </c>
      <c r="J164" s="3">
        <f>EDATE(Table1[[#This Row],[Application_Date]],1)</f>
        <v>45574</v>
      </c>
      <c r="K164" s="9">
        <v>4896000</v>
      </c>
      <c r="L164" s="9">
        <f>Table1[[#This Row],[Annual_Income]]/12</f>
        <v>408000</v>
      </c>
      <c r="M164" s="9">
        <v>5096000</v>
      </c>
      <c r="N164" s="5">
        <f ca="1">DATEDIF(Table1[[#This Row],[EMI_payment_date]],TODAY(),"m")</f>
        <v>21</v>
      </c>
      <c r="O164" s="9">
        <f ca="1">Table1[[#This Row],[month_paid]]*Table1[[#This Row],[monthly_EMI]]</f>
        <v>2570400</v>
      </c>
      <c r="P164" s="1">
        <v>8.68</v>
      </c>
      <c r="Q164" s="9">
        <f>Table1[[#This Row],[monthly_income]]*30%</f>
        <v>122400</v>
      </c>
      <c r="R164" s="1">
        <f>ROUNDUP(NPER(P164/100/12,-Q164,Table1[[#This Row],[Loan_Amount]]),0)</f>
        <v>50</v>
      </c>
      <c r="S164" s="1">
        <v>609</v>
      </c>
      <c r="T164" s="1" t="s">
        <v>20</v>
      </c>
      <c r="U164" s="1" t="str">
        <f>IF(Table1[[#This Row],[Repayment_Status]]="late","bad loan","good loan")</f>
        <v>good loan</v>
      </c>
      <c r="V164" s="1" t="str">
        <f>IF(Table1[[#This Row],[Repayment_Status]]="late","high","low")</f>
        <v>low</v>
      </c>
      <c r="W164" s="1">
        <f>(Table1[[#This Row],[monthly_EMI]]/Table1[[#This Row],[monthly_income]])*100</f>
        <v>30</v>
      </c>
      <c r="X164" s="7">
        <v>35422.839999999997</v>
      </c>
    </row>
    <row r="165" spans="1:24" x14ac:dyDescent="0.25">
      <c r="A165" s="1" t="s">
        <v>94</v>
      </c>
      <c r="B165" s="2" t="s">
        <v>786</v>
      </c>
      <c r="C165" s="5">
        <v>42</v>
      </c>
      <c r="D165" s="1" t="s">
        <v>15</v>
      </c>
      <c r="E165" s="1" t="s">
        <v>29</v>
      </c>
      <c r="F165" s="1" t="s">
        <v>17</v>
      </c>
      <c r="G165" s="1">
        <f>YEAR(Table1[[#This Row],[Application_Date]])</f>
        <v>2024</v>
      </c>
      <c r="H165" s="1" t="str">
        <f>TEXT(Table1[[#This Row],[EMI_payment_date]],"mmmm")</f>
        <v>October</v>
      </c>
      <c r="I165" s="3">
        <v>45545</v>
      </c>
      <c r="J165" s="3">
        <f>EDATE(Table1[[#This Row],[Application_Date]],1)</f>
        <v>45575</v>
      </c>
      <c r="K165" s="9">
        <v>1380000</v>
      </c>
      <c r="L165" s="9">
        <f>Table1[[#This Row],[Annual_Income]]/12</f>
        <v>115000</v>
      </c>
      <c r="M165" s="9">
        <v>1580000</v>
      </c>
      <c r="N165" s="5">
        <f ca="1">DATEDIF(Table1[[#This Row],[EMI_payment_date]],TODAY(),"m")</f>
        <v>21</v>
      </c>
      <c r="O165" s="9">
        <f ca="1">Table1[[#This Row],[month_paid]]*Table1[[#This Row],[monthly_EMI]]</f>
        <v>724500</v>
      </c>
      <c r="P165" s="1">
        <v>9.1999999999999993</v>
      </c>
      <c r="Q165" s="9">
        <f>Table1[[#This Row],[monthly_income]]*30%</f>
        <v>34500</v>
      </c>
      <c r="R165" s="1">
        <f>ROUNDUP(NPER(P165/100/12,-Q165,Table1[[#This Row],[Loan_Amount]]),0)</f>
        <v>57</v>
      </c>
      <c r="S165" s="1">
        <v>785</v>
      </c>
      <c r="T165" s="1" t="s">
        <v>20</v>
      </c>
      <c r="U165" s="1" t="str">
        <f>IF(Table1[[#This Row],[Repayment_Status]]="late","bad loan","good loan")</f>
        <v>good loan</v>
      </c>
      <c r="V165" s="1" t="str">
        <f>IF(Table1[[#This Row],[Repayment_Status]]="late","high","low")</f>
        <v>low</v>
      </c>
      <c r="W165" s="1">
        <f>(Table1[[#This Row],[monthly_EMI]]/Table1[[#This Row],[monthly_income]])*100</f>
        <v>30</v>
      </c>
      <c r="X165" s="7">
        <v>19991.599999999999</v>
      </c>
    </row>
    <row r="166" spans="1:24" x14ac:dyDescent="0.25">
      <c r="A166" s="1" t="s">
        <v>221</v>
      </c>
      <c r="B166" s="2" t="s">
        <v>747</v>
      </c>
      <c r="C166" s="5">
        <v>40</v>
      </c>
      <c r="D166" s="1" t="s">
        <v>15</v>
      </c>
      <c r="E166" s="1" t="s">
        <v>36</v>
      </c>
      <c r="F166" s="1" t="s">
        <v>19</v>
      </c>
      <c r="G166" s="1">
        <f>YEAR(Table1[[#This Row],[Application_Date]])</f>
        <v>2024</v>
      </c>
      <c r="H166" s="1" t="str">
        <f>TEXT(Table1[[#This Row],[EMI_payment_date]],"mmmm")</f>
        <v>October</v>
      </c>
      <c r="I166" s="3">
        <v>45546</v>
      </c>
      <c r="J166" s="3">
        <f>EDATE(Table1[[#This Row],[Application_Date]],1)</f>
        <v>45576</v>
      </c>
      <c r="K166" s="9">
        <v>2916000</v>
      </c>
      <c r="L166" s="9">
        <f>Table1[[#This Row],[Annual_Income]]/12</f>
        <v>243000</v>
      </c>
      <c r="M166" s="9">
        <v>3116000</v>
      </c>
      <c r="N166" s="5">
        <f ca="1">DATEDIF(Table1[[#This Row],[EMI_payment_date]],TODAY(),"m")</f>
        <v>21</v>
      </c>
      <c r="O166" s="9">
        <f ca="1">Table1[[#This Row],[month_paid]]*Table1[[#This Row],[monthly_EMI]]</f>
        <v>1530900</v>
      </c>
      <c r="P166" s="1">
        <v>5.07</v>
      </c>
      <c r="Q166" s="9">
        <f>Table1[[#This Row],[monthly_income]]*30%</f>
        <v>72900</v>
      </c>
      <c r="R166" s="1">
        <f>ROUNDUP(NPER(P166/100/12,-Q166,Table1[[#This Row],[Loan_Amount]]),0)</f>
        <v>48</v>
      </c>
      <c r="S166" s="1">
        <v>651</v>
      </c>
      <c r="T166" s="1" t="s">
        <v>20</v>
      </c>
      <c r="U166" s="1" t="str">
        <f>IF(Table1[[#This Row],[Repayment_Status]]="late","bad loan","good loan")</f>
        <v>good loan</v>
      </c>
      <c r="V166" s="1" t="str">
        <f>IF(Table1[[#This Row],[Repayment_Status]]="late","high","low")</f>
        <v>low</v>
      </c>
      <c r="W166" s="1">
        <f>(Table1[[#This Row],[monthly_EMI]]/Table1[[#This Row],[monthly_income]])*100</f>
        <v>30</v>
      </c>
      <c r="X166" s="7">
        <v>11250</v>
      </c>
    </row>
    <row r="167" spans="1:24" x14ac:dyDescent="0.25">
      <c r="A167" s="1" t="s">
        <v>463</v>
      </c>
      <c r="B167" s="2" t="s">
        <v>846</v>
      </c>
      <c r="C167" s="5">
        <v>43</v>
      </c>
      <c r="D167" s="1" t="s">
        <v>15</v>
      </c>
      <c r="E167" s="1" t="s">
        <v>16</v>
      </c>
      <c r="F167" s="1" t="s">
        <v>19</v>
      </c>
      <c r="G167" s="1">
        <f>YEAR(Table1[[#This Row],[Application_Date]])</f>
        <v>2024</v>
      </c>
      <c r="H167" s="1" t="str">
        <f>TEXT(Table1[[#This Row],[EMI_payment_date]],"mmmm")</f>
        <v>October</v>
      </c>
      <c r="I167" s="3">
        <v>45547</v>
      </c>
      <c r="J167" s="3">
        <f>EDATE(Table1[[#This Row],[Application_Date]],1)</f>
        <v>45577</v>
      </c>
      <c r="K167" s="9">
        <v>5820000</v>
      </c>
      <c r="L167" s="9">
        <f>Table1[[#This Row],[Annual_Income]]/12</f>
        <v>485000</v>
      </c>
      <c r="M167" s="9">
        <v>6020000</v>
      </c>
      <c r="N167" s="5">
        <f ca="1">DATEDIF(Table1[[#This Row],[EMI_payment_date]],TODAY(),"m")</f>
        <v>21</v>
      </c>
      <c r="O167" s="9">
        <f ca="1">Table1[[#This Row],[month_paid]]*Table1[[#This Row],[monthly_EMI]]</f>
        <v>3055500</v>
      </c>
      <c r="P167" s="1">
        <v>7.22</v>
      </c>
      <c r="Q167" s="9">
        <f>Table1[[#This Row],[monthly_income]]*30%</f>
        <v>145500</v>
      </c>
      <c r="R167" s="1">
        <f>ROUNDUP(NPER(P167/100/12,-Q167,Table1[[#This Row],[Loan_Amount]]),0)</f>
        <v>48</v>
      </c>
      <c r="S167" s="1">
        <v>839</v>
      </c>
      <c r="T167" s="1" t="s">
        <v>37</v>
      </c>
      <c r="U167" s="1" t="str">
        <f>IF(Table1[[#This Row],[Repayment_Status]]="late","bad loan","good loan")</f>
        <v>bad loan</v>
      </c>
      <c r="V167" s="1" t="str">
        <f>IF(Table1[[#This Row],[Repayment_Status]]="late","high","low")</f>
        <v>high</v>
      </c>
      <c r="W167" s="1">
        <f>(Table1[[#This Row],[monthly_EMI]]/Table1[[#This Row],[monthly_income]])*100</f>
        <v>30</v>
      </c>
      <c r="X167" s="7">
        <v>29239.87</v>
      </c>
    </row>
    <row r="168" spans="1:24" x14ac:dyDescent="0.25">
      <c r="A168" s="1" t="s">
        <v>85</v>
      </c>
      <c r="B168" s="2" t="s">
        <v>780</v>
      </c>
      <c r="C168" s="5">
        <v>53</v>
      </c>
      <c r="D168" s="1" t="s">
        <v>26</v>
      </c>
      <c r="E168" s="1" t="s">
        <v>36</v>
      </c>
      <c r="F168" s="1" t="s">
        <v>22</v>
      </c>
      <c r="G168" s="1">
        <f>YEAR(Table1[[#This Row],[Application_Date]])</f>
        <v>2024</v>
      </c>
      <c r="H168" s="1" t="str">
        <f>TEXT(Table1[[#This Row],[EMI_payment_date]],"mmmm")</f>
        <v>October</v>
      </c>
      <c r="I168" s="3">
        <v>45548</v>
      </c>
      <c r="J168" s="3">
        <f>EDATE(Table1[[#This Row],[Application_Date]],1)</f>
        <v>45578</v>
      </c>
      <c r="K168" s="9">
        <v>1272000</v>
      </c>
      <c r="L168" s="9">
        <f>Table1[[#This Row],[Annual_Income]]/12</f>
        <v>106000</v>
      </c>
      <c r="M168" s="9">
        <v>1472000</v>
      </c>
      <c r="N168" s="5">
        <f ca="1">DATEDIF(Table1[[#This Row],[EMI_payment_date]],TODAY(),"m")</f>
        <v>21</v>
      </c>
      <c r="O168" s="9">
        <f ca="1">Table1[[#This Row],[month_paid]]*Table1[[#This Row],[monthly_EMI]]</f>
        <v>667800</v>
      </c>
      <c r="P168" s="1">
        <v>9.8699999999999992</v>
      </c>
      <c r="Q168" s="9">
        <f>Table1[[#This Row],[monthly_income]]*30%</f>
        <v>31800</v>
      </c>
      <c r="R168" s="1">
        <f>ROUNDUP(NPER(P168/100/12,-Q168,Table1[[#This Row],[Loan_Amount]]),0)</f>
        <v>59</v>
      </c>
      <c r="S168" s="1">
        <v>739</v>
      </c>
      <c r="T168" s="1" t="s">
        <v>20</v>
      </c>
      <c r="U168" s="1" t="str">
        <f>IF(Table1[[#This Row],[Repayment_Status]]="late","bad loan","good loan")</f>
        <v>good loan</v>
      </c>
      <c r="V168" s="1" t="str">
        <f>IF(Table1[[#This Row],[Repayment_Status]]="late","high","low")</f>
        <v>low</v>
      </c>
      <c r="W168" s="1">
        <f>(Table1[[#This Row],[monthly_EMI]]/Table1[[#This Row],[monthly_income]])*100</f>
        <v>30</v>
      </c>
      <c r="X168" s="7">
        <v>37970.17</v>
      </c>
    </row>
    <row r="169" spans="1:24" x14ac:dyDescent="0.25">
      <c r="A169" s="1" t="s">
        <v>118</v>
      </c>
      <c r="B169" s="2" t="s">
        <v>744</v>
      </c>
      <c r="C169" s="5">
        <v>38</v>
      </c>
      <c r="D169" s="1" t="s">
        <v>26</v>
      </c>
      <c r="E169" s="1" t="s">
        <v>33</v>
      </c>
      <c r="F169" s="1" t="s">
        <v>22</v>
      </c>
      <c r="G169" s="1">
        <f>YEAR(Table1[[#This Row],[Application_Date]])</f>
        <v>2024</v>
      </c>
      <c r="H169" s="1" t="str">
        <f>TEXT(Table1[[#This Row],[EMI_payment_date]],"mmmm")</f>
        <v>October</v>
      </c>
      <c r="I169" s="3">
        <v>45549</v>
      </c>
      <c r="J169" s="3">
        <f>EDATE(Table1[[#This Row],[Application_Date]],1)</f>
        <v>45579</v>
      </c>
      <c r="K169" s="9">
        <v>1680000</v>
      </c>
      <c r="L169" s="9">
        <f>Table1[[#This Row],[Annual_Income]]/12</f>
        <v>140000</v>
      </c>
      <c r="M169" s="9">
        <v>1880000</v>
      </c>
      <c r="N169" s="5">
        <f ca="1">DATEDIF(Table1[[#This Row],[EMI_payment_date]],TODAY(),"m")</f>
        <v>21</v>
      </c>
      <c r="O169" s="9">
        <f ca="1">Table1[[#This Row],[month_paid]]*Table1[[#This Row],[monthly_EMI]]</f>
        <v>882000</v>
      </c>
      <c r="P169" s="1">
        <v>7.59</v>
      </c>
      <c r="Q169" s="9">
        <f>Table1[[#This Row],[monthly_income]]*30%</f>
        <v>42000</v>
      </c>
      <c r="R169" s="1">
        <f>ROUNDUP(NPER(P169/100/12,-Q169,Table1[[#This Row],[Loan_Amount]]),0)</f>
        <v>53</v>
      </c>
      <c r="S169" s="1">
        <v>702</v>
      </c>
      <c r="T169" s="1" t="s">
        <v>37</v>
      </c>
      <c r="U169" s="1" t="str">
        <f>IF(Table1[[#This Row],[Repayment_Status]]="late","bad loan","good loan")</f>
        <v>bad loan</v>
      </c>
      <c r="V169" s="1" t="str">
        <f>IF(Table1[[#This Row],[Repayment_Status]]="late","high","low")</f>
        <v>high</v>
      </c>
      <c r="W169" s="1">
        <f>(Table1[[#This Row],[monthly_EMI]]/Table1[[#This Row],[monthly_income]])*100</f>
        <v>30</v>
      </c>
      <c r="X169" s="7">
        <v>28168.34</v>
      </c>
    </row>
    <row r="170" spans="1:24" x14ac:dyDescent="0.25">
      <c r="A170" s="1" t="s">
        <v>676</v>
      </c>
      <c r="B170" s="2" t="s">
        <v>735</v>
      </c>
      <c r="C170" s="5">
        <v>30</v>
      </c>
      <c r="D170" s="1" t="s">
        <v>15</v>
      </c>
      <c r="E170" s="1" t="s">
        <v>27</v>
      </c>
      <c r="F170" s="1" t="s">
        <v>31</v>
      </c>
      <c r="G170" s="1">
        <f>YEAR(Table1[[#This Row],[Application_Date]])</f>
        <v>2024</v>
      </c>
      <c r="H170" s="1" t="str">
        <f>TEXT(Table1[[#This Row],[EMI_payment_date]],"mmmm")</f>
        <v>October</v>
      </c>
      <c r="I170" s="3">
        <v>45550</v>
      </c>
      <c r="J170" s="3">
        <f>EDATE(Table1[[#This Row],[Application_Date]],1)</f>
        <v>45580</v>
      </c>
      <c r="K170" s="9">
        <v>8376000</v>
      </c>
      <c r="L170" s="9">
        <f>Table1[[#This Row],[Annual_Income]]/12</f>
        <v>698000</v>
      </c>
      <c r="M170" s="9">
        <v>8576000</v>
      </c>
      <c r="N170" s="5">
        <f ca="1">DATEDIF(Table1[[#This Row],[EMI_payment_date]],TODAY(),"m")</f>
        <v>21</v>
      </c>
      <c r="O170" s="9">
        <f ca="1">Table1[[#This Row],[month_paid]]*Table1[[#This Row],[monthly_EMI]]</f>
        <v>4397400</v>
      </c>
      <c r="P170" s="1">
        <v>5.14</v>
      </c>
      <c r="Q170" s="9">
        <f>Table1[[#This Row],[monthly_income]]*30%</f>
        <v>209400</v>
      </c>
      <c r="R170" s="1">
        <f>ROUNDUP(NPER(P170/100/12,-Q170,Table1[[#This Row],[Loan_Amount]]),0)</f>
        <v>46</v>
      </c>
      <c r="S170" s="1">
        <v>748</v>
      </c>
      <c r="T170" s="1" t="s">
        <v>37</v>
      </c>
      <c r="U170" s="1" t="str">
        <f>IF(Table1[[#This Row],[Repayment_Status]]="late","bad loan","good loan")</f>
        <v>bad loan</v>
      </c>
      <c r="V170" s="1" t="str">
        <f>IF(Table1[[#This Row],[Repayment_Status]]="late","high","low")</f>
        <v>high</v>
      </c>
      <c r="W170" s="1">
        <f>(Table1[[#This Row],[monthly_EMI]]/Table1[[#This Row],[monthly_income]])*100</f>
        <v>30</v>
      </c>
      <c r="X170" s="7">
        <v>10368.07</v>
      </c>
    </row>
    <row r="171" spans="1:24" x14ac:dyDescent="0.25">
      <c r="A171" s="1" t="s">
        <v>179</v>
      </c>
      <c r="B171" s="2" t="s">
        <v>834</v>
      </c>
      <c r="C171" s="5">
        <v>33</v>
      </c>
      <c r="D171" s="1" t="s">
        <v>15</v>
      </c>
      <c r="E171" s="1" t="s">
        <v>29</v>
      </c>
      <c r="F171" s="1" t="s">
        <v>51</v>
      </c>
      <c r="G171" s="1">
        <f>YEAR(Table1[[#This Row],[Application_Date]])</f>
        <v>2024</v>
      </c>
      <c r="H171" s="1" t="str">
        <f>TEXT(Table1[[#This Row],[EMI_payment_date]],"mmmm")</f>
        <v>October</v>
      </c>
      <c r="I171" s="3">
        <v>45551</v>
      </c>
      <c r="J171" s="3">
        <f>EDATE(Table1[[#This Row],[Application_Date]],1)</f>
        <v>45581</v>
      </c>
      <c r="K171" s="9">
        <v>2412000</v>
      </c>
      <c r="L171" s="9">
        <f>Table1[[#This Row],[Annual_Income]]/12</f>
        <v>201000</v>
      </c>
      <c r="M171" s="9">
        <v>2612000</v>
      </c>
      <c r="N171" s="5">
        <f ca="1">DATEDIF(Table1[[#This Row],[EMI_payment_date]],TODAY(),"m")</f>
        <v>21</v>
      </c>
      <c r="O171" s="9">
        <f ca="1">Table1[[#This Row],[month_paid]]*Table1[[#This Row],[monthly_EMI]]</f>
        <v>1266300</v>
      </c>
      <c r="P171" s="1">
        <v>9.99</v>
      </c>
      <c r="Q171" s="9">
        <f>Table1[[#This Row],[monthly_income]]*30%</f>
        <v>60300</v>
      </c>
      <c r="R171" s="1">
        <f>ROUNDUP(NPER(P171/100/12,-Q171,Table1[[#This Row],[Loan_Amount]]),0)</f>
        <v>54</v>
      </c>
      <c r="S171" s="1">
        <v>736</v>
      </c>
      <c r="T171" s="1" t="s">
        <v>37</v>
      </c>
      <c r="U171" s="1" t="str">
        <f>IF(Table1[[#This Row],[Repayment_Status]]="late","bad loan","good loan")</f>
        <v>bad loan</v>
      </c>
      <c r="V171" s="1" t="str">
        <f>IF(Table1[[#This Row],[Repayment_Status]]="late","high","low")</f>
        <v>high</v>
      </c>
      <c r="W171" s="1">
        <f>(Table1[[#This Row],[monthly_EMI]]/Table1[[#This Row],[monthly_income]])*100</f>
        <v>30</v>
      </c>
      <c r="X171" s="7">
        <v>18860.72</v>
      </c>
    </row>
    <row r="172" spans="1:24" x14ac:dyDescent="0.25">
      <c r="A172" s="1" t="s">
        <v>201</v>
      </c>
      <c r="B172" s="2" t="s">
        <v>791</v>
      </c>
      <c r="C172" s="5">
        <v>49</v>
      </c>
      <c r="D172" s="1" t="s">
        <v>15</v>
      </c>
      <c r="E172" s="1" t="s">
        <v>36</v>
      </c>
      <c r="F172" s="1" t="s">
        <v>17</v>
      </c>
      <c r="G172" s="1">
        <f>YEAR(Table1[[#This Row],[Application_Date]])</f>
        <v>2024</v>
      </c>
      <c r="H172" s="1" t="str">
        <f>TEXT(Table1[[#This Row],[EMI_payment_date]],"mmmm")</f>
        <v>October</v>
      </c>
      <c r="I172" s="3">
        <v>45552</v>
      </c>
      <c r="J172" s="3">
        <f>EDATE(Table1[[#This Row],[Application_Date]],1)</f>
        <v>45582</v>
      </c>
      <c r="K172" s="9">
        <v>2676000</v>
      </c>
      <c r="L172" s="9">
        <f>Table1[[#This Row],[Annual_Income]]/12</f>
        <v>223000</v>
      </c>
      <c r="M172" s="9">
        <v>2876000</v>
      </c>
      <c r="N172" s="5">
        <f ca="1">DATEDIF(Table1[[#This Row],[EMI_payment_date]],TODAY(),"m")</f>
        <v>21</v>
      </c>
      <c r="O172" s="9">
        <f ca="1">Table1[[#This Row],[month_paid]]*Table1[[#This Row],[monthly_EMI]]</f>
        <v>1404900</v>
      </c>
      <c r="P172" s="1">
        <v>7.98</v>
      </c>
      <c r="Q172" s="9">
        <f>Table1[[#This Row],[monthly_income]]*30%</f>
        <v>66900</v>
      </c>
      <c r="R172" s="1">
        <f>ROUNDUP(NPER(P172/100/12,-Q172,Table1[[#This Row],[Loan_Amount]]),0)</f>
        <v>51</v>
      </c>
      <c r="S172" s="1">
        <v>628</v>
      </c>
      <c r="T172" s="1" t="s">
        <v>37</v>
      </c>
      <c r="U172" s="1" t="str">
        <f>IF(Table1[[#This Row],[Repayment_Status]]="late","bad loan","good loan")</f>
        <v>bad loan</v>
      </c>
      <c r="V172" s="1" t="str">
        <f>IF(Table1[[#This Row],[Repayment_Status]]="late","high","low")</f>
        <v>high</v>
      </c>
      <c r="W172" s="1">
        <f>(Table1[[#This Row],[monthly_EMI]]/Table1[[#This Row],[monthly_income]])*100</f>
        <v>30</v>
      </c>
      <c r="X172" s="7">
        <v>21516.09</v>
      </c>
    </row>
    <row r="173" spans="1:24" x14ac:dyDescent="0.25">
      <c r="A173" s="1" t="s">
        <v>325</v>
      </c>
      <c r="B173" s="2" t="s">
        <v>752</v>
      </c>
      <c r="C173" s="5">
        <v>51</v>
      </c>
      <c r="D173" s="1" t="s">
        <v>15</v>
      </c>
      <c r="E173" s="1" t="s">
        <v>33</v>
      </c>
      <c r="F173" s="1" t="s">
        <v>31</v>
      </c>
      <c r="G173" s="1">
        <f>YEAR(Table1[[#This Row],[Application_Date]])</f>
        <v>2024</v>
      </c>
      <c r="H173" s="1" t="str">
        <f>TEXT(Table1[[#This Row],[EMI_payment_date]],"mmmm")</f>
        <v>October</v>
      </c>
      <c r="I173" s="3">
        <v>45553</v>
      </c>
      <c r="J173" s="3">
        <f>EDATE(Table1[[#This Row],[Application_Date]],1)</f>
        <v>45583</v>
      </c>
      <c r="K173" s="9">
        <v>4164000</v>
      </c>
      <c r="L173" s="9">
        <f>Table1[[#This Row],[Annual_Income]]/12</f>
        <v>347000</v>
      </c>
      <c r="M173" s="9">
        <v>4364000</v>
      </c>
      <c r="N173" s="5">
        <f ca="1">DATEDIF(Table1[[#This Row],[EMI_payment_date]],TODAY(),"m")</f>
        <v>21</v>
      </c>
      <c r="O173" s="9">
        <f ca="1">Table1[[#This Row],[month_paid]]*Table1[[#This Row],[monthly_EMI]]</f>
        <v>2186100</v>
      </c>
      <c r="P173" s="1">
        <v>7.87</v>
      </c>
      <c r="Q173" s="9">
        <f>Table1[[#This Row],[monthly_income]]*30%</f>
        <v>104100</v>
      </c>
      <c r="R173" s="1">
        <f>ROUNDUP(NPER(P173/100/12,-Q173,Table1[[#This Row],[Loan_Amount]]),0)</f>
        <v>50</v>
      </c>
      <c r="S173" s="1">
        <v>664</v>
      </c>
      <c r="T173" s="1" t="s">
        <v>20</v>
      </c>
      <c r="U173" s="1" t="str">
        <f>IF(Table1[[#This Row],[Repayment_Status]]="late","bad loan","good loan")</f>
        <v>good loan</v>
      </c>
      <c r="V173" s="1" t="str">
        <f>IF(Table1[[#This Row],[Repayment_Status]]="late","high","low")</f>
        <v>low</v>
      </c>
      <c r="W173" s="1">
        <f>(Table1[[#This Row],[monthly_EMI]]/Table1[[#This Row],[monthly_income]])*100</f>
        <v>30</v>
      </c>
      <c r="X173" s="7">
        <v>22953.83</v>
      </c>
    </row>
    <row r="174" spans="1:24" x14ac:dyDescent="0.25">
      <c r="A174" s="1" t="s">
        <v>464</v>
      </c>
      <c r="B174" s="2" t="s">
        <v>885</v>
      </c>
      <c r="C174" s="5">
        <v>50</v>
      </c>
      <c r="D174" s="1" t="s">
        <v>15</v>
      </c>
      <c r="E174" s="1" t="s">
        <v>29</v>
      </c>
      <c r="F174" s="1" t="s">
        <v>17</v>
      </c>
      <c r="G174" s="1">
        <f>YEAR(Table1[[#This Row],[Application_Date]])</f>
        <v>2024</v>
      </c>
      <c r="H174" s="1" t="str">
        <f>TEXT(Table1[[#This Row],[EMI_payment_date]],"mmmm")</f>
        <v>October</v>
      </c>
      <c r="I174" s="3">
        <v>45554</v>
      </c>
      <c r="J174" s="3">
        <f>EDATE(Table1[[#This Row],[Application_Date]],1)</f>
        <v>45584</v>
      </c>
      <c r="K174" s="9">
        <v>5832000</v>
      </c>
      <c r="L174" s="9">
        <f>Table1[[#This Row],[Annual_Income]]/12</f>
        <v>486000</v>
      </c>
      <c r="M174" s="9">
        <v>6032000</v>
      </c>
      <c r="N174" s="5">
        <f ca="1">DATEDIF(Table1[[#This Row],[EMI_payment_date]],TODAY(),"m")</f>
        <v>21</v>
      </c>
      <c r="O174" s="9">
        <f ca="1">Table1[[#This Row],[month_paid]]*Table1[[#This Row],[monthly_EMI]]</f>
        <v>3061800</v>
      </c>
      <c r="P174" s="1">
        <v>6.48</v>
      </c>
      <c r="Q174" s="9">
        <f>Table1[[#This Row],[monthly_income]]*30%</f>
        <v>145800</v>
      </c>
      <c r="R174" s="1">
        <f>ROUNDUP(NPER(P174/100/12,-Q174,Table1[[#This Row],[Loan_Amount]]),0)</f>
        <v>47</v>
      </c>
      <c r="S174" s="1">
        <v>828</v>
      </c>
      <c r="T174" s="1" t="s">
        <v>20</v>
      </c>
      <c r="U174" s="1" t="str">
        <f>IF(Table1[[#This Row],[Repayment_Status]]="late","bad loan","good loan")</f>
        <v>good loan</v>
      </c>
      <c r="V174" s="1" t="str">
        <f>IF(Table1[[#This Row],[Repayment_Status]]="late","high","low")</f>
        <v>low</v>
      </c>
      <c r="W174" s="1">
        <f>(Table1[[#This Row],[monthly_EMI]]/Table1[[#This Row],[monthly_income]])*100</f>
        <v>30</v>
      </c>
      <c r="X174" s="7">
        <v>24567.88</v>
      </c>
    </row>
    <row r="175" spans="1:24" x14ac:dyDescent="0.25">
      <c r="A175" s="1" t="s">
        <v>95</v>
      </c>
      <c r="B175" s="2" t="s">
        <v>787</v>
      </c>
      <c r="C175" s="5">
        <v>31</v>
      </c>
      <c r="D175" s="1" t="s">
        <v>15</v>
      </c>
      <c r="E175" s="1" t="s">
        <v>33</v>
      </c>
      <c r="F175" s="1" t="s">
        <v>31</v>
      </c>
      <c r="G175" s="1">
        <f>YEAR(Table1[[#This Row],[Application_Date]])</f>
        <v>2024</v>
      </c>
      <c r="H175" s="1" t="str">
        <f>TEXT(Table1[[#This Row],[EMI_payment_date]],"mmmm")</f>
        <v>October</v>
      </c>
      <c r="I175" s="3">
        <v>45555</v>
      </c>
      <c r="J175" s="3">
        <f>EDATE(Table1[[#This Row],[Application_Date]],1)</f>
        <v>45585</v>
      </c>
      <c r="K175" s="9">
        <v>1392000</v>
      </c>
      <c r="L175" s="9">
        <f>Table1[[#This Row],[Annual_Income]]/12</f>
        <v>116000</v>
      </c>
      <c r="M175" s="9">
        <v>1592000</v>
      </c>
      <c r="N175" s="5">
        <f ca="1">DATEDIF(Table1[[#This Row],[EMI_payment_date]],TODAY(),"m")</f>
        <v>21</v>
      </c>
      <c r="O175" s="9">
        <f ca="1">Table1[[#This Row],[month_paid]]*Table1[[#This Row],[monthly_EMI]]</f>
        <v>730800</v>
      </c>
      <c r="P175" s="1">
        <v>8.49</v>
      </c>
      <c r="Q175" s="9">
        <f>Table1[[#This Row],[monthly_income]]*30%</f>
        <v>34800</v>
      </c>
      <c r="R175" s="1">
        <f>ROUNDUP(NPER(P175/100/12,-Q175,Table1[[#This Row],[Loan_Amount]]),0)</f>
        <v>56</v>
      </c>
      <c r="S175" s="1">
        <v>755</v>
      </c>
      <c r="T175" s="1" t="s">
        <v>20</v>
      </c>
      <c r="U175" s="1" t="str">
        <f>IF(Table1[[#This Row],[Repayment_Status]]="late","bad loan","good loan")</f>
        <v>good loan</v>
      </c>
      <c r="V175" s="1" t="str">
        <f>IF(Table1[[#This Row],[Repayment_Status]]="late","high","low")</f>
        <v>low</v>
      </c>
      <c r="W175" s="1">
        <f>(Table1[[#This Row],[monthly_EMI]]/Table1[[#This Row],[monthly_income]])*100</f>
        <v>30</v>
      </c>
      <c r="X175" s="7">
        <v>16494.849999999999</v>
      </c>
    </row>
    <row r="176" spans="1:24" x14ac:dyDescent="0.25">
      <c r="A176" s="1" t="s">
        <v>712</v>
      </c>
      <c r="B176" s="2" t="s">
        <v>744</v>
      </c>
      <c r="C176" s="5">
        <v>25</v>
      </c>
      <c r="D176" s="1" t="s">
        <v>26</v>
      </c>
      <c r="E176" s="1" t="s">
        <v>24</v>
      </c>
      <c r="F176" s="1" t="s">
        <v>22</v>
      </c>
      <c r="G176" s="1">
        <f>YEAR(Table1[[#This Row],[Application_Date]])</f>
        <v>2024</v>
      </c>
      <c r="H176" s="1" t="str">
        <f>TEXT(Table1[[#This Row],[EMI_payment_date]],"mmmm")</f>
        <v>October</v>
      </c>
      <c r="I176" s="3">
        <v>45556</v>
      </c>
      <c r="J176" s="3">
        <f>EDATE(Table1[[#This Row],[Application_Date]],1)</f>
        <v>45586</v>
      </c>
      <c r="K176" s="9">
        <v>8808000</v>
      </c>
      <c r="L176" s="9">
        <f>Table1[[#This Row],[Annual_Income]]/12</f>
        <v>734000</v>
      </c>
      <c r="M176" s="9">
        <v>9008000</v>
      </c>
      <c r="N176" s="5">
        <f ca="1">DATEDIF(Table1[[#This Row],[EMI_payment_date]],TODAY(),"m")</f>
        <v>21</v>
      </c>
      <c r="O176" s="9">
        <f ca="1">Table1[[#This Row],[month_paid]]*Table1[[#This Row],[monthly_EMI]]</f>
        <v>4624200</v>
      </c>
      <c r="P176" s="1">
        <v>6.06</v>
      </c>
      <c r="Q176" s="9">
        <f>Table1[[#This Row],[monthly_income]]*30%</f>
        <v>220200</v>
      </c>
      <c r="R176" s="1">
        <f>ROUNDUP(NPER(P176/100/12,-Q176,Table1[[#This Row],[Loan_Amount]]),0)</f>
        <v>46</v>
      </c>
      <c r="S176" s="1">
        <v>838</v>
      </c>
      <c r="T176" s="1" t="s">
        <v>20</v>
      </c>
      <c r="U176" s="1" t="str">
        <f>IF(Table1[[#This Row],[Repayment_Status]]="late","bad loan","good loan")</f>
        <v>good loan</v>
      </c>
      <c r="V176" s="1" t="str">
        <f>IF(Table1[[#This Row],[Repayment_Status]]="late","high","low")</f>
        <v>low</v>
      </c>
      <c r="W176" s="1">
        <f>(Table1[[#This Row],[monthly_EMI]]/Table1[[#This Row],[monthly_income]])*100</f>
        <v>30</v>
      </c>
      <c r="X176" s="7">
        <v>9232.57</v>
      </c>
    </row>
    <row r="177" spans="1:24" x14ac:dyDescent="0.25">
      <c r="A177" s="1" t="s">
        <v>270</v>
      </c>
      <c r="B177" s="2" t="s">
        <v>738</v>
      </c>
      <c r="C177" s="5">
        <v>37</v>
      </c>
      <c r="D177" s="1" t="s">
        <v>15</v>
      </c>
      <c r="E177" s="1" t="s">
        <v>29</v>
      </c>
      <c r="F177" s="1" t="s">
        <v>17</v>
      </c>
      <c r="G177" s="1">
        <f>YEAR(Table1[[#This Row],[Application_Date]])</f>
        <v>2024</v>
      </c>
      <c r="H177" s="1" t="str">
        <f>TEXT(Table1[[#This Row],[EMI_payment_date]],"mmmm")</f>
        <v>October</v>
      </c>
      <c r="I177" s="3">
        <v>45557</v>
      </c>
      <c r="J177" s="3">
        <f>EDATE(Table1[[#This Row],[Application_Date]],1)</f>
        <v>45587</v>
      </c>
      <c r="K177" s="9">
        <v>3504000</v>
      </c>
      <c r="L177" s="9">
        <f>Table1[[#This Row],[Annual_Income]]/12</f>
        <v>292000</v>
      </c>
      <c r="M177" s="9">
        <v>3704000</v>
      </c>
      <c r="N177" s="5">
        <f ca="1">DATEDIF(Table1[[#This Row],[EMI_payment_date]],TODAY(),"m")</f>
        <v>21</v>
      </c>
      <c r="O177" s="9">
        <f ca="1">Table1[[#This Row],[month_paid]]*Table1[[#This Row],[monthly_EMI]]</f>
        <v>1839600</v>
      </c>
      <c r="P177" s="1">
        <v>8.27</v>
      </c>
      <c r="Q177" s="9">
        <f>Table1[[#This Row],[monthly_income]]*30%</f>
        <v>87600</v>
      </c>
      <c r="R177" s="1">
        <f>ROUNDUP(NPER(P177/100/12,-Q177,Table1[[#This Row],[Loan_Amount]]),0)</f>
        <v>51</v>
      </c>
      <c r="S177" s="1">
        <v>827</v>
      </c>
      <c r="T177" s="1" t="s">
        <v>20</v>
      </c>
      <c r="U177" s="1" t="str">
        <f>IF(Table1[[#This Row],[Repayment_Status]]="late","bad loan","good loan")</f>
        <v>good loan</v>
      </c>
      <c r="V177" s="1" t="str">
        <f>IF(Table1[[#This Row],[Repayment_Status]]="late","high","low")</f>
        <v>low</v>
      </c>
      <c r="W177" s="1">
        <f>(Table1[[#This Row],[monthly_EMI]]/Table1[[#This Row],[monthly_income]])*100</f>
        <v>30</v>
      </c>
      <c r="X177" s="7">
        <v>22460.81</v>
      </c>
    </row>
    <row r="178" spans="1:24" x14ac:dyDescent="0.25">
      <c r="A178" s="1" t="s">
        <v>297</v>
      </c>
      <c r="B178" s="2" t="s">
        <v>882</v>
      </c>
      <c r="C178" s="5">
        <v>51</v>
      </c>
      <c r="D178" s="1" t="s">
        <v>26</v>
      </c>
      <c r="E178" s="1" t="s">
        <v>36</v>
      </c>
      <c r="F178" s="1" t="s">
        <v>31</v>
      </c>
      <c r="G178" s="1">
        <f>YEAR(Table1[[#This Row],[Application_Date]])</f>
        <v>2024</v>
      </c>
      <c r="H178" s="1" t="str">
        <f>TEXT(Table1[[#This Row],[EMI_payment_date]],"mmmm")</f>
        <v>October</v>
      </c>
      <c r="I178" s="3">
        <v>45558</v>
      </c>
      <c r="J178" s="3">
        <f>EDATE(Table1[[#This Row],[Application_Date]],1)</f>
        <v>45588</v>
      </c>
      <c r="K178" s="9">
        <v>3828000</v>
      </c>
      <c r="L178" s="9">
        <f>Table1[[#This Row],[Annual_Income]]/12</f>
        <v>319000</v>
      </c>
      <c r="M178" s="9">
        <v>4028000</v>
      </c>
      <c r="N178" s="5">
        <f ca="1">DATEDIF(Table1[[#This Row],[EMI_payment_date]],TODAY(),"m")</f>
        <v>21</v>
      </c>
      <c r="O178" s="9">
        <f ca="1">Table1[[#This Row],[month_paid]]*Table1[[#This Row],[monthly_EMI]]</f>
        <v>2009700</v>
      </c>
      <c r="P178" s="1">
        <v>7.07</v>
      </c>
      <c r="Q178" s="9">
        <f>Table1[[#This Row],[monthly_income]]*30%</f>
        <v>95700</v>
      </c>
      <c r="R178" s="1">
        <f>ROUNDUP(NPER(P178/100/12,-Q178,Table1[[#This Row],[Loan_Amount]]),0)</f>
        <v>49</v>
      </c>
      <c r="S178" s="1">
        <v>845</v>
      </c>
      <c r="T178" s="1" t="s">
        <v>37</v>
      </c>
      <c r="U178" s="1" t="str">
        <f>IF(Table1[[#This Row],[Repayment_Status]]="late","bad loan","good loan")</f>
        <v>bad loan</v>
      </c>
      <c r="V178" s="1" t="str">
        <f>IF(Table1[[#This Row],[Repayment_Status]]="late","high","low")</f>
        <v>high</v>
      </c>
      <c r="W178" s="1">
        <f>(Table1[[#This Row],[monthly_EMI]]/Table1[[#This Row],[monthly_income]])*100</f>
        <v>30</v>
      </c>
      <c r="X178" s="7">
        <v>20299.47</v>
      </c>
    </row>
    <row r="179" spans="1:24" x14ac:dyDescent="0.25">
      <c r="A179" s="1" t="s">
        <v>250</v>
      </c>
      <c r="B179" s="2" t="s">
        <v>868</v>
      </c>
      <c r="C179" s="5">
        <v>28</v>
      </c>
      <c r="D179" s="1" t="s">
        <v>26</v>
      </c>
      <c r="E179" s="1" t="s">
        <v>33</v>
      </c>
      <c r="F179" s="1" t="s">
        <v>17</v>
      </c>
      <c r="G179" s="1">
        <f>YEAR(Table1[[#This Row],[Application_Date]])</f>
        <v>2024</v>
      </c>
      <c r="H179" s="1" t="str">
        <f>TEXT(Table1[[#This Row],[EMI_payment_date]],"mmmm")</f>
        <v>October</v>
      </c>
      <c r="I179" s="3">
        <v>45559</v>
      </c>
      <c r="J179" s="3">
        <f>EDATE(Table1[[#This Row],[Application_Date]],1)</f>
        <v>45589</v>
      </c>
      <c r="K179" s="9">
        <v>3264000</v>
      </c>
      <c r="L179" s="9">
        <f>Table1[[#This Row],[Annual_Income]]/12</f>
        <v>272000</v>
      </c>
      <c r="M179" s="9">
        <v>3464000</v>
      </c>
      <c r="N179" s="5">
        <f ca="1">DATEDIF(Table1[[#This Row],[EMI_payment_date]],TODAY(),"m")</f>
        <v>21</v>
      </c>
      <c r="O179" s="9">
        <f ca="1">Table1[[#This Row],[month_paid]]*Table1[[#This Row],[monthly_EMI]]</f>
        <v>1713600</v>
      </c>
      <c r="P179" s="1">
        <v>6.03</v>
      </c>
      <c r="Q179" s="9">
        <f>Table1[[#This Row],[monthly_income]]*30%</f>
        <v>81600</v>
      </c>
      <c r="R179" s="1">
        <f>ROUNDUP(NPER(P179/100/12,-Q179,Table1[[#This Row],[Loan_Amount]]),0)</f>
        <v>48</v>
      </c>
      <c r="S179" s="1">
        <v>677</v>
      </c>
      <c r="T179" s="1" t="s">
        <v>37</v>
      </c>
      <c r="U179" s="1" t="str">
        <f>IF(Table1[[#This Row],[Repayment_Status]]="late","bad loan","good loan")</f>
        <v>bad loan</v>
      </c>
      <c r="V179" s="1" t="str">
        <f>IF(Table1[[#This Row],[Repayment_Status]]="late","high","low")</f>
        <v>high</v>
      </c>
      <c r="W179" s="1">
        <f>(Table1[[#This Row],[monthly_EMI]]/Table1[[#This Row],[monthly_income]])*100</f>
        <v>30</v>
      </c>
      <c r="X179" s="7">
        <v>21561.040000000001</v>
      </c>
    </row>
    <row r="180" spans="1:24" x14ac:dyDescent="0.25">
      <c r="A180" s="1" t="s">
        <v>112</v>
      </c>
      <c r="B180" s="2" t="s">
        <v>799</v>
      </c>
      <c r="C180" s="5">
        <v>39</v>
      </c>
      <c r="D180" s="1" t="s">
        <v>15</v>
      </c>
      <c r="E180" s="1" t="s">
        <v>36</v>
      </c>
      <c r="F180" s="1" t="s">
        <v>31</v>
      </c>
      <c r="G180" s="1">
        <f>YEAR(Table1[[#This Row],[Application_Date]])</f>
        <v>2024</v>
      </c>
      <c r="H180" s="1" t="str">
        <f>TEXT(Table1[[#This Row],[EMI_payment_date]],"mmmm")</f>
        <v>October</v>
      </c>
      <c r="I180" s="3">
        <v>45560</v>
      </c>
      <c r="J180" s="3">
        <f>EDATE(Table1[[#This Row],[Application_Date]],1)</f>
        <v>45590</v>
      </c>
      <c r="K180" s="9">
        <v>1608000</v>
      </c>
      <c r="L180" s="9">
        <f>Table1[[#This Row],[Annual_Income]]/12</f>
        <v>134000</v>
      </c>
      <c r="M180" s="9">
        <v>1808000</v>
      </c>
      <c r="N180" s="5">
        <f ca="1">DATEDIF(Table1[[#This Row],[EMI_payment_date]],TODAY(),"m")</f>
        <v>21</v>
      </c>
      <c r="O180" s="9">
        <f ca="1">Table1[[#This Row],[month_paid]]*Table1[[#This Row],[monthly_EMI]]</f>
        <v>844200</v>
      </c>
      <c r="P180" s="1">
        <v>9.5500000000000007</v>
      </c>
      <c r="Q180" s="9">
        <f>Table1[[#This Row],[monthly_income]]*30%</f>
        <v>40200</v>
      </c>
      <c r="R180" s="1">
        <f>ROUNDUP(NPER(P180/100/12,-Q180,Table1[[#This Row],[Loan_Amount]]),0)</f>
        <v>56</v>
      </c>
      <c r="S180" s="1">
        <v>760</v>
      </c>
      <c r="T180" s="1" t="s">
        <v>20</v>
      </c>
      <c r="U180" s="1" t="str">
        <f>IF(Table1[[#This Row],[Repayment_Status]]="late","bad loan","good loan")</f>
        <v>good loan</v>
      </c>
      <c r="V180" s="1" t="str">
        <f>IF(Table1[[#This Row],[Repayment_Status]]="late","high","low")</f>
        <v>low</v>
      </c>
      <c r="W180" s="1">
        <f>(Table1[[#This Row],[monthly_EMI]]/Table1[[#This Row],[monthly_income]])*100</f>
        <v>30</v>
      </c>
      <c r="X180" s="7">
        <v>15531.01</v>
      </c>
    </row>
    <row r="181" spans="1:24" x14ac:dyDescent="0.25">
      <c r="A181" s="1" t="s">
        <v>493</v>
      </c>
      <c r="B181" s="2" t="s">
        <v>773</v>
      </c>
      <c r="C181" s="5">
        <v>50</v>
      </c>
      <c r="D181" s="1" t="s">
        <v>26</v>
      </c>
      <c r="E181" s="1" t="s">
        <v>24</v>
      </c>
      <c r="F181" s="1" t="s">
        <v>31</v>
      </c>
      <c r="G181" s="1">
        <f>YEAR(Table1[[#This Row],[Application_Date]])</f>
        <v>2024</v>
      </c>
      <c r="H181" s="1" t="str">
        <f>TEXT(Table1[[#This Row],[EMI_payment_date]],"mmmm")</f>
        <v>October</v>
      </c>
      <c r="I181" s="3">
        <v>45561</v>
      </c>
      <c r="J181" s="3">
        <f>EDATE(Table1[[#This Row],[Application_Date]],1)</f>
        <v>45591</v>
      </c>
      <c r="K181" s="9">
        <v>6180000</v>
      </c>
      <c r="L181" s="9">
        <f>Table1[[#This Row],[Annual_Income]]/12</f>
        <v>515000</v>
      </c>
      <c r="M181" s="9">
        <v>6380000</v>
      </c>
      <c r="N181" s="5">
        <f ca="1">DATEDIF(Table1[[#This Row],[EMI_payment_date]],TODAY(),"m")</f>
        <v>21</v>
      </c>
      <c r="O181" s="9">
        <f ca="1">Table1[[#This Row],[month_paid]]*Table1[[#This Row],[monthly_EMI]]</f>
        <v>3244500</v>
      </c>
      <c r="P181" s="1">
        <v>6.96</v>
      </c>
      <c r="Q181" s="9">
        <f>Table1[[#This Row],[monthly_income]]*30%</f>
        <v>154500</v>
      </c>
      <c r="R181" s="1">
        <f>ROUNDUP(NPER(P181/100/12,-Q181,Table1[[#This Row],[Loan_Amount]]),0)</f>
        <v>48</v>
      </c>
      <c r="S181" s="1">
        <v>769</v>
      </c>
      <c r="T181" s="1" t="s">
        <v>20</v>
      </c>
      <c r="U181" s="1" t="str">
        <f>IF(Table1[[#This Row],[Repayment_Status]]="late","bad loan","good loan")</f>
        <v>good loan</v>
      </c>
      <c r="V181" s="1" t="str">
        <f>IF(Table1[[#This Row],[Repayment_Status]]="late","high","low")</f>
        <v>low</v>
      </c>
      <c r="W181" s="1">
        <f>(Table1[[#This Row],[monthly_EMI]]/Table1[[#This Row],[monthly_income]])*100</f>
        <v>30</v>
      </c>
      <c r="X181" s="7">
        <v>21116.7</v>
      </c>
    </row>
    <row r="182" spans="1:24" x14ac:dyDescent="0.25">
      <c r="A182" s="1" t="s">
        <v>50</v>
      </c>
      <c r="B182" s="2" t="s">
        <v>750</v>
      </c>
      <c r="C182" s="5">
        <v>32</v>
      </c>
      <c r="D182" s="1" t="s">
        <v>26</v>
      </c>
      <c r="E182" s="1" t="s">
        <v>16</v>
      </c>
      <c r="F182" s="1" t="s">
        <v>51</v>
      </c>
      <c r="G182" s="1">
        <f>YEAR(Table1[[#This Row],[Application_Date]])</f>
        <v>2024</v>
      </c>
      <c r="H182" s="1" t="str">
        <f>TEXT(Table1[[#This Row],[EMI_payment_date]],"mmmm")</f>
        <v>October</v>
      </c>
      <c r="I182" s="3">
        <v>45562</v>
      </c>
      <c r="J182" s="3">
        <f>EDATE(Table1[[#This Row],[Application_Date]],1)</f>
        <v>45592</v>
      </c>
      <c r="K182" s="9">
        <v>864000</v>
      </c>
      <c r="L182" s="9">
        <f>Table1[[#This Row],[Annual_Income]]/12</f>
        <v>72000</v>
      </c>
      <c r="M182" s="9">
        <v>1064000</v>
      </c>
      <c r="N182" s="5">
        <f ca="1">DATEDIF(Table1[[#This Row],[EMI_payment_date]],TODAY(),"m")</f>
        <v>21</v>
      </c>
      <c r="O182" s="9">
        <f ca="1">Table1[[#This Row],[month_paid]]*Table1[[#This Row],[monthly_EMI]]</f>
        <v>453600</v>
      </c>
      <c r="P182" s="1">
        <v>8.1199999999999992</v>
      </c>
      <c r="Q182" s="9">
        <f>Table1[[#This Row],[monthly_income]]*30%</f>
        <v>21600</v>
      </c>
      <c r="R182" s="1">
        <f>ROUNDUP(NPER(P182/100/12,-Q182,Table1[[#This Row],[Loan_Amount]]),0)</f>
        <v>61</v>
      </c>
      <c r="S182" s="1">
        <v>684</v>
      </c>
      <c r="T182" s="1" t="s">
        <v>20</v>
      </c>
      <c r="U182" s="1" t="str">
        <f>IF(Table1[[#This Row],[Repayment_Status]]="late","bad loan","good loan")</f>
        <v>good loan</v>
      </c>
      <c r="V182" s="1" t="str">
        <f>IF(Table1[[#This Row],[Repayment_Status]]="late","high","low")</f>
        <v>low</v>
      </c>
      <c r="W182" s="1">
        <f>(Table1[[#This Row],[monthly_EMI]]/Table1[[#This Row],[monthly_income]])*100</f>
        <v>30</v>
      </c>
      <c r="X182" s="7">
        <v>38417.54</v>
      </c>
    </row>
    <row r="183" spans="1:24" x14ac:dyDescent="0.25">
      <c r="A183" s="1" t="s">
        <v>53</v>
      </c>
      <c r="B183" s="2" t="s">
        <v>752</v>
      </c>
      <c r="C183" s="5">
        <v>29</v>
      </c>
      <c r="D183" s="1" t="s">
        <v>15</v>
      </c>
      <c r="E183" s="1" t="s">
        <v>27</v>
      </c>
      <c r="F183" s="1" t="s">
        <v>31</v>
      </c>
      <c r="G183" s="1">
        <f>YEAR(Table1[[#This Row],[Application_Date]])</f>
        <v>2024</v>
      </c>
      <c r="H183" s="1" t="str">
        <f>TEXT(Table1[[#This Row],[EMI_payment_date]],"mmmm")</f>
        <v>October</v>
      </c>
      <c r="I183" s="3">
        <v>45563</v>
      </c>
      <c r="J183" s="3">
        <f>EDATE(Table1[[#This Row],[Application_Date]],1)</f>
        <v>45593</v>
      </c>
      <c r="K183" s="9">
        <v>888000</v>
      </c>
      <c r="L183" s="9">
        <f>Table1[[#This Row],[Annual_Income]]/12</f>
        <v>74000</v>
      </c>
      <c r="M183" s="9">
        <v>1088000</v>
      </c>
      <c r="N183" s="5">
        <f ca="1">DATEDIF(Table1[[#This Row],[EMI_payment_date]],TODAY(),"m")</f>
        <v>21</v>
      </c>
      <c r="O183" s="9">
        <f ca="1">Table1[[#This Row],[month_paid]]*Table1[[#This Row],[monthly_EMI]]</f>
        <v>466200</v>
      </c>
      <c r="P183" s="1">
        <v>5.74</v>
      </c>
      <c r="Q183" s="9">
        <f>Table1[[#This Row],[monthly_income]]*30%</f>
        <v>22200</v>
      </c>
      <c r="R183" s="1">
        <f>ROUNDUP(NPER(P183/100/12,-Q183,Table1[[#This Row],[Loan_Amount]]),0)</f>
        <v>56</v>
      </c>
      <c r="S183" s="1">
        <v>718</v>
      </c>
      <c r="T183" s="1" t="s">
        <v>37</v>
      </c>
      <c r="U183" s="1" t="str">
        <f>IF(Table1[[#This Row],[Repayment_Status]]="late","bad loan","good loan")</f>
        <v>bad loan</v>
      </c>
      <c r="V183" s="1" t="str">
        <f>IF(Table1[[#This Row],[Repayment_Status]]="late","high","low")</f>
        <v>high</v>
      </c>
      <c r="W183" s="1">
        <f>(Table1[[#This Row],[monthly_EMI]]/Table1[[#This Row],[monthly_income]])*100</f>
        <v>30</v>
      </c>
      <c r="X183" s="7">
        <v>20661.59</v>
      </c>
    </row>
    <row r="184" spans="1:24" x14ac:dyDescent="0.25">
      <c r="A184" s="1" t="s">
        <v>264</v>
      </c>
      <c r="B184" s="2" t="s">
        <v>748</v>
      </c>
      <c r="C184" s="5">
        <v>51</v>
      </c>
      <c r="D184" s="1" t="s">
        <v>15</v>
      </c>
      <c r="E184" s="1" t="s">
        <v>16</v>
      </c>
      <c r="F184" s="1" t="s">
        <v>17</v>
      </c>
      <c r="G184" s="1">
        <f>YEAR(Table1[[#This Row],[Application_Date]])</f>
        <v>2024</v>
      </c>
      <c r="H184" s="1" t="str">
        <f>TEXT(Table1[[#This Row],[EMI_payment_date]],"mmmm")</f>
        <v>October</v>
      </c>
      <c r="I184" s="3">
        <v>45564</v>
      </c>
      <c r="J184" s="3">
        <f>EDATE(Table1[[#This Row],[Application_Date]],1)</f>
        <v>45594</v>
      </c>
      <c r="K184" s="9">
        <v>3432000</v>
      </c>
      <c r="L184" s="9">
        <f>Table1[[#This Row],[Annual_Income]]/12</f>
        <v>286000</v>
      </c>
      <c r="M184" s="9">
        <v>3632000</v>
      </c>
      <c r="N184" s="5">
        <f ca="1">DATEDIF(Table1[[#This Row],[EMI_payment_date]],TODAY(),"m")</f>
        <v>21</v>
      </c>
      <c r="O184" s="9">
        <f ca="1">Table1[[#This Row],[month_paid]]*Table1[[#This Row],[monthly_EMI]]</f>
        <v>1801800</v>
      </c>
      <c r="P184" s="1">
        <v>6.54</v>
      </c>
      <c r="Q184" s="9">
        <f>Table1[[#This Row],[monthly_income]]*30%</f>
        <v>85800</v>
      </c>
      <c r="R184" s="1">
        <f>ROUNDUP(NPER(P184/100/12,-Q184,Table1[[#This Row],[Loan_Amount]]),0)</f>
        <v>49</v>
      </c>
      <c r="S184" s="1">
        <v>743</v>
      </c>
      <c r="T184" s="1" t="s">
        <v>20</v>
      </c>
      <c r="U184" s="1" t="str">
        <f>IF(Table1[[#This Row],[Repayment_Status]]="late","bad loan","good loan")</f>
        <v>good loan</v>
      </c>
      <c r="V184" s="1" t="str">
        <f>IF(Table1[[#This Row],[Repayment_Status]]="late","high","low")</f>
        <v>low</v>
      </c>
      <c r="W184" s="1">
        <f>(Table1[[#This Row],[monthly_EMI]]/Table1[[#This Row],[monthly_income]])*100</f>
        <v>30</v>
      </c>
      <c r="X184" s="7">
        <v>23465.65</v>
      </c>
    </row>
    <row r="185" spans="1:24" x14ac:dyDescent="0.25">
      <c r="A185" s="1" t="s">
        <v>23</v>
      </c>
      <c r="B185" s="2" t="s">
        <v>732</v>
      </c>
      <c r="C185" s="5">
        <v>26</v>
      </c>
      <c r="D185" s="1" t="s">
        <v>15</v>
      </c>
      <c r="E185" s="1" t="s">
        <v>24</v>
      </c>
      <c r="F185" s="1" t="s">
        <v>22</v>
      </c>
      <c r="G185" s="1">
        <f>YEAR(Table1[[#This Row],[Application_Date]])</f>
        <v>2024</v>
      </c>
      <c r="H185" s="1" t="str">
        <f>TEXT(Table1[[#This Row],[EMI_payment_date]],"mmmm")</f>
        <v>October</v>
      </c>
      <c r="I185" s="3">
        <v>45565</v>
      </c>
      <c r="J185" s="3">
        <f>EDATE(Table1[[#This Row],[Application_Date]],1)</f>
        <v>45595</v>
      </c>
      <c r="K185" s="9">
        <v>636000</v>
      </c>
      <c r="L185" s="9">
        <f>Table1[[#This Row],[Annual_Income]]/12</f>
        <v>53000</v>
      </c>
      <c r="M185" s="9">
        <v>836000</v>
      </c>
      <c r="N185" s="5">
        <f ca="1">DATEDIF(Table1[[#This Row],[EMI_payment_date]],TODAY(),"m")</f>
        <v>21</v>
      </c>
      <c r="O185" s="9">
        <f ca="1">Table1[[#This Row],[month_paid]]*Table1[[#This Row],[monthly_EMI]]</f>
        <v>333900</v>
      </c>
      <c r="P185" s="1">
        <v>5.53</v>
      </c>
      <c r="Q185" s="9">
        <f>Table1[[#This Row],[monthly_income]]*30%</f>
        <v>15900</v>
      </c>
      <c r="R185" s="1">
        <f>ROUNDUP(NPER(P185/100/12,-Q185,Table1[[#This Row],[Loan_Amount]]),0)</f>
        <v>61</v>
      </c>
      <c r="S185" s="1">
        <v>696</v>
      </c>
      <c r="T185" s="1" t="s">
        <v>20</v>
      </c>
      <c r="U185" s="1" t="str">
        <f>IF(Table1[[#This Row],[Repayment_Status]]="late","bad loan","good loan")</f>
        <v>good loan</v>
      </c>
      <c r="V185" s="1" t="str">
        <f>IF(Table1[[#This Row],[Repayment_Status]]="late","high","low")</f>
        <v>low</v>
      </c>
      <c r="W185" s="1">
        <f>(Table1[[#This Row],[monthly_EMI]]/Table1[[#This Row],[monthly_income]])*100</f>
        <v>30</v>
      </c>
      <c r="X185" s="7">
        <v>18133.98</v>
      </c>
    </row>
    <row r="186" spans="1:24" x14ac:dyDescent="0.25">
      <c r="A186" s="1" t="s">
        <v>720</v>
      </c>
      <c r="B186" s="2" t="s">
        <v>875</v>
      </c>
      <c r="C186" s="5">
        <v>59</v>
      </c>
      <c r="D186" s="1" t="s">
        <v>26</v>
      </c>
      <c r="E186" s="1" t="s">
        <v>24</v>
      </c>
      <c r="F186" s="1" t="s">
        <v>19</v>
      </c>
      <c r="G186" s="1">
        <f>YEAR(Table1[[#This Row],[Application_Date]])</f>
        <v>2024</v>
      </c>
      <c r="H186" s="1" t="str">
        <f>TEXT(Table1[[#This Row],[EMI_payment_date]],"mmmm")</f>
        <v>November</v>
      </c>
      <c r="I186" s="3">
        <v>45566</v>
      </c>
      <c r="J186" s="3">
        <f>EDATE(Table1[[#This Row],[Application_Date]],1)</f>
        <v>45597</v>
      </c>
      <c r="K186" s="9">
        <v>8904000</v>
      </c>
      <c r="L186" s="9">
        <f>Table1[[#This Row],[Annual_Income]]/12</f>
        <v>742000</v>
      </c>
      <c r="M186" s="9">
        <v>9104000</v>
      </c>
      <c r="N186" s="5">
        <f ca="1">DATEDIF(Table1[[#This Row],[EMI_payment_date]],TODAY(),"m")</f>
        <v>20</v>
      </c>
      <c r="O186" s="9">
        <f ca="1">Table1[[#This Row],[month_paid]]*Table1[[#This Row],[monthly_EMI]]</f>
        <v>4452000</v>
      </c>
      <c r="P186" s="1">
        <v>7.05</v>
      </c>
      <c r="Q186" s="9">
        <f>Table1[[#This Row],[monthly_income]]*30%</f>
        <v>222600</v>
      </c>
      <c r="R186" s="1">
        <f>ROUNDUP(NPER(P186/100/12,-Q186,Table1[[#This Row],[Loan_Amount]]),0)</f>
        <v>47</v>
      </c>
      <c r="S186" s="1">
        <v>620</v>
      </c>
      <c r="T186" s="1" t="s">
        <v>37</v>
      </c>
      <c r="U186" s="1" t="str">
        <f>IF(Table1[[#This Row],[Repayment_Status]]="late","bad loan","good loan")</f>
        <v>bad loan</v>
      </c>
      <c r="V186" s="1" t="str">
        <f>IF(Table1[[#This Row],[Repayment_Status]]="late","high","low")</f>
        <v>high</v>
      </c>
      <c r="W186" s="1">
        <f>(Table1[[#This Row],[monthly_EMI]]/Table1[[#This Row],[monthly_income]])*100</f>
        <v>30</v>
      </c>
      <c r="X186" s="7">
        <v>7491.99</v>
      </c>
    </row>
    <row r="187" spans="1:24" x14ac:dyDescent="0.25">
      <c r="A187" s="1" t="s">
        <v>584</v>
      </c>
      <c r="B187" s="2" t="s">
        <v>914</v>
      </c>
      <c r="C187" s="5">
        <v>43</v>
      </c>
      <c r="D187" s="1" t="s">
        <v>15</v>
      </c>
      <c r="E187" s="1" t="s">
        <v>29</v>
      </c>
      <c r="F187" s="1" t="s">
        <v>31</v>
      </c>
      <c r="G187" s="1">
        <f>YEAR(Table1[[#This Row],[Application_Date]])</f>
        <v>2024</v>
      </c>
      <c r="H187" s="1" t="str">
        <f>TEXT(Table1[[#This Row],[EMI_payment_date]],"mmmm")</f>
        <v>November</v>
      </c>
      <c r="I187" s="3">
        <v>45567</v>
      </c>
      <c r="J187" s="3">
        <f>EDATE(Table1[[#This Row],[Application_Date]],1)</f>
        <v>45598</v>
      </c>
      <c r="K187" s="9">
        <v>7272000</v>
      </c>
      <c r="L187" s="9">
        <f>Table1[[#This Row],[Annual_Income]]/12</f>
        <v>606000</v>
      </c>
      <c r="M187" s="9">
        <v>7472000</v>
      </c>
      <c r="N187" s="5">
        <f ca="1">DATEDIF(Table1[[#This Row],[EMI_payment_date]],TODAY(),"m")</f>
        <v>20</v>
      </c>
      <c r="O187" s="9">
        <f ca="1">Table1[[#This Row],[month_paid]]*Table1[[#This Row],[monthly_EMI]]</f>
        <v>3636000</v>
      </c>
      <c r="P187" s="1">
        <v>9.1199999999999992</v>
      </c>
      <c r="Q187" s="9">
        <f>Table1[[#This Row],[monthly_income]]*30%</f>
        <v>181800</v>
      </c>
      <c r="R187" s="1">
        <f>ROUNDUP(NPER(P187/100/12,-Q187,Table1[[#This Row],[Loan_Amount]]),0)</f>
        <v>50</v>
      </c>
      <c r="S187" s="1">
        <v>610</v>
      </c>
      <c r="T187" s="1" t="s">
        <v>37</v>
      </c>
      <c r="U187" s="1" t="str">
        <f>IF(Table1[[#This Row],[Repayment_Status]]="late","bad loan","good loan")</f>
        <v>bad loan</v>
      </c>
      <c r="V187" s="1" t="str">
        <f>IF(Table1[[#This Row],[Repayment_Status]]="late","high","low")</f>
        <v>high</v>
      </c>
      <c r="W187" s="1">
        <f>(Table1[[#This Row],[monthly_EMI]]/Table1[[#This Row],[monthly_income]])*100</f>
        <v>30</v>
      </c>
      <c r="X187" s="7">
        <v>25913.91</v>
      </c>
    </row>
    <row r="188" spans="1:24" x14ac:dyDescent="0.25">
      <c r="A188" s="1" t="s">
        <v>524</v>
      </c>
      <c r="B188" s="2" t="s">
        <v>754</v>
      </c>
      <c r="C188" s="5">
        <v>27</v>
      </c>
      <c r="D188" s="1" t="s">
        <v>26</v>
      </c>
      <c r="E188" s="1" t="s">
        <v>27</v>
      </c>
      <c r="F188" s="1" t="s">
        <v>19</v>
      </c>
      <c r="G188" s="1">
        <f>YEAR(Table1[[#This Row],[Application_Date]])</f>
        <v>2024</v>
      </c>
      <c r="H188" s="1" t="str">
        <f>TEXT(Table1[[#This Row],[EMI_payment_date]],"mmmm")</f>
        <v>November</v>
      </c>
      <c r="I188" s="3">
        <v>45568</v>
      </c>
      <c r="J188" s="3">
        <f>EDATE(Table1[[#This Row],[Application_Date]],1)</f>
        <v>45599</v>
      </c>
      <c r="K188" s="9">
        <v>6552000</v>
      </c>
      <c r="L188" s="9">
        <f>Table1[[#This Row],[Annual_Income]]/12</f>
        <v>546000</v>
      </c>
      <c r="M188" s="9">
        <v>6752000</v>
      </c>
      <c r="N188" s="5">
        <f ca="1">DATEDIF(Table1[[#This Row],[EMI_payment_date]],TODAY(),"m")</f>
        <v>20</v>
      </c>
      <c r="O188" s="9">
        <f ca="1">Table1[[#This Row],[month_paid]]*Table1[[#This Row],[monthly_EMI]]</f>
        <v>3276000</v>
      </c>
      <c r="P188" s="1">
        <v>9.18</v>
      </c>
      <c r="Q188" s="9">
        <f>Table1[[#This Row],[monthly_income]]*30%</f>
        <v>163800</v>
      </c>
      <c r="R188" s="1">
        <f>ROUNDUP(NPER(P188/100/12,-Q188,Table1[[#This Row],[Loan_Amount]]),0)</f>
        <v>50</v>
      </c>
      <c r="S188" s="1">
        <v>793</v>
      </c>
      <c r="T188" s="1" t="s">
        <v>20</v>
      </c>
      <c r="U188" s="1" t="str">
        <f>IF(Table1[[#This Row],[Repayment_Status]]="late","bad loan","good loan")</f>
        <v>good loan</v>
      </c>
      <c r="V188" s="1" t="str">
        <f>IF(Table1[[#This Row],[Repayment_Status]]="late","high","low")</f>
        <v>low</v>
      </c>
      <c r="W188" s="1">
        <f>(Table1[[#This Row],[monthly_EMI]]/Table1[[#This Row],[monthly_income]])*100</f>
        <v>30</v>
      </c>
      <c r="X188" s="7">
        <v>20981.15</v>
      </c>
    </row>
    <row r="189" spans="1:24" x14ac:dyDescent="0.25">
      <c r="A189" s="1" t="s">
        <v>623</v>
      </c>
      <c r="B189" s="2" t="s">
        <v>916</v>
      </c>
      <c r="C189" s="5">
        <v>56</v>
      </c>
      <c r="D189" s="1" t="s">
        <v>26</v>
      </c>
      <c r="E189" s="1" t="s">
        <v>29</v>
      </c>
      <c r="F189" s="1" t="s">
        <v>31</v>
      </c>
      <c r="G189" s="1">
        <f>YEAR(Table1[[#This Row],[Application_Date]])</f>
        <v>2024</v>
      </c>
      <c r="H189" s="1" t="str">
        <f>TEXT(Table1[[#This Row],[EMI_payment_date]],"mmmm")</f>
        <v>November</v>
      </c>
      <c r="I189" s="3">
        <v>45569</v>
      </c>
      <c r="J189" s="3">
        <f>EDATE(Table1[[#This Row],[Application_Date]],1)</f>
        <v>45600</v>
      </c>
      <c r="K189" s="9">
        <v>7740000</v>
      </c>
      <c r="L189" s="9">
        <f>Table1[[#This Row],[Annual_Income]]/12</f>
        <v>645000</v>
      </c>
      <c r="M189" s="9">
        <v>7940000</v>
      </c>
      <c r="N189" s="5">
        <f ca="1">DATEDIF(Table1[[#This Row],[EMI_payment_date]],TODAY(),"m")</f>
        <v>20</v>
      </c>
      <c r="O189" s="9">
        <f ca="1">Table1[[#This Row],[month_paid]]*Table1[[#This Row],[monthly_EMI]]</f>
        <v>3870000</v>
      </c>
      <c r="P189" s="1">
        <v>6.07</v>
      </c>
      <c r="Q189" s="9">
        <f>Table1[[#This Row],[monthly_income]]*30%</f>
        <v>193500</v>
      </c>
      <c r="R189" s="1">
        <f>ROUNDUP(NPER(P189/100/12,-Q189,Table1[[#This Row],[Loan_Amount]]),0)</f>
        <v>47</v>
      </c>
      <c r="S189" s="1">
        <v>677</v>
      </c>
      <c r="T189" s="1" t="s">
        <v>37</v>
      </c>
      <c r="U189" s="1" t="str">
        <f>IF(Table1[[#This Row],[Repayment_Status]]="late","bad loan","good loan")</f>
        <v>bad loan</v>
      </c>
      <c r="V189" s="1" t="str">
        <f>IF(Table1[[#This Row],[Repayment_Status]]="late","high","low")</f>
        <v>high</v>
      </c>
      <c r="W189" s="1">
        <f>(Table1[[#This Row],[monthly_EMI]]/Table1[[#This Row],[monthly_income]])*100</f>
        <v>30</v>
      </c>
      <c r="X189" s="7">
        <v>24464.44</v>
      </c>
    </row>
    <row r="190" spans="1:24" x14ac:dyDescent="0.25">
      <c r="A190" s="1" t="s">
        <v>622</v>
      </c>
      <c r="B190" s="2" t="s">
        <v>886</v>
      </c>
      <c r="C190" s="5">
        <v>30</v>
      </c>
      <c r="D190" s="1" t="s">
        <v>26</v>
      </c>
      <c r="E190" s="1" t="s">
        <v>16</v>
      </c>
      <c r="F190" s="1" t="s">
        <v>51</v>
      </c>
      <c r="G190" s="1">
        <f>YEAR(Table1[[#This Row],[Application_Date]])</f>
        <v>2024</v>
      </c>
      <c r="H190" s="1" t="str">
        <f>TEXT(Table1[[#This Row],[EMI_payment_date]],"mmmm")</f>
        <v>November</v>
      </c>
      <c r="I190" s="3">
        <v>45570</v>
      </c>
      <c r="J190" s="3">
        <f>EDATE(Table1[[#This Row],[Application_Date]],1)</f>
        <v>45601</v>
      </c>
      <c r="K190" s="9">
        <v>7728000</v>
      </c>
      <c r="L190" s="9">
        <f>Table1[[#This Row],[Annual_Income]]/12</f>
        <v>644000</v>
      </c>
      <c r="M190" s="9">
        <v>7928000</v>
      </c>
      <c r="N190" s="5">
        <f ca="1">DATEDIF(Table1[[#This Row],[EMI_payment_date]],TODAY(),"m")</f>
        <v>20</v>
      </c>
      <c r="O190" s="9">
        <f ca="1">Table1[[#This Row],[month_paid]]*Table1[[#This Row],[monthly_EMI]]</f>
        <v>3864000</v>
      </c>
      <c r="P190" s="1">
        <v>9.7799999999999994</v>
      </c>
      <c r="Q190" s="9">
        <f>Table1[[#This Row],[monthly_income]]*30%</f>
        <v>193200</v>
      </c>
      <c r="R190" s="1">
        <f>ROUNDUP(NPER(P190/100/12,-Q190,Table1[[#This Row],[Loan_Amount]]),0)</f>
        <v>51</v>
      </c>
      <c r="S190" s="1">
        <v>764</v>
      </c>
      <c r="T190" s="1" t="s">
        <v>20</v>
      </c>
      <c r="U190" s="1" t="str">
        <f>IF(Table1[[#This Row],[Repayment_Status]]="late","bad loan","good loan")</f>
        <v>good loan</v>
      </c>
      <c r="V190" s="1" t="str">
        <f>IF(Table1[[#This Row],[Repayment_Status]]="late","high","low")</f>
        <v>low</v>
      </c>
      <c r="W190" s="1">
        <f>(Table1[[#This Row],[monthly_EMI]]/Table1[[#This Row],[monthly_income]])*100</f>
        <v>30</v>
      </c>
      <c r="X190" s="7">
        <v>22014.9</v>
      </c>
    </row>
    <row r="191" spans="1:24" x14ac:dyDescent="0.25">
      <c r="A191" s="1" t="s">
        <v>713</v>
      </c>
      <c r="B191" s="2" t="s">
        <v>761</v>
      </c>
      <c r="C191" s="5">
        <v>32</v>
      </c>
      <c r="D191" s="1" t="s">
        <v>26</v>
      </c>
      <c r="E191" s="1" t="s">
        <v>29</v>
      </c>
      <c r="F191" s="1" t="s">
        <v>22</v>
      </c>
      <c r="G191" s="1">
        <f>YEAR(Table1[[#This Row],[Application_Date]])</f>
        <v>2024</v>
      </c>
      <c r="H191" s="1" t="str">
        <f>TEXT(Table1[[#This Row],[EMI_payment_date]],"mmmm")</f>
        <v>November</v>
      </c>
      <c r="I191" s="3">
        <v>45571</v>
      </c>
      <c r="J191" s="3">
        <f>EDATE(Table1[[#This Row],[Application_Date]],1)</f>
        <v>45602</v>
      </c>
      <c r="K191" s="9">
        <v>8820000</v>
      </c>
      <c r="L191" s="9">
        <f>Table1[[#This Row],[Annual_Income]]/12</f>
        <v>735000</v>
      </c>
      <c r="M191" s="9">
        <v>9020000</v>
      </c>
      <c r="N191" s="5">
        <f ca="1">DATEDIF(Table1[[#This Row],[EMI_payment_date]],TODAY(),"m")</f>
        <v>20</v>
      </c>
      <c r="O191" s="9">
        <f ca="1">Table1[[#This Row],[month_paid]]*Table1[[#This Row],[monthly_EMI]]</f>
        <v>4410000</v>
      </c>
      <c r="P191" s="1">
        <v>6.87</v>
      </c>
      <c r="Q191" s="9">
        <f>Table1[[#This Row],[monthly_income]]*30%</f>
        <v>220500</v>
      </c>
      <c r="R191" s="1">
        <f>ROUNDUP(NPER(P191/100/12,-Q191,Table1[[#This Row],[Loan_Amount]]),0)</f>
        <v>47</v>
      </c>
      <c r="S191" s="1">
        <v>636</v>
      </c>
      <c r="T191" s="1" t="s">
        <v>37</v>
      </c>
      <c r="U191" s="1" t="str">
        <f>IF(Table1[[#This Row],[Repayment_Status]]="late","bad loan","good loan")</f>
        <v>bad loan</v>
      </c>
      <c r="V191" s="1" t="str">
        <f>IF(Table1[[#This Row],[Repayment_Status]]="late","high","low")</f>
        <v>high</v>
      </c>
      <c r="W191" s="1">
        <f>(Table1[[#This Row],[monthly_EMI]]/Table1[[#This Row],[monthly_income]])*100</f>
        <v>30</v>
      </c>
      <c r="X191" s="7">
        <v>9947.75</v>
      </c>
    </row>
    <row r="192" spans="1:24" x14ac:dyDescent="0.25">
      <c r="A192" s="1" t="s">
        <v>282</v>
      </c>
      <c r="B192" s="2" t="s">
        <v>833</v>
      </c>
      <c r="C192" s="5">
        <v>40</v>
      </c>
      <c r="D192" s="1" t="s">
        <v>26</v>
      </c>
      <c r="E192" s="1" t="s">
        <v>33</v>
      </c>
      <c r="F192" s="1" t="s">
        <v>17</v>
      </c>
      <c r="G192" s="1">
        <f>YEAR(Table1[[#This Row],[Application_Date]])</f>
        <v>2024</v>
      </c>
      <c r="H192" s="1" t="str">
        <f>TEXT(Table1[[#This Row],[EMI_payment_date]],"mmmm")</f>
        <v>November</v>
      </c>
      <c r="I192" s="3">
        <v>45572</v>
      </c>
      <c r="J192" s="3">
        <f>EDATE(Table1[[#This Row],[Application_Date]],1)</f>
        <v>45603</v>
      </c>
      <c r="K192" s="9">
        <v>3648000</v>
      </c>
      <c r="L192" s="9">
        <f>Table1[[#This Row],[Annual_Income]]/12</f>
        <v>304000</v>
      </c>
      <c r="M192" s="9">
        <v>3848000</v>
      </c>
      <c r="N192" s="5">
        <f ca="1">DATEDIF(Table1[[#This Row],[EMI_payment_date]],TODAY(),"m")</f>
        <v>20</v>
      </c>
      <c r="O192" s="9">
        <f ca="1">Table1[[#This Row],[month_paid]]*Table1[[#This Row],[monthly_EMI]]</f>
        <v>1824000</v>
      </c>
      <c r="P192" s="1">
        <v>7.03</v>
      </c>
      <c r="Q192" s="9">
        <f>Table1[[#This Row],[monthly_income]]*30%</f>
        <v>91200</v>
      </c>
      <c r="R192" s="1">
        <f>ROUNDUP(NPER(P192/100/12,-Q192,Table1[[#This Row],[Loan_Amount]]),0)</f>
        <v>49</v>
      </c>
      <c r="S192" s="1">
        <v>734</v>
      </c>
      <c r="T192" s="1" t="s">
        <v>20</v>
      </c>
      <c r="U192" s="1" t="str">
        <f>IF(Table1[[#This Row],[Repayment_Status]]="late","bad loan","good loan")</f>
        <v>good loan</v>
      </c>
      <c r="V192" s="1" t="str">
        <f>IF(Table1[[#This Row],[Repayment_Status]]="late","high","low")</f>
        <v>low</v>
      </c>
      <c r="W192" s="1">
        <f>(Table1[[#This Row],[monthly_EMI]]/Table1[[#This Row],[monthly_income]])*100</f>
        <v>30</v>
      </c>
      <c r="X192" s="7">
        <v>30899.99</v>
      </c>
    </row>
    <row r="193" spans="1:24" x14ac:dyDescent="0.25">
      <c r="A193" s="1" t="s">
        <v>668</v>
      </c>
      <c r="B193" s="2" t="s">
        <v>919</v>
      </c>
      <c r="C193" s="5">
        <v>40</v>
      </c>
      <c r="D193" s="1" t="s">
        <v>15</v>
      </c>
      <c r="E193" s="1" t="s">
        <v>36</v>
      </c>
      <c r="F193" s="1" t="s">
        <v>22</v>
      </c>
      <c r="G193" s="1">
        <f>YEAR(Table1[[#This Row],[Application_Date]])</f>
        <v>2024</v>
      </c>
      <c r="H193" s="1" t="str">
        <f>TEXT(Table1[[#This Row],[EMI_payment_date]],"mmmm")</f>
        <v>November</v>
      </c>
      <c r="I193" s="3">
        <v>45573</v>
      </c>
      <c r="J193" s="3">
        <f>EDATE(Table1[[#This Row],[Application_Date]],1)</f>
        <v>45604</v>
      </c>
      <c r="K193" s="9">
        <v>8280000</v>
      </c>
      <c r="L193" s="9">
        <f>Table1[[#This Row],[Annual_Income]]/12</f>
        <v>690000</v>
      </c>
      <c r="M193" s="9">
        <v>8480000</v>
      </c>
      <c r="N193" s="5">
        <f ca="1">DATEDIF(Table1[[#This Row],[EMI_payment_date]],TODAY(),"m")</f>
        <v>20</v>
      </c>
      <c r="O193" s="9">
        <f ca="1">Table1[[#This Row],[month_paid]]*Table1[[#This Row],[monthly_EMI]]</f>
        <v>4140000</v>
      </c>
      <c r="P193" s="1">
        <v>7.56</v>
      </c>
      <c r="Q193" s="9">
        <f>Table1[[#This Row],[monthly_income]]*30%</f>
        <v>207000</v>
      </c>
      <c r="R193" s="1">
        <f>ROUNDUP(NPER(P193/100/12,-Q193,Table1[[#This Row],[Loan_Amount]]),0)</f>
        <v>48</v>
      </c>
      <c r="S193" s="1">
        <v>733</v>
      </c>
      <c r="T193" s="1" t="s">
        <v>20</v>
      </c>
      <c r="U193" s="1" t="str">
        <f>IF(Table1[[#This Row],[Repayment_Status]]="late","bad loan","good loan")</f>
        <v>good loan</v>
      </c>
      <c r="V193" s="1" t="str">
        <f>IF(Table1[[#This Row],[Repayment_Status]]="late","high","low")</f>
        <v>low</v>
      </c>
      <c r="W193" s="1">
        <f>(Table1[[#This Row],[monthly_EMI]]/Table1[[#This Row],[monthly_income]])*100</f>
        <v>30</v>
      </c>
      <c r="X193" s="7">
        <v>16324.67</v>
      </c>
    </row>
    <row r="194" spans="1:24" x14ac:dyDescent="0.25">
      <c r="A194" s="1" t="s">
        <v>133</v>
      </c>
      <c r="B194" s="2" t="s">
        <v>812</v>
      </c>
      <c r="C194" s="5">
        <v>34</v>
      </c>
      <c r="D194" s="1" t="s">
        <v>26</v>
      </c>
      <c r="E194" s="1" t="s">
        <v>16</v>
      </c>
      <c r="F194" s="1" t="s">
        <v>19</v>
      </c>
      <c r="G194" s="1">
        <f>YEAR(Table1[[#This Row],[Application_Date]])</f>
        <v>2024</v>
      </c>
      <c r="H194" s="1" t="str">
        <f>TEXT(Table1[[#This Row],[EMI_payment_date]],"mmmm")</f>
        <v>November</v>
      </c>
      <c r="I194" s="3">
        <v>45574</v>
      </c>
      <c r="J194" s="3">
        <f>EDATE(Table1[[#This Row],[Application_Date]],1)</f>
        <v>45605</v>
      </c>
      <c r="K194" s="9">
        <v>1860000</v>
      </c>
      <c r="L194" s="9">
        <f>Table1[[#This Row],[Annual_Income]]/12</f>
        <v>155000</v>
      </c>
      <c r="M194" s="9">
        <v>2060000</v>
      </c>
      <c r="N194" s="5">
        <f ca="1">DATEDIF(Table1[[#This Row],[EMI_payment_date]],TODAY(),"m")</f>
        <v>20</v>
      </c>
      <c r="O194" s="9">
        <f ca="1">Table1[[#This Row],[month_paid]]*Table1[[#This Row],[monthly_EMI]]</f>
        <v>930000</v>
      </c>
      <c r="P194" s="1">
        <v>7.23</v>
      </c>
      <c r="Q194" s="9">
        <f>Table1[[#This Row],[monthly_income]]*30%</f>
        <v>46500</v>
      </c>
      <c r="R194" s="1">
        <f>ROUNDUP(NPER(P194/100/12,-Q194,Table1[[#This Row],[Loan_Amount]]),0)</f>
        <v>52</v>
      </c>
      <c r="S194" s="1">
        <v>729</v>
      </c>
      <c r="T194" s="1" t="s">
        <v>20</v>
      </c>
      <c r="U194" s="1" t="str">
        <f>IF(Table1[[#This Row],[Repayment_Status]]="late","bad loan","good loan")</f>
        <v>good loan</v>
      </c>
      <c r="V194" s="1" t="str">
        <f>IF(Table1[[#This Row],[Repayment_Status]]="late","high","low")</f>
        <v>low</v>
      </c>
      <c r="W194" s="1">
        <f>(Table1[[#This Row],[monthly_EMI]]/Table1[[#This Row],[monthly_income]])*100</f>
        <v>30</v>
      </c>
      <c r="X194" s="7">
        <v>26125.55</v>
      </c>
    </row>
    <row r="195" spans="1:24" x14ac:dyDescent="0.25">
      <c r="A195" s="1" t="s">
        <v>444</v>
      </c>
      <c r="B195" s="2" t="s">
        <v>790</v>
      </c>
      <c r="C195" s="5">
        <v>50</v>
      </c>
      <c r="D195" s="1" t="s">
        <v>15</v>
      </c>
      <c r="E195" s="1" t="s">
        <v>16</v>
      </c>
      <c r="F195" s="1" t="s">
        <v>17</v>
      </c>
      <c r="G195" s="1">
        <f>YEAR(Table1[[#This Row],[Application_Date]])</f>
        <v>2024</v>
      </c>
      <c r="H195" s="1" t="str">
        <f>TEXT(Table1[[#This Row],[EMI_payment_date]],"mmmm")</f>
        <v>November</v>
      </c>
      <c r="I195" s="3">
        <v>45575</v>
      </c>
      <c r="J195" s="3">
        <f>EDATE(Table1[[#This Row],[Application_Date]],1)</f>
        <v>45606</v>
      </c>
      <c r="K195" s="9">
        <v>5592000</v>
      </c>
      <c r="L195" s="9">
        <f>Table1[[#This Row],[Annual_Income]]/12</f>
        <v>466000</v>
      </c>
      <c r="M195" s="9">
        <v>5792000</v>
      </c>
      <c r="N195" s="5">
        <f ca="1">DATEDIF(Table1[[#This Row],[EMI_payment_date]],TODAY(),"m")</f>
        <v>20</v>
      </c>
      <c r="O195" s="9">
        <f ca="1">Table1[[#This Row],[month_paid]]*Table1[[#This Row],[monthly_EMI]]</f>
        <v>2796000</v>
      </c>
      <c r="P195" s="1">
        <v>7.13</v>
      </c>
      <c r="Q195" s="9">
        <f>Table1[[#This Row],[monthly_income]]*30%</f>
        <v>139800</v>
      </c>
      <c r="R195" s="1">
        <f>ROUNDUP(NPER(P195/100/12,-Q195,Table1[[#This Row],[Loan_Amount]]),0)</f>
        <v>48</v>
      </c>
      <c r="S195" s="1">
        <v>815</v>
      </c>
      <c r="T195" s="1" t="s">
        <v>20</v>
      </c>
      <c r="U195" s="1" t="str">
        <f>IF(Table1[[#This Row],[Repayment_Status]]="late","bad loan","good loan")</f>
        <v>good loan</v>
      </c>
      <c r="V195" s="1" t="str">
        <f>IF(Table1[[#This Row],[Repayment_Status]]="late","high","low")</f>
        <v>low</v>
      </c>
      <c r="W195" s="1">
        <f>(Table1[[#This Row],[monthly_EMI]]/Table1[[#This Row],[monthly_income]])*100</f>
        <v>30</v>
      </c>
      <c r="X195" s="7">
        <v>20217</v>
      </c>
    </row>
    <row r="196" spans="1:24" x14ac:dyDescent="0.25">
      <c r="A196" s="1" t="s">
        <v>635</v>
      </c>
      <c r="B196" s="2" t="s">
        <v>787</v>
      </c>
      <c r="C196" s="5">
        <v>49</v>
      </c>
      <c r="D196" s="1" t="s">
        <v>26</v>
      </c>
      <c r="E196" s="1" t="s">
        <v>29</v>
      </c>
      <c r="F196" s="1" t="s">
        <v>19</v>
      </c>
      <c r="G196" s="1">
        <f>YEAR(Table1[[#This Row],[Application_Date]])</f>
        <v>2024</v>
      </c>
      <c r="H196" s="1" t="str">
        <f>TEXT(Table1[[#This Row],[EMI_payment_date]],"mmmm")</f>
        <v>November</v>
      </c>
      <c r="I196" s="3">
        <v>45576</v>
      </c>
      <c r="J196" s="3">
        <f>EDATE(Table1[[#This Row],[Application_Date]],1)</f>
        <v>45607</v>
      </c>
      <c r="K196" s="9">
        <v>7884000</v>
      </c>
      <c r="L196" s="9">
        <f>Table1[[#This Row],[Annual_Income]]/12</f>
        <v>657000</v>
      </c>
      <c r="M196" s="9">
        <v>8084000</v>
      </c>
      <c r="N196" s="5">
        <f ca="1">DATEDIF(Table1[[#This Row],[EMI_payment_date]],TODAY(),"m")</f>
        <v>20</v>
      </c>
      <c r="O196" s="9">
        <f ca="1">Table1[[#This Row],[month_paid]]*Table1[[#This Row],[monthly_EMI]]</f>
        <v>3942000</v>
      </c>
      <c r="P196" s="1">
        <v>9.49</v>
      </c>
      <c r="Q196" s="9">
        <f>Table1[[#This Row],[monthly_income]]*30%</f>
        <v>197100</v>
      </c>
      <c r="R196" s="1">
        <f>ROUNDUP(NPER(P196/100/12,-Q196,Table1[[#This Row],[Loan_Amount]]),0)</f>
        <v>50</v>
      </c>
      <c r="S196" s="1">
        <v>813</v>
      </c>
      <c r="T196" s="1" t="s">
        <v>20</v>
      </c>
      <c r="U196" s="1" t="str">
        <f>IF(Table1[[#This Row],[Repayment_Status]]="late","bad loan","good loan")</f>
        <v>good loan</v>
      </c>
      <c r="V196" s="1" t="str">
        <f>IF(Table1[[#This Row],[Repayment_Status]]="late","high","low")</f>
        <v>low</v>
      </c>
      <c r="W196" s="1">
        <f>(Table1[[#This Row],[monthly_EMI]]/Table1[[#This Row],[monthly_income]])*100</f>
        <v>30</v>
      </c>
      <c r="X196" s="7">
        <v>41054.5</v>
      </c>
    </row>
    <row r="197" spans="1:24" x14ac:dyDescent="0.25">
      <c r="A197" s="1" t="s">
        <v>564</v>
      </c>
      <c r="B197" s="2" t="s">
        <v>879</v>
      </c>
      <c r="C197" s="5">
        <v>40</v>
      </c>
      <c r="D197" s="1" t="s">
        <v>15</v>
      </c>
      <c r="E197" s="1" t="s">
        <v>29</v>
      </c>
      <c r="F197" s="1" t="s">
        <v>17</v>
      </c>
      <c r="G197" s="1">
        <f>YEAR(Table1[[#This Row],[Application_Date]])</f>
        <v>2024</v>
      </c>
      <c r="H197" s="1" t="str">
        <f>TEXT(Table1[[#This Row],[EMI_payment_date]],"mmmm")</f>
        <v>November</v>
      </c>
      <c r="I197" s="3">
        <v>45577</v>
      </c>
      <c r="J197" s="3">
        <f>EDATE(Table1[[#This Row],[Application_Date]],1)</f>
        <v>45608</v>
      </c>
      <c r="K197" s="9">
        <v>7032000</v>
      </c>
      <c r="L197" s="9">
        <f>Table1[[#This Row],[Annual_Income]]/12</f>
        <v>586000</v>
      </c>
      <c r="M197" s="9">
        <v>7232000</v>
      </c>
      <c r="N197" s="5">
        <f ca="1">DATEDIF(Table1[[#This Row],[EMI_payment_date]],TODAY(),"m")</f>
        <v>20</v>
      </c>
      <c r="O197" s="9">
        <f ca="1">Table1[[#This Row],[month_paid]]*Table1[[#This Row],[monthly_EMI]]</f>
        <v>3516000</v>
      </c>
      <c r="P197" s="1">
        <v>5.36</v>
      </c>
      <c r="Q197" s="9">
        <f>Table1[[#This Row],[monthly_income]]*30%</f>
        <v>175800</v>
      </c>
      <c r="R197" s="1">
        <f>ROUNDUP(NPER(P197/100/12,-Q197,Table1[[#This Row],[Loan_Amount]]),0)</f>
        <v>46</v>
      </c>
      <c r="S197" s="1">
        <v>645</v>
      </c>
      <c r="T197" s="1" t="s">
        <v>20</v>
      </c>
      <c r="U197" s="1" t="str">
        <f>IF(Table1[[#This Row],[Repayment_Status]]="late","bad loan","good loan")</f>
        <v>good loan</v>
      </c>
      <c r="V197" s="1" t="str">
        <f>IF(Table1[[#This Row],[Repayment_Status]]="late","high","low")</f>
        <v>low</v>
      </c>
      <c r="W197" s="1">
        <f>(Table1[[#This Row],[monthly_EMI]]/Table1[[#This Row],[monthly_income]])*100</f>
        <v>30</v>
      </c>
      <c r="X197" s="7">
        <v>23403.93</v>
      </c>
    </row>
    <row r="198" spans="1:24" x14ac:dyDescent="0.25">
      <c r="A198" s="1" t="s">
        <v>592</v>
      </c>
      <c r="B198" s="2" t="s">
        <v>797</v>
      </c>
      <c r="C198" s="5">
        <v>47</v>
      </c>
      <c r="D198" s="1" t="s">
        <v>15</v>
      </c>
      <c r="E198" s="1" t="s">
        <v>16</v>
      </c>
      <c r="F198" s="1" t="s">
        <v>31</v>
      </c>
      <c r="G198" s="1">
        <f>YEAR(Table1[[#This Row],[Application_Date]])</f>
        <v>2024</v>
      </c>
      <c r="H198" s="1" t="str">
        <f>TEXT(Table1[[#This Row],[EMI_payment_date]],"mmmm")</f>
        <v>November</v>
      </c>
      <c r="I198" s="3">
        <v>45578</v>
      </c>
      <c r="J198" s="3">
        <f>EDATE(Table1[[#This Row],[Application_Date]],1)</f>
        <v>45609</v>
      </c>
      <c r="K198" s="9">
        <v>7368000</v>
      </c>
      <c r="L198" s="9">
        <f>Table1[[#This Row],[Annual_Income]]/12</f>
        <v>614000</v>
      </c>
      <c r="M198" s="9">
        <v>7568000</v>
      </c>
      <c r="N198" s="5">
        <f ca="1">DATEDIF(Table1[[#This Row],[EMI_payment_date]],TODAY(),"m")</f>
        <v>20</v>
      </c>
      <c r="O198" s="9">
        <f ca="1">Table1[[#This Row],[month_paid]]*Table1[[#This Row],[monthly_EMI]]</f>
        <v>3684000</v>
      </c>
      <c r="P198" s="1">
        <v>8.33</v>
      </c>
      <c r="Q198" s="9">
        <f>Table1[[#This Row],[monthly_income]]*30%</f>
        <v>184200</v>
      </c>
      <c r="R198" s="1">
        <f>ROUNDUP(NPER(P198/100/12,-Q198,Table1[[#This Row],[Loan_Amount]]),0)</f>
        <v>49</v>
      </c>
      <c r="S198" s="1">
        <v>650</v>
      </c>
      <c r="T198" s="1" t="s">
        <v>20</v>
      </c>
      <c r="U198" s="1" t="str">
        <f>IF(Table1[[#This Row],[Repayment_Status]]="late","bad loan","good loan")</f>
        <v>good loan</v>
      </c>
      <c r="V198" s="1" t="str">
        <f>IF(Table1[[#This Row],[Repayment_Status]]="late","high","low")</f>
        <v>low</v>
      </c>
      <c r="W198" s="1">
        <f>(Table1[[#This Row],[monthly_EMI]]/Table1[[#This Row],[monthly_income]])*100</f>
        <v>30</v>
      </c>
      <c r="X198" s="7">
        <v>17306.419999999998</v>
      </c>
    </row>
    <row r="199" spans="1:24" x14ac:dyDescent="0.25">
      <c r="A199" s="1" t="s">
        <v>147</v>
      </c>
      <c r="B199" s="2" t="s">
        <v>804</v>
      </c>
      <c r="C199" s="5">
        <v>60</v>
      </c>
      <c r="D199" s="1" t="s">
        <v>15</v>
      </c>
      <c r="E199" s="1" t="s">
        <v>24</v>
      </c>
      <c r="F199" s="1" t="s">
        <v>17</v>
      </c>
      <c r="G199" s="1">
        <f>YEAR(Table1[[#This Row],[Application_Date]])</f>
        <v>2024</v>
      </c>
      <c r="H199" s="1" t="str">
        <f>TEXT(Table1[[#This Row],[EMI_payment_date]],"mmmm")</f>
        <v>November</v>
      </c>
      <c r="I199" s="3">
        <v>45579</v>
      </c>
      <c r="J199" s="3">
        <f>EDATE(Table1[[#This Row],[Application_Date]],1)</f>
        <v>45610</v>
      </c>
      <c r="K199" s="9">
        <v>2028000</v>
      </c>
      <c r="L199" s="9">
        <f>Table1[[#This Row],[Annual_Income]]/12</f>
        <v>169000</v>
      </c>
      <c r="M199" s="9">
        <v>2228000</v>
      </c>
      <c r="N199" s="5">
        <f ca="1">DATEDIF(Table1[[#This Row],[EMI_payment_date]],TODAY(),"m")</f>
        <v>20</v>
      </c>
      <c r="O199" s="9">
        <f ca="1">Table1[[#This Row],[month_paid]]*Table1[[#This Row],[monthly_EMI]]</f>
        <v>1014000</v>
      </c>
      <c r="P199" s="1">
        <v>5.18</v>
      </c>
      <c r="Q199" s="9">
        <f>Table1[[#This Row],[monthly_income]]*30%</f>
        <v>50700</v>
      </c>
      <c r="R199" s="1">
        <f>ROUNDUP(NPER(P199/100/12,-Q199,Table1[[#This Row],[Loan_Amount]]),0)</f>
        <v>49</v>
      </c>
      <c r="S199" s="1">
        <v>604</v>
      </c>
      <c r="T199" s="1" t="s">
        <v>20</v>
      </c>
      <c r="U199" s="1" t="str">
        <f>IF(Table1[[#This Row],[Repayment_Status]]="late","bad loan","good loan")</f>
        <v>good loan</v>
      </c>
      <c r="V199" s="1" t="str">
        <f>IF(Table1[[#This Row],[Repayment_Status]]="late","high","low")</f>
        <v>low</v>
      </c>
      <c r="W199" s="1">
        <f>(Table1[[#This Row],[monthly_EMI]]/Table1[[#This Row],[monthly_income]])*100</f>
        <v>30</v>
      </c>
      <c r="X199" s="7">
        <v>8594.4</v>
      </c>
    </row>
    <row r="200" spans="1:24" x14ac:dyDescent="0.25">
      <c r="A200" s="1" t="s">
        <v>508</v>
      </c>
      <c r="B200" s="2" t="s">
        <v>869</v>
      </c>
      <c r="C200" s="5">
        <v>58</v>
      </c>
      <c r="D200" s="1" t="s">
        <v>26</v>
      </c>
      <c r="E200" s="1" t="s">
        <v>29</v>
      </c>
      <c r="F200" s="1" t="s">
        <v>17</v>
      </c>
      <c r="G200" s="1">
        <f>YEAR(Table1[[#This Row],[Application_Date]])</f>
        <v>2024</v>
      </c>
      <c r="H200" s="1" t="str">
        <f>TEXT(Table1[[#This Row],[EMI_payment_date]],"mmmm")</f>
        <v>November</v>
      </c>
      <c r="I200" s="3">
        <v>45580</v>
      </c>
      <c r="J200" s="3">
        <f>EDATE(Table1[[#This Row],[Application_Date]],1)</f>
        <v>45611</v>
      </c>
      <c r="K200" s="9">
        <v>6360000</v>
      </c>
      <c r="L200" s="9">
        <f>Table1[[#This Row],[Annual_Income]]/12</f>
        <v>530000</v>
      </c>
      <c r="M200" s="9">
        <v>6560000</v>
      </c>
      <c r="N200" s="5">
        <f ca="1">DATEDIF(Table1[[#This Row],[EMI_payment_date]],TODAY(),"m")</f>
        <v>20</v>
      </c>
      <c r="O200" s="9">
        <f ca="1">Table1[[#This Row],[month_paid]]*Table1[[#This Row],[monthly_EMI]]</f>
        <v>3180000</v>
      </c>
      <c r="P200" s="1">
        <v>8.57</v>
      </c>
      <c r="Q200" s="9">
        <f>Table1[[#This Row],[monthly_income]]*30%</f>
        <v>159000</v>
      </c>
      <c r="R200" s="1">
        <f>ROUNDUP(NPER(P200/100/12,-Q200,Table1[[#This Row],[Loan_Amount]]),0)</f>
        <v>50</v>
      </c>
      <c r="S200" s="1">
        <v>712</v>
      </c>
      <c r="T200" s="1" t="s">
        <v>37</v>
      </c>
      <c r="U200" s="1" t="str">
        <f>IF(Table1[[#This Row],[Repayment_Status]]="late","bad loan","good loan")</f>
        <v>bad loan</v>
      </c>
      <c r="V200" s="1" t="str">
        <f>IF(Table1[[#This Row],[Repayment_Status]]="late","high","low")</f>
        <v>high</v>
      </c>
      <c r="W200" s="1">
        <f>(Table1[[#This Row],[monthly_EMI]]/Table1[[#This Row],[monthly_income]])*100</f>
        <v>30</v>
      </c>
      <c r="X200" s="7">
        <v>30857.5</v>
      </c>
    </row>
    <row r="201" spans="1:24" x14ac:dyDescent="0.25">
      <c r="A201" s="1" t="s">
        <v>252</v>
      </c>
      <c r="B201" s="2" t="s">
        <v>870</v>
      </c>
      <c r="C201" s="5">
        <v>43</v>
      </c>
      <c r="D201" s="1" t="s">
        <v>15</v>
      </c>
      <c r="E201" s="1" t="s">
        <v>24</v>
      </c>
      <c r="F201" s="1" t="s">
        <v>51</v>
      </c>
      <c r="G201" s="1">
        <f>YEAR(Table1[[#This Row],[Application_Date]])</f>
        <v>2024</v>
      </c>
      <c r="H201" s="1" t="str">
        <f>TEXT(Table1[[#This Row],[EMI_payment_date]],"mmmm")</f>
        <v>November</v>
      </c>
      <c r="I201" s="3">
        <v>45581</v>
      </c>
      <c r="J201" s="3">
        <f>EDATE(Table1[[#This Row],[Application_Date]],1)</f>
        <v>45612</v>
      </c>
      <c r="K201" s="9">
        <v>3288000</v>
      </c>
      <c r="L201" s="9">
        <f>Table1[[#This Row],[Annual_Income]]/12</f>
        <v>274000</v>
      </c>
      <c r="M201" s="9">
        <v>3488000</v>
      </c>
      <c r="N201" s="5">
        <f ca="1">DATEDIF(Table1[[#This Row],[EMI_payment_date]],TODAY(),"m")</f>
        <v>20</v>
      </c>
      <c r="O201" s="9">
        <f ca="1">Table1[[#This Row],[month_paid]]*Table1[[#This Row],[monthly_EMI]]</f>
        <v>1644000</v>
      </c>
      <c r="P201" s="1">
        <v>8.1300000000000008</v>
      </c>
      <c r="Q201" s="9">
        <f>Table1[[#This Row],[monthly_income]]*30%</f>
        <v>82200</v>
      </c>
      <c r="R201" s="1">
        <f>ROUNDUP(NPER(P201/100/12,-Q201,Table1[[#This Row],[Loan_Amount]]),0)</f>
        <v>51</v>
      </c>
      <c r="S201" s="1">
        <v>803</v>
      </c>
      <c r="T201" s="1" t="s">
        <v>37</v>
      </c>
      <c r="U201" s="1" t="str">
        <f>IF(Table1[[#This Row],[Repayment_Status]]="late","bad loan","good loan")</f>
        <v>bad loan</v>
      </c>
      <c r="V201" s="1" t="str">
        <f>IF(Table1[[#This Row],[Repayment_Status]]="late","high","low")</f>
        <v>high</v>
      </c>
      <c r="W201" s="1">
        <f>(Table1[[#This Row],[monthly_EMI]]/Table1[[#This Row],[monthly_income]])*100</f>
        <v>30</v>
      </c>
      <c r="X201" s="7">
        <v>20394.46</v>
      </c>
    </row>
    <row r="202" spans="1:24" x14ac:dyDescent="0.25">
      <c r="A202" s="1" t="s">
        <v>40</v>
      </c>
      <c r="B202" s="2" t="s">
        <v>741</v>
      </c>
      <c r="C202" s="5">
        <v>34</v>
      </c>
      <c r="D202" s="1" t="s">
        <v>15</v>
      </c>
      <c r="E202" s="1" t="s">
        <v>29</v>
      </c>
      <c r="F202" s="1" t="s">
        <v>19</v>
      </c>
      <c r="G202" s="1">
        <f>YEAR(Table1[[#This Row],[Application_Date]])</f>
        <v>2024</v>
      </c>
      <c r="H202" s="1" t="str">
        <f>TEXT(Table1[[#This Row],[EMI_payment_date]],"mmmm")</f>
        <v>November</v>
      </c>
      <c r="I202" s="3">
        <v>45582</v>
      </c>
      <c r="J202" s="3">
        <f>EDATE(Table1[[#This Row],[Application_Date]],1)</f>
        <v>45613</v>
      </c>
      <c r="K202" s="9">
        <v>744000</v>
      </c>
      <c r="L202" s="9">
        <f>Table1[[#This Row],[Annual_Income]]/12</f>
        <v>62000</v>
      </c>
      <c r="M202" s="9">
        <v>944000</v>
      </c>
      <c r="N202" s="5">
        <f ca="1">DATEDIF(Table1[[#This Row],[EMI_payment_date]],TODAY(),"m")</f>
        <v>20</v>
      </c>
      <c r="O202" s="9">
        <f ca="1">Table1[[#This Row],[month_paid]]*Table1[[#This Row],[monthly_EMI]]</f>
        <v>372000</v>
      </c>
      <c r="P202" s="1">
        <v>8.7100000000000009</v>
      </c>
      <c r="Q202" s="9">
        <f>Table1[[#This Row],[monthly_income]]*30%</f>
        <v>18600</v>
      </c>
      <c r="R202" s="1">
        <f>ROUNDUP(NPER(P202/100/12,-Q202,Table1[[#This Row],[Loan_Amount]]),0)</f>
        <v>64</v>
      </c>
      <c r="S202" s="1">
        <v>740</v>
      </c>
      <c r="T202" s="1" t="s">
        <v>37</v>
      </c>
      <c r="U202" s="1" t="str">
        <f>IF(Table1[[#This Row],[Repayment_Status]]="late","bad loan","good loan")</f>
        <v>bad loan</v>
      </c>
      <c r="V202" s="1" t="str">
        <f>IF(Table1[[#This Row],[Repayment_Status]]="late","high","low")</f>
        <v>high</v>
      </c>
      <c r="W202" s="1">
        <f>(Table1[[#This Row],[monthly_EMI]]/Table1[[#This Row],[monthly_income]])*100</f>
        <v>30</v>
      </c>
      <c r="X202" s="7">
        <v>35146.68</v>
      </c>
    </row>
    <row r="203" spans="1:24" x14ac:dyDescent="0.25">
      <c r="A203" s="1" t="s">
        <v>490</v>
      </c>
      <c r="B203" s="2" t="s">
        <v>847</v>
      </c>
      <c r="C203" s="5">
        <v>50</v>
      </c>
      <c r="D203" s="1" t="s">
        <v>15</v>
      </c>
      <c r="E203" s="1" t="s">
        <v>16</v>
      </c>
      <c r="F203" s="1" t="s">
        <v>51</v>
      </c>
      <c r="G203" s="1">
        <f>YEAR(Table1[[#This Row],[Application_Date]])</f>
        <v>2024</v>
      </c>
      <c r="H203" s="1" t="str">
        <f>TEXT(Table1[[#This Row],[EMI_payment_date]],"mmmm")</f>
        <v>November</v>
      </c>
      <c r="I203" s="3">
        <v>45583</v>
      </c>
      <c r="J203" s="3">
        <f>EDATE(Table1[[#This Row],[Application_Date]],1)</f>
        <v>45614</v>
      </c>
      <c r="K203" s="9">
        <v>6144000</v>
      </c>
      <c r="L203" s="9">
        <f>Table1[[#This Row],[Annual_Income]]/12</f>
        <v>512000</v>
      </c>
      <c r="M203" s="9">
        <v>6344000</v>
      </c>
      <c r="N203" s="5">
        <f ca="1">DATEDIF(Table1[[#This Row],[EMI_payment_date]],TODAY(),"m")</f>
        <v>20</v>
      </c>
      <c r="O203" s="9">
        <f ca="1">Table1[[#This Row],[month_paid]]*Table1[[#This Row],[monthly_EMI]]</f>
        <v>3072000</v>
      </c>
      <c r="P203" s="1">
        <v>5.77</v>
      </c>
      <c r="Q203" s="9">
        <f>Table1[[#This Row],[monthly_income]]*30%</f>
        <v>153600</v>
      </c>
      <c r="R203" s="1">
        <f>ROUNDUP(NPER(P203/100/12,-Q203,Table1[[#This Row],[Loan_Amount]]),0)</f>
        <v>47</v>
      </c>
      <c r="S203" s="1">
        <v>813</v>
      </c>
      <c r="T203" s="1" t="s">
        <v>20</v>
      </c>
      <c r="U203" s="1" t="str">
        <f>IF(Table1[[#This Row],[Repayment_Status]]="late","bad loan","good loan")</f>
        <v>good loan</v>
      </c>
      <c r="V203" s="1" t="str">
        <f>IF(Table1[[#This Row],[Repayment_Status]]="late","high","low")</f>
        <v>low</v>
      </c>
      <c r="W203" s="1">
        <f>(Table1[[#This Row],[monthly_EMI]]/Table1[[#This Row],[monthly_income]])*100</f>
        <v>30</v>
      </c>
      <c r="X203" s="7">
        <v>18986.16</v>
      </c>
    </row>
    <row r="204" spans="1:24" x14ac:dyDescent="0.25">
      <c r="A204" s="1" t="s">
        <v>544</v>
      </c>
      <c r="B204" s="2" t="s">
        <v>789</v>
      </c>
      <c r="C204" s="5">
        <v>39</v>
      </c>
      <c r="D204" s="1" t="s">
        <v>15</v>
      </c>
      <c r="E204" s="1" t="s">
        <v>29</v>
      </c>
      <c r="F204" s="1" t="s">
        <v>19</v>
      </c>
      <c r="G204" s="1">
        <f>YEAR(Table1[[#This Row],[Application_Date]])</f>
        <v>2024</v>
      </c>
      <c r="H204" s="1" t="str">
        <f>TEXT(Table1[[#This Row],[EMI_payment_date]],"mmmm")</f>
        <v>November</v>
      </c>
      <c r="I204" s="3">
        <v>45584</v>
      </c>
      <c r="J204" s="3">
        <f>EDATE(Table1[[#This Row],[Application_Date]],1)</f>
        <v>45615</v>
      </c>
      <c r="K204" s="9">
        <v>6792000</v>
      </c>
      <c r="L204" s="9">
        <f>Table1[[#This Row],[Annual_Income]]/12</f>
        <v>566000</v>
      </c>
      <c r="M204" s="9">
        <v>6992000</v>
      </c>
      <c r="N204" s="5">
        <f ca="1">DATEDIF(Table1[[#This Row],[EMI_payment_date]],TODAY(),"m")</f>
        <v>20</v>
      </c>
      <c r="O204" s="9">
        <f ca="1">Table1[[#This Row],[month_paid]]*Table1[[#This Row],[monthly_EMI]]</f>
        <v>3396000</v>
      </c>
      <c r="P204" s="1">
        <v>9.6199999999999992</v>
      </c>
      <c r="Q204" s="9">
        <f>Table1[[#This Row],[monthly_income]]*30%</f>
        <v>169800</v>
      </c>
      <c r="R204" s="1">
        <f>ROUNDUP(NPER(P204/100/12,-Q204,Table1[[#This Row],[Loan_Amount]]),0)</f>
        <v>51</v>
      </c>
      <c r="S204" s="1">
        <v>684</v>
      </c>
      <c r="T204" s="1" t="s">
        <v>37</v>
      </c>
      <c r="U204" s="1" t="str">
        <f>IF(Table1[[#This Row],[Repayment_Status]]="late","bad loan","good loan")</f>
        <v>bad loan</v>
      </c>
      <c r="V204" s="1" t="str">
        <f>IF(Table1[[#This Row],[Repayment_Status]]="late","high","low")</f>
        <v>high</v>
      </c>
      <c r="W204" s="1">
        <f>(Table1[[#This Row],[monthly_EMI]]/Table1[[#This Row],[monthly_income]])*100</f>
        <v>30</v>
      </c>
      <c r="X204" s="7">
        <v>40679.71</v>
      </c>
    </row>
    <row r="205" spans="1:24" x14ac:dyDescent="0.25">
      <c r="A205" s="1" t="s">
        <v>340</v>
      </c>
      <c r="B205" s="2" t="s">
        <v>832</v>
      </c>
      <c r="C205" s="5">
        <v>36</v>
      </c>
      <c r="D205" s="1" t="s">
        <v>15</v>
      </c>
      <c r="E205" s="1" t="s">
        <v>27</v>
      </c>
      <c r="F205" s="1" t="s">
        <v>51</v>
      </c>
      <c r="G205" s="1">
        <f>YEAR(Table1[[#This Row],[Application_Date]])</f>
        <v>2024</v>
      </c>
      <c r="H205" s="1" t="str">
        <f>TEXT(Table1[[#This Row],[EMI_payment_date]],"mmmm")</f>
        <v>November</v>
      </c>
      <c r="I205" s="3">
        <v>45585</v>
      </c>
      <c r="J205" s="3">
        <f>EDATE(Table1[[#This Row],[Application_Date]],1)</f>
        <v>45616</v>
      </c>
      <c r="K205" s="9">
        <v>4344000</v>
      </c>
      <c r="L205" s="9">
        <f>Table1[[#This Row],[Annual_Income]]/12</f>
        <v>362000</v>
      </c>
      <c r="M205" s="9">
        <v>4544000</v>
      </c>
      <c r="N205" s="5">
        <f ca="1">DATEDIF(Table1[[#This Row],[EMI_payment_date]],TODAY(),"m")</f>
        <v>20</v>
      </c>
      <c r="O205" s="9">
        <f ca="1">Table1[[#This Row],[month_paid]]*Table1[[#This Row],[monthly_EMI]]</f>
        <v>2172000</v>
      </c>
      <c r="P205" s="1">
        <v>5.48</v>
      </c>
      <c r="Q205" s="9">
        <f>Table1[[#This Row],[monthly_income]]*30%</f>
        <v>108600</v>
      </c>
      <c r="R205" s="1">
        <f>ROUNDUP(NPER(P205/100/12,-Q205,Table1[[#This Row],[Loan_Amount]]),0)</f>
        <v>47</v>
      </c>
      <c r="S205" s="1">
        <v>637</v>
      </c>
      <c r="T205" s="1" t="s">
        <v>20</v>
      </c>
      <c r="U205" s="1" t="str">
        <f>IF(Table1[[#This Row],[Repayment_Status]]="late","bad loan","good loan")</f>
        <v>good loan</v>
      </c>
      <c r="V205" s="1" t="str">
        <f>IF(Table1[[#This Row],[Repayment_Status]]="late","high","low")</f>
        <v>low</v>
      </c>
      <c r="W205" s="1">
        <f>(Table1[[#This Row],[monthly_EMI]]/Table1[[#This Row],[monthly_income]])*100</f>
        <v>30</v>
      </c>
      <c r="X205" s="7">
        <v>17795.07</v>
      </c>
    </row>
    <row r="206" spans="1:24" x14ac:dyDescent="0.25">
      <c r="A206" s="1" t="s">
        <v>376</v>
      </c>
      <c r="B206" s="2" t="s">
        <v>893</v>
      </c>
      <c r="C206" s="5">
        <v>24</v>
      </c>
      <c r="D206" s="1" t="s">
        <v>26</v>
      </c>
      <c r="E206" s="1" t="s">
        <v>29</v>
      </c>
      <c r="F206" s="1" t="s">
        <v>31</v>
      </c>
      <c r="G206" s="1">
        <f>YEAR(Table1[[#This Row],[Application_Date]])</f>
        <v>2024</v>
      </c>
      <c r="H206" s="1" t="str">
        <f>TEXT(Table1[[#This Row],[EMI_payment_date]],"mmmm")</f>
        <v>November</v>
      </c>
      <c r="I206" s="3">
        <v>45586</v>
      </c>
      <c r="J206" s="3">
        <f>EDATE(Table1[[#This Row],[Application_Date]],1)</f>
        <v>45617</v>
      </c>
      <c r="K206" s="9">
        <v>4776000</v>
      </c>
      <c r="L206" s="9">
        <f>Table1[[#This Row],[Annual_Income]]/12</f>
        <v>398000</v>
      </c>
      <c r="M206" s="9">
        <v>4976000</v>
      </c>
      <c r="N206" s="5">
        <f ca="1">DATEDIF(Table1[[#This Row],[EMI_payment_date]],TODAY(),"m")</f>
        <v>20</v>
      </c>
      <c r="O206" s="9">
        <f ca="1">Table1[[#This Row],[month_paid]]*Table1[[#This Row],[monthly_EMI]]</f>
        <v>2388000</v>
      </c>
      <c r="P206" s="1">
        <v>5</v>
      </c>
      <c r="Q206" s="9">
        <f>Table1[[#This Row],[monthly_income]]*30%</f>
        <v>119400</v>
      </c>
      <c r="R206" s="1">
        <f>ROUNDUP(NPER(P206/100/12,-Q206,Table1[[#This Row],[Loan_Amount]]),0)</f>
        <v>46</v>
      </c>
      <c r="S206" s="1">
        <v>766</v>
      </c>
      <c r="T206" s="1" t="s">
        <v>20</v>
      </c>
      <c r="U206" s="1" t="str">
        <f>IF(Table1[[#This Row],[Repayment_Status]]="late","bad loan","good loan")</f>
        <v>good loan</v>
      </c>
      <c r="V206" s="1" t="str">
        <f>IF(Table1[[#This Row],[Repayment_Status]]="late","high","low")</f>
        <v>low</v>
      </c>
      <c r="W206" s="1">
        <f>(Table1[[#This Row],[monthly_EMI]]/Table1[[#This Row],[monthly_income]])*100</f>
        <v>30</v>
      </c>
      <c r="X206" s="7">
        <v>16302.26</v>
      </c>
    </row>
    <row r="207" spans="1:24" x14ac:dyDescent="0.25">
      <c r="A207" s="1" t="s">
        <v>502</v>
      </c>
      <c r="B207" s="2" t="s">
        <v>898</v>
      </c>
      <c r="C207" s="5">
        <v>22</v>
      </c>
      <c r="D207" s="1" t="s">
        <v>26</v>
      </c>
      <c r="E207" s="1" t="s">
        <v>36</v>
      </c>
      <c r="F207" s="1" t="s">
        <v>51</v>
      </c>
      <c r="G207" s="1">
        <f>YEAR(Table1[[#This Row],[Application_Date]])</f>
        <v>2024</v>
      </c>
      <c r="H207" s="1" t="str">
        <f>TEXT(Table1[[#This Row],[EMI_payment_date]],"mmmm")</f>
        <v>November</v>
      </c>
      <c r="I207" s="3">
        <v>45587</v>
      </c>
      <c r="J207" s="3">
        <f>EDATE(Table1[[#This Row],[Application_Date]],1)</f>
        <v>45618</v>
      </c>
      <c r="K207" s="9">
        <v>6288000</v>
      </c>
      <c r="L207" s="9">
        <f>Table1[[#This Row],[Annual_Income]]/12</f>
        <v>524000</v>
      </c>
      <c r="M207" s="9">
        <v>6488000</v>
      </c>
      <c r="N207" s="5">
        <f ca="1">DATEDIF(Table1[[#This Row],[EMI_payment_date]],TODAY(),"m")</f>
        <v>20</v>
      </c>
      <c r="O207" s="9">
        <f ca="1">Table1[[#This Row],[month_paid]]*Table1[[#This Row],[monthly_EMI]]</f>
        <v>3144000</v>
      </c>
      <c r="P207" s="1">
        <v>9.6999999999999993</v>
      </c>
      <c r="Q207" s="9">
        <f>Table1[[#This Row],[monthly_income]]*30%</f>
        <v>157200</v>
      </c>
      <c r="R207" s="1">
        <f>ROUNDUP(NPER(P207/100/12,-Q207,Table1[[#This Row],[Loan_Amount]]),0)</f>
        <v>51</v>
      </c>
      <c r="S207" s="1">
        <v>752</v>
      </c>
      <c r="T207" s="1" t="s">
        <v>20</v>
      </c>
      <c r="U207" s="1" t="str">
        <f>IF(Table1[[#This Row],[Repayment_Status]]="late","bad loan","good loan")</f>
        <v>good loan</v>
      </c>
      <c r="V207" s="1" t="str">
        <f>IF(Table1[[#This Row],[Repayment_Status]]="late","high","low")</f>
        <v>low</v>
      </c>
      <c r="W207" s="1">
        <f>(Table1[[#This Row],[monthly_EMI]]/Table1[[#This Row],[monthly_income]])*100</f>
        <v>30</v>
      </c>
      <c r="X207" s="7">
        <v>27137.65</v>
      </c>
    </row>
    <row r="208" spans="1:24" x14ac:dyDescent="0.25">
      <c r="A208" s="1" t="s">
        <v>531</v>
      </c>
      <c r="B208" s="2" t="s">
        <v>764</v>
      </c>
      <c r="C208" s="5">
        <v>60</v>
      </c>
      <c r="D208" s="1" t="s">
        <v>26</v>
      </c>
      <c r="E208" s="1" t="s">
        <v>33</v>
      </c>
      <c r="F208" s="1" t="s">
        <v>17</v>
      </c>
      <c r="G208" s="1">
        <f>YEAR(Table1[[#This Row],[Application_Date]])</f>
        <v>2024</v>
      </c>
      <c r="H208" s="1" t="str">
        <f>TEXT(Table1[[#This Row],[EMI_payment_date]],"mmmm")</f>
        <v>November</v>
      </c>
      <c r="I208" s="3">
        <v>45588</v>
      </c>
      <c r="J208" s="3">
        <f>EDATE(Table1[[#This Row],[Application_Date]],1)</f>
        <v>45619</v>
      </c>
      <c r="K208" s="9">
        <v>6636000</v>
      </c>
      <c r="L208" s="9">
        <f>Table1[[#This Row],[Annual_Income]]/12</f>
        <v>553000</v>
      </c>
      <c r="M208" s="9">
        <v>6836000</v>
      </c>
      <c r="N208" s="5">
        <f ca="1">DATEDIF(Table1[[#This Row],[EMI_payment_date]],TODAY(),"m")</f>
        <v>20</v>
      </c>
      <c r="O208" s="9">
        <f ca="1">Table1[[#This Row],[month_paid]]*Table1[[#This Row],[monthly_EMI]]</f>
        <v>3318000</v>
      </c>
      <c r="P208" s="1">
        <v>6.6</v>
      </c>
      <c r="Q208" s="9">
        <f>Table1[[#This Row],[monthly_income]]*30%</f>
        <v>165900</v>
      </c>
      <c r="R208" s="1">
        <f>ROUNDUP(NPER(P208/100/12,-Q208,Table1[[#This Row],[Loan_Amount]]),0)</f>
        <v>47</v>
      </c>
      <c r="S208" s="1">
        <v>685</v>
      </c>
      <c r="T208" s="1" t="s">
        <v>20</v>
      </c>
      <c r="U208" s="1" t="str">
        <f>IF(Table1[[#This Row],[Repayment_Status]]="late","bad loan","good loan")</f>
        <v>good loan</v>
      </c>
      <c r="V208" s="1" t="str">
        <f>IF(Table1[[#This Row],[Repayment_Status]]="late","high","low")</f>
        <v>low</v>
      </c>
      <c r="W208" s="1">
        <f>(Table1[[#This Row],[monthly_EMI]]/Table1[[#This Row],[monthly_income]])*100</f>
        <v>30</v>
      </c>
      <c r="X208" s="7">
        <v>19179.38</v>
      </c>
    </row>
    <row r="209" spans="1:24" x14ac:dyDescent="0.25">
      <c r="A209" s="1" t="s">
        <v>612</v>
      </c>
      <c r="B209" s="2" t="s">
        <v>748</v>
      </c>
      <c r="C209" s="5">
        <v>32</v>
      </c>
      <c r="D209" s="1" t="s">
        <v>26</v>
      </c>
      <c r="E209" s="1" t="s">
        <v>36</v>
      </c>
      <c r="F209" s="1" t="s">
        <v>17</v>
      </c>
      <c r="G209" s="1">
        <f>YEAR(Table1[[#This Row],[Application_Date]])</f>
        <v>2024</v>
      </c>
      <c r="H209" s="1" t="str">
        <f>TEXT(Table1[[#This Row],[EMI_payment_date]],"mmmm")</f>
        <v>November</v>
      </c>
      <c r="I209" s="3">
        <v>45589</v>
      </c>
      <c r="J209" s="3">
        <f>EDATE(Table1[[#This Row],[Application_Date]],1)</f>
        <v>45620</v>
      </c>
      <c r="K209" s="9">
        <v>7608000</v>
      </c>
      <c r="L209" s="9">
        <f>Table1[[#This Row],[Annual_Income]]/12</f>
        <v>634000</v>
      </c>
      <c r="M209" s="9">
        <v>7808000</v>
      </c>
      <c r="N209" s="5">
        <f ca="1">DATEDIF(Table1[[#This Row],[EMI_payment_date]],TODAY(),"m")</f>
        <v>20</v>
      </c>
      <c r="O209" s="9">
        <f ca="1">Table1[[#This Row],[month_paid]]*Table1[[#This Row],[monthly_EMI]]</f>
        <v>3804000</v>
      </c>
      <c r="P209" s="1">
        <v>8.6999999999999993</v>
      </c>
      <c r="Q209" s="9">
        <f>Table1[[#This Row],[monthly_income]]*30%</f>
        <v>190200</v>
      </c>
      <c r="R209" s="1">
        <f>ROUNDUP(NPER(P209/100/12,-Q209,Table1[[#This Row],[Loan_Amount]]),0)</f>
        <v>49</v>
      </c>
      <c r="S209" s="1">
        <v>649</v>
      </c>
      <c r="T209" s="1" t="s">
        <v>20</v>
      </c>
      <c r="U209" s="1" t="str">
        <f>IF(Table1[[#This Row],[Repayment_Status]]="late","bad loan","good loan")</f>
        <v>good loan</v>
      </c>
      <c r="V209" s="1" t="str">
        <f>IF(Table1[[#This Row],[Repayment_Status]]="late","high","low")</f>
        <v>low</v>
      </c>
      <c r="W209" s="1">
        <f>(Table1[[#This Row],[monthly_EMI]]/Table1[[#This Row],[monthly_income]])*100</f>
        <v>30</v>
      </c>
      <c r="X209" s="7">
        <v>33533.800000000003</v>
      </c>
    </row>
    <row r="210" spans="1:24" x14ac:dyDescent="0.25">
      <c r="A210" s="1" t="s">
        <v>45</v>
      </c>
      <c r="B210" s="2" t="s">
        <v>746</v>
      </c>
      <c r="C210" s="5">
        <v>50</v>
      </c>
      <c r="D210" s="1" t="s">
        <v>15</v>
      </c>
      <c r="E210" s="1" t="s">
        <v>27</v>
      </c>
      <c r="F210" s="1" t="s">
        <v>19</v>
      </c>
      <c r="G210" s="1">
        <f>YEAR(Table1[[#This Row],[Application_Date]])</f>
        <v>2024</v>
      </c>
      <c r="H210" s="1" t="str">
        <f>TEXT(Table1[[#This Row],[EMI_payment_date]],"mmmm")</f>
        <v>November</v>
      </c>
      <c r="I210" s="3">
        <v>45590</v>
      </c>
      <c r="J210" s="3">
        <f>EDATE(Table1[[#This Row],[Application_Date]],1)</f>
        <v>45621</v>
      </c>
      <c r="K210" s="9">
        <v>804000</v>
      </c>
      <c r="L210" s="9">
        <f>Table1[[#This Row],[Annual_Income]]/12</f>
        <v>67000</v>
      </c>
      <c r="M210" s="9">
        <v>1004000</v>
      </c>
      <c r="N210" s="5">
        <f ca="1">DATEDIF(Table1[[#This Row],[EMI_payment_date]],TODAY(),"m")</f>
        <v>20</v>
      </c>
      <c r="O210" s="9">
        <f ca="1">Table1[[#This Row],[month_paid]]*Table1[[#This Row],[monthly_EMI]]</f>
        <v>402000</v>
      </c>
      <c r="P210" s="1">
        <v>7.48</v>
      </c>
      <c r="Q210" s="9">
        <f>Table1[[#This Row],[monthly_income]]*30%</f>
        <v>20100</v>
      </c>
      <c r="R210" s="1">
        <f>ROUNDUP(NPER(P210/100/12,-Q210,Table1[[#This Row],[Loan_Amount]]),0)</f>
        <v>61</v>
      </c>
      <c r="S210" s="1">
        <v>741</v>
      </c>
      <c r="T210" s="1" t="s">
        <v>20</v>
      </c>
      <c r="U210" s="1" t="str">
        <f>IF(Table1[[#This Row],[Repayment_Status]]="late","bad loan","good loan")</f>
        <v>good loan</v>
      </c>
      <c r="V210" s="1" t="str">
        <f>IF(Table1[[#This Row],[Repayment_Status]]="late","high","low")</f>
        <v>low</v>
      </c>
      <c r="W210" s="1">
        <f>(Table1[[#This Row],[monthly_EMI]]/Table1[[#This Row],[monthly_income]])*100</f>
        <v>30</v>
      </c>
      <c r="X210" s="7">
        <v>28370.34</v>
      </c>
    </row>
    <row r="211" spans="1:24" x14ac:dyDescent="0.25">
      <c r="A211" s="1" t="s">
        <v>135</v>
      </c>
      <c r="B211" s="2" t="s">
        <v>741</v>
      </c>
      <c r="C211" s="5">
        <v>48</v>
      </c>
      <c r="D211" s="1" t="s">
        <v>15</v>
      </c>
      <c r="E211" s="1" t="s">
        <v>16</v>
      </c>
      <c r="F211" s="1" t="s">
        <v>17</v>
      </c>
      <c r="G211" s="1">
        <f>YEAR(Table1[[#This Row],[Application_Date]])</f>
        <v>2024</v>
      </c>
      <c r="H211" s="1" t="str">
        <f>TEXT(Table1[[#This Row],[EMI_payment_date]],"mmmm")</f>
        <v>November</v>
      </c>
      <c r="I211" s="3">
        <v>45591</v>
      </c>
      <c r="J211" s="3">
        <f>EDATE(Table1[[#This Row],[Application_Date]],1)</f>
        <v>45622</v>
      </c>
      <c r="K211" s="9">
        <v>1884000</v>
      </c>
      <c r="L211" s="9">
        <f>Table1[[#This Row],[Annual_Income]]/12</f>
        <v>157000</v>
      </c>
      <c r="M211" s="9">
        <v>2084000</v>
      </c>
      <c r="N211" s="5">
        <f ca="1">DATEDIF(Table1[[#This Row],[EMI_payment_date]],TODAY(),"m")</f>
        <v>20</v>
      </c>
      <c r="O211" s="9">
        <f ca="1">Table1[[#This Row],[month_paid]]*Table1[[#This Row],[monthly_EMI]]</f>
        <v>942000</v>
      </c>
      <c r="P211" s="1">
        <v>7.57</v>
      </c>
      <c r="Q211" s="9">
        <f>Table1[[#This Row],[monthly_income]]*30%</f>
        <v>47100</v>
      </c>
      <c r="R211" s="1">
        <f>ROUNDUP(NPER(P211/100/12,-Q211,Table1[[#This Row],[Loan_Amount]]),0)</f>
        <v>53</v>
      </c>
      <c r="S211" s="1">
        <v>764</v>
      </c>
      <c r="T211" s="1" t="s">
        <v>20</v>
      </c>
      <c r="U211" s="1" t="str">
        <f>IF(Table1[[#This Row],[Repayment_Status]]="late","bad loan","good loan")</f>
        <v>good loan</v>
      </c>
      <c r="V211" s="1" t="str">
        <f>IF(Table1[[#This Row],[Repayment_Status]]="late","high","low")</f>
        <v>low</v>
      </c>
      <c r="W211" s="1">
        <f>(Table1[[#This Row],[monthly_EMI]]/Table1[[#This Row],[monthly_income]])*100</f>
        <v>30</v>
      </c>
      <c r="X211" s="7">
        <v>12084.82</v>
      </c>
    </row>
    <row r="212" spans="1:24" x14ac:dyDescent="0.25">
      <c r="A212" s="1" t="s">
        <v>346</v>
      </c>
      <c r="B212" s="2" t="s">
        <v>789</v>
      </c>
      <c r="C212" s="5">
        <v>59</v>
      </c>
      <c r="D212" s="1" t="s">
        <v>15</v>
      </c>
      <c r="E212" s="1" t="s">
        <v>36</v>
      </c>
      <c r="F212" s="1" t="s">
        <v>22</v>
      </c>
      <c r="G212" s="1">
        <f>YEAR(Table1[[#This Row],[Application_Date]])</f>
        <v>2024</v>
      </c>
      <c r="H212" s="1" t="str">
        <f>TEXT(Table1[[#This Row],[EMI_payment_date]],"mmmm")</f>
        <v>November</v>
      </c>
      <c r="I212" s="3">
        <v>45592</v>
      </c>
      <c r="J212" s="3">
        <f>EDATE(Table1[[#This Row],[Application_Date]],1)</f>
        <v>45623</v>
      </c>
      <c r="K212" s="9">
        <v>4416000</v>
      </c>
      <c r="L212" s="9">
        <f>Table1[[#This Row],[Annual_Income]]/12</f>
        <v>368000</v>
      </c>
      <c r="M212" s="9">
        <v>4616000</v>
      </c>
      <c r="N212" s="5">
        <f ca="1">DATEDIF(Table1[[#This Row],[EMI_payment_date]],TODAY(),"m")</f>
        <v>20</v>
      </c>
      <c r="O212" s="9">
        <f ca="1">Table1[[#This Row],[month_paid]]*Table1[[#This Row],[monthly_EMI]]</f>
        <v>2208000</v>
      </c>
      <c r="P212" s="1">
        <v>9.7899999999999991</v>
      </c>
      <c r="Q212" s="9">
        <f>Table1[[#This Row],[monthly_income]]*30%</f>
        <v>110400</v>
      </c>
      <c r="R212" s="1">
        <f>ROUNDUP(NPER(P212/100/12,-Q212,Table1[[#This Row],[Loan_Amount]]),0)</f>
        <v>52</v>
      </c>
      <c r="S212" s="1">
        <v>828</v>
      </c>
      <c r="T212" s="1" t="s">
        <v>20</v>
      </c>
      <c r="U212" s="1" t="str">
        <f>IF(Table1[[#This Row],[Repayment_Status]]="late","bad loan","good loan")</f>
        <v>good loan</v>
      </c>
      <c r="V212" s="1" t="str">
        <f>IF(Table1[[#This Row],[Repayment_Status]]="late","high","low")</f>
        <v>low</v>
      </c>
      <c r="W212" s="1">
        <f>(Table1[[#This Row],[monthly_EMI]]/Table1[[#This Row],[monthly_income]])*100</f>
        <v>30</v>
      </c>
      <c r="X212" s="7">
        <v>40919.01</v>
      </c>
    </row>
    <row r="213" spans="1:24" x14ac:dyDescent="0.25">
      <c r="A213" s="1" t="s">
        <v>195</v>
      </c>
      <c r="B213" s="2" t="s">
        <v>842</v>
      </c>
      <c r="C213" s="5">
        <v>36</v>
      </c>
      <c r="D213" s="1" t="s">
        <v>15</v>
      </c>
      <c r="E213" s="1" t="s">
        <v>36</v>
      </c>
      <c r="F213" s="1" t="s">
        <v>17</v>
      </c>
      <c r="G213" s="1">
        <f>YEAR(Table1[[#This Row],[Application_Date]])</f>
        <v>2024</v>
      </c>
      <c r="H213" s="1" t="str">
        <f>TEXT(Table1[[#This Row],[EMI_payment_date]],"mmmm")</f>
        <v>November</v>
      </c>
      <c r="I213" s="3">
        <v>45593</v>
      </c>
      <c r="J213" s="3">
        <f>EDATE(Table1[[#This Row],[Application_Date]],1)</f>
        <v>45624</v>
      </c>
      <c r="K213" s="9">
        <v>2604000</v>
      </c>
      <c r="L213" s="9">
        <f>Table1[[#This Row],[Annual_Income]]/12</f>
        <v>217000</v>
      </c>
      <c r="M213" s="9">
        <v>2804000</v>
      </c>
      <c r="N213" s="5">
        <f ca="1">DATEDIF(Table1[[#This Row],[EMI_payment_date]],TODAY(),"m")</f>
        <v>20</v>
      </c>
      <c r="O213" s="9">
        <f ca="1">Table1[[#This Row],[month_paid]]*Table1[[#This Row],[monthly_EMI]]</f>
        <v>1302000</v>
      </c>
      <c r="P213" s="1">
        <v>7.76</v>
      </c>
      <c r="Q213" s="9">
        <f>Table1[[#This Row],[monthly_income]]*30%</f>
        <v>65100</v>
      </c>
      <c r="R213" s="1">
        <f>ROUNDUP(NPER(P213/100/12,-Q213,Table1[[#This Row],[Loan_Amount]]),0)</f>
        <v>51</v>
      </c>
      <c r="S213" s="1">
        <v>804</v>
      </c>
      <c r="T213" s="1" t="s">
        <v>20</v>
      </c>
      <c r="U213" s="1" t="str">
        <f>IF(Table1[[#This Row],[Repayment_Status]]="late","bad loan","good loan")</f>
        <v>good loan</v>
      </c>
      <c r="V213" s="1" t="str">
        <f>IF(Table1[[#This Row],[Repayment_Status]]="late","high","low")</f>
        <v>low</v>
      </c>
      <c r="W213" s="1">
        <f>(Table1[[#This Row],[monthly_EMI]]/Table1[[#This Row],[monthly_income]])*100</f>
        <v>30</v>
      </c>
      <c r="X213" s="7">
        <v>10867.43</v>
      </c>
    </row>
    <row r="214" spans="1:24" x14ac:dyDescent="0.25">
      <c r="A214" s="1" t="s">
        <v>426</v>
      </c>
      <c r="B214" s="2" t="s">
        <v>784</v>
      </c>
      <c r="C214" s="5">
        <v>21</v>
      </c>
      <c r="D214" s="1" t="s">
        <v>26</v>
      </c>
      <c r="E214" s="1" t="s">
        <v>24</v>
      </c>
      <c r="F214" s="1" t="s">
        <v>17</v>
      </c>
      <c r="G214" s="1">
        <f>YEAR(Table1[[#This Row],[Application_Date]])</f>
        <v>2024</v>
      </c>
      <c r="H214" s="1" t="str">
        <f>TEXT(Table1[[#This Row],[EMI_payment_date]],"mmmm")</f>
        <v>November</v>
      </c>
      <c r="I214" s="3">
        <v>45594</v>
      </c>
      <c r="J214" s="3">
        <f>EDATE(Table1[[#This Row],[Application_Date]],1)</f>
        <v>45625</v>
      </c>
      <c r="K214" s="9">
        <v>5376000</v>
      </c>
      <c r="L214" s="9">
        <f>Table1[[#This Row],[Annual_Income]]/12</f>
        <v>448000</v>
      </c>
      <c r="M214" s="9">
        <v>5576000</v>
      </c>
      <c r="N214" s="5">
        <f ca="1">DATEDIF(Table1[[#This Row],[EMI_payment_date]],TODAY(),"m")</f>
        <v>20</v>
      </c>
      <c r="O214" s="9">
        <f ca="1">Table1[[#This Row],[month_paid]]*Table1[[#This Row],[monthly_EMI]]</f>
        <v>2688000</v>
      </c>
      <c r="P214" s="1">
        <v>8.93</v>
      </c>
      <c r="Q214" s="9">
        <f>Table1[[#This Row],[monthly_income]]*30%</f>
        <v>134400</v>
      </c>
      <c r="R214" s="1">
        <f>ROUNDUP(NPER(P214/100/12,-Q214,Table1[[#This Row],[Loan_Amount]]),0)</f>
        <v>50</v>
      </c>
      <c r="S214" s="1">
        <v>776</v>
      </c>
      <c r="T214" s="1" t="s">
        <v>37</v>
      </c>
      <c r="U214" s="1" t="str">
        <f>IF(Table1[[#This Row],[Repayment_Status]]="late","bad loan","good loan")</f>
        <v>bad loan</v>
      </c>
      <c r="V214" s="1" t="str">
        <f>IF(Table1[[#This Row],[Repayment_Status]]="late","high","low")</f>
        <v>high</v>
      </c>
      <c r="W214" s="1">
        <f>(Table1[[#This Row],[monthly_EMI]]/Table1[[#This Row],[monthly_income]])*100</f>
        <v>30</v>
      </c>
      <c r="X214" s="7">
        <v>37865.199999999997</v>
      </c>
    </row>
    <row r="215" spans="1:24" x14ac:dyDescent="0.25">
      <c r="A215" s="1" t="s">
        <v>456</v>
      </c>
      <c r="B215" s="2" t="s">
        <v>842</v>
      </c>
      <c r="C215" s="5">
        <v>29</v>
      </c>
      <c r="D215" s="1" t="s">
        <v>26</v>
      </c>
      <c r="E215" s="1" t="s">
        <v>36</v>
      </c>
      <c r="F215" s="1" t="s">
        <v>17</v>
      </c>
      <c r="G215" s="1">
        <f>YEAR(Table1[[#This Row],[Application_Date]])</f>
        <v>2024</v>
      </c>
      <c r="H215" s="1" t="str">
        <f>TEXT(Table1[[#This Row],[EMI_payment_date]],"mmmm")</f>
        <v>November</v>
      </c>
      <c r="I215" s="3">
        <v>45595</v>
      </c>
      <c r="J215" s="3">
        <f>EDATE(Table1[[#This Row],[Application_Date]],1)</f>
        <v>45626</v>
      </c>
      <c r="K215" s="9">
        <v>5736000</v>
      </c>
      <c r="L215" s="9">
        <f>Table1[[#This Row],[Annual_Income]]/12</f>
        <v>478000</v>
      </c>
      <c r="M215" s="9">
        <v>5936000</v>
      </c>
      <c r="N215" s="5">
        <f ca="1">DATEDIF(Table1[[#This Row],[EMI_payment_date]],TODAY(),"m")</f>
        <v>20</v>
      </c>
      <c r="O215" s="9">
        <f ca="1">Table1[[#This Row],[month_paid]]*Table1[[#This Row],[monthly_EMI]]</f>
        <v>2868000</v>
      </c>
      <c r="P215" s="1">
        <v>6.96</v>
      </c>
      <c r="Q215" s="9">
        <f>Table1[[#This Row],[monthly_income]]*30%</f>
        <v>143400</v>
      </c>
      <c r="R215" s="1">
        <f>ROUNDUP(NPER(P215/100/12,-Q215,Table1[[#This Row],[Loan_Amount]]),0)</f>
        <v>48</v>
      </c>
      <c r="S215" s="1">
        <v>610</v>
      </c>
      <c r="T215" s="1" t="s">
        <v>20</v>
      </c>
      <c r="U215" s="1" t="str">
        <f>IF(Table1[[#This Row],[Repayment_Status]]="late","bad loan","good loan")</f>
        <v>good loan</v>
      </c>
      <c r="V215" s="1" t="str">
        <f>IF(Table1[[#This Row],[Repayment_Status]]="late","high","low")</f>
        <v>low</v>
      </c>
      <c r="W215" s="1">
        <f>(Table1[[#This Row],[monthly_EMI]]/Table1[[#This Row],[monthly_income]])*100</f>
        <v>30</v>
      </c>
      <c r="X215" s="7">
        <v>25394.87</v>
      </c>
    </row>
    <row r="216" spans="1:24" x14ac:dyDescent="0.25">
      <c r="A216" s="1" t="s">
        <v>675</v>
      </c>
      <c r="B216" s="2" t="s">
        <v>736</v>
      </c>
      <c r="C216" s="5">
        <v>53</v>
      </c>
      <c r="D216" s="1" t="s">
        <v>15</v>
      </c>
      <c r="E216" s="1" t="s">
        <v>29</v>
      </c>
      <c r="F216" s="1" t="s">
        <v>51</v>
      </c>
      <c r="G216" s="1">
        <f>YEAR(Table1[[#This Row],[Application_Date]])</f>
        <v>2024</v>
      </c>
      <c r="H216" s="1" t="str">
        <f>TEXT(Table1[[#This Row],[EMI_payment_date]],"mmmm")</f>
        <v>November</v>
      </c>
      <c r="I216" s="3">
        <v>45596</v>
      </c>
      <c r="J216" s="3">
        <f>EDATE(Table1[[#This Row],[Application_Date]],1)</f>
        <v>45626</v>
      </c>
      <c r="K216" s="9">
        <v>8364000</v>
      </c>
      <c r="L216" s="9">
        <f>Table1[[#This Row],[Annual_Income]]/12</f>
        <v>697000</v>
      </c>
      <c r="M216" s="9">
        <v>8564000</v>
      </c>
      <c r="N216" s="5">
        <f ca="1">DATEDIF(Table1[[#This Row],[EMI_payment_date]],TODAY(),"m")</f>
        <v>20</v>
      </c>
      <c r="O216" s="9">
        <f ca="1">Table1[[#This Row],[month_paid]]*Table1[[#This Row],[monthly_EMI]]</f>
        <v>4182000</v>
      </c>
      <c r="P216" s="1">
        <v>6.94</v>
      </c>
      <c r="Q216" s="9">
        <f>Table1[[#This Row],[monthly_income]]*30%</f>
        <v>209100</v>
      </c>
      <c r="R216" s="1">
        <f>ROUNDUP(NPER(P216/100/12,-Q216,Table1[[#This Row],[Loan_Amount]]),0)</f>
        <v>47</v>
      </c>
      <c r="S216" s="1">
        <v>661</v>
      </c>
      <c r="T216" s="1" t="s">
        <v>37</v>
      </c>
      <c r="U216" s="1" t="str">
        <f>IF(Table1[[#This Row],[Repayment_Status]]="late","bad loan","good loan")</f>
        <v>bad loan</v>
      </c>
      <c r="V216" s="1" t="str">
        <f>IF(Table1[[#This Row],[Repayment_Status]]="late","high","low")</f>
        <v>high</v>
      </c>
      <c r="W216" s="1">
        <f>(Table1[[#This Row],[monthly_EMI]]/Table1[[#This Row],[monthly_income]])*100</f>
        <v>30</v>
      </c>
      <c r="X216" s="7">
        <v>5968.9</v>
      </c>
    </row>
    <row r="217" spans="1:24" x14ac:dyDescent="0.25">
      <c r="A217" s="1" t="s">
        <v>595</v>
      </c>
      <c r="B217" s="2" t="s">
        <v>907</v>
      </c>
      <c r="C217" s="5">
        <v>30</v>
      </c>
      <c r="D217" s="1" t="s">
        <v>15</v>
      </c>
      <c r="E217" s="1" t="s">
        <v>33</v>
      </c>
      <c r="F217" s="1" t="s">
        <v>51</v>
      </c>
      <c r="G217" s="1">
        <f>YEAR(Table1[[#This Row],[Application_Date]])</f>
        <v>2024</v>
      </c>
      <c r="H217" s="1" t="str">
        <f>TEXT(Table1[[#This Row],[EMI_payment_date]],"mmmm")</f>
        <v>December</v>
      </c>
      <c r="I217" s="3">
        <v>45597</v>
      </c>
      <c r="J217" s="3">
        <f>EDATE(Table1[[#This Row],[Application_Date]],1)</f>
        <v>45627</v>
      </c>
      <c r="K217" s="9">
        <v>7404000</v>
      </c>
      <c r="L217" s="9">
        <f>Table1[[#This Row],[Annual_Income]]/12</f>
        <v>617000</v>
      </c>
      <c r="M217" s="9">
        <v>7604000</v>
      </c>
      <c r="N217" s="5">
        <f ca="1">DATEDIF(Table1[[#This Row],[EMI_payment_date]],TODAY(),"m")</f>
        <v>19</v>
      </c>
      <c r="O217" s="9"/>
      <c r="P217" s="1">
        <v>7.9</v>
      </c>
      <c r="Q217" s="9">
        <f>Table1[[#This Row],[monthly_income]]*30%</f>
        <v>185100</v>
      </c>
      <c r="R217" s="1">
        <f>ROUNDUP(NPER(P217/100/12,-Q217,Table1[[#This Row],[Loan_Amount]]),0)</f>
        <v>49</v>
      </c>
      <c r="S217" s="1">
        <v>655</v>
      </c>
      <c r="T217" s="1" t="s">
        <v>37</v>
      </c>
      <c r="U217" s="1" t="str">
        <f>IF(Table1[[#This Row],[Repayment_Status]]="late","bad loan","good loan")</f>
        <v>bad loan</v>
      </c>
      <c r="V217" s="1" t="str">
        <f>IF(Table1[[#This Row],[Repayment_Status]]="late","high","low")</f>
        <v>high</v>
      </c>
      <c r="W217" s="1">
        <f>(Table1[[#This Row],[monthly_EMI]]/Table1[[#This Row],[monthly_income]])*100</f>
        <v>30</v>
      </c>
      <c r="X217" s="7">
        <v>27841.18</v>
      </c>
    </row>
    <row r="218" spans="1:24" x14ac:dyDescent="0.25">
      <c r="A218" s="1" t="s">
        <v>448</v>
      </c>
      <c r="B218" s="2" t="s">
        <v>886</v>
      </c>
      <c r="C218" s="5">
        <v>38</v>
      </c>
      <c r="D218" s="1" t="s">
        <v>15</v>
      </c>
      <c r="E218" s="1" t="s">
        <v>24</v>
      </c>
      <c r="F218" s="1" t="s">
        <v>22</v>
      </c>
      <c r="G218" s="1">
        <f>YEAR(Table1[[#This Row],[Application_Date]])</f>
        <v>2024</v>
      </c>
      <c r="H218" s="1" t="str">
        <f>TEXT(Table1[[#This Row],[EMI_payment_date]],"mmmm")</f>
        <v>December</v>
      </c>
      <c r="I218" s="3">
        <v>45598</v>
      </c>
      <c r="J218" s="3">
        <f>EDATE(Table1[[#This Row],[Application_Date]],1)</f>
        <v>45628</v>
      </c>
      <c r="K218" s="9">
        <v>5640000</v>
      </c>
      <c r="L218" s="9">
        <f>Table1[[#This Row],[Annual_Income]]/12</f>
        <v>470000</v>
      </c>
      <c r="M218" s="9">
        <v>5840000</v>
      </c>
      <c r="N218" s="5">
        <f ca="1">DATEDIF(Table1[[#This Row],[EMI_payment_date]],TODAY(),"m")</f>
        <v>19</v>
      </c>
      <c r="O218" s="9"/>
      <c r="P218" s="1">
        <v>8.65</v>
      </c>
      <c r="Q218" s="9">
        <f>Table1[[#This Row],[monthly_income]]*30%</f>
        <v>141000</v>
      </c>
      <c r="R218" s="1">
        <f>ROUNDUP(NPER(P218/100/12,-Q218,Table1[[#This Row],[Loan_Amount]]),0)</f>
        <v>50</v>
      </c>
      <c r="S218" s="1">
        <v>713</v>
      </c>
      <c r="T218" s="1" t="s">
        <v>20</v>
      </c>
      <c r="U218" s="1" t="str">
        <f>IF(Table1[[#This Row],[Repayment_Status]]="late","bad loan","good loan")</f>
        <v>good loan</v>
      </c>
      <c r="V218" s="1" t="str">
        <f>IF(Table1[[#This Row],[Repayment_Status]]="late","high","low")</f>
        <v>low</v>
      </c>
      <c r="W218" s="1">
        <f>(Table1[[#This Row],[monthly_EMI]]/Table1[[#This Row],[monthly_income]])*100</f>
        <v>30</v>
      </c>
      <c r="X218" s="7">
        <v>31383.07</v>
      </c>
    </row>
    <row r="219" spans="1:24" x14ac:dyDescent="0.25">
      <c r="A219" s="1" t="s">
        <v>632</v>
      </c>
      <c r="B219" s="2" t="s">
        <v>812</v>
      </c>
      <c r="C219" s="5">
        <v>50</v>
      </c>
      <c r="D219" s="1" t="s">
        <v>26</v>
      </c>
      <c r="E219" s="1" t="s">
        <v>27</v>
      </c>
      <c r="F219" s="1" t="s">
        <v>17</v>
      </c>
      <c r="G219" s="1">
        <f>YEAR(Table1[[#This Row],[Application_Date]])</f>
        <v>2024</v>
      </c>
      <c r="H219" s="1" t="str">
        <f>TEXT(Table1[[#This Row],[EMI_payment_date]],"mmmm")</f>
        <v>December</v>
      </c>
      <c r="I219" s="3">
        <v>45599</v>
      </c>
      <c r="J219" s="3">
        <f>EDATE(Table1[[#This Row],[Application_Date]],1)</f>
        <v>45629</v>
      </c>
      <c r="K219" s="9">
        <v>7848000</v>
      </c>
      <c r="L219" s="9">
        <f>Table1[[#This Row],[Annual_Income]]/12</f>
        <v>654000</v>
      </c>
      <c r="M219" s="9">
        <v>8048000</v>
      </c>
      <c r="N219" s="5">
        <f ca="1">DATEDIF(Table1[[#This Row],[EMI_payment_date]],TODAY(),"m")</f>
        <v>19</v>
      </c>
      <c r="O219" s="9"/>
      <c r="P219" s="1">
        <v>8.4600000000000009</v>
      </c>
      <c r="Q219" s="9">
        <f>Table1[[#This Row],[monthly_income]]*30%</f>
        <v>196200</v>
      </c>
      <c r="R219" s="1">
        <f>ROUNDUP(NPER(P219/100/12,-Q219,Table1[[#This Row],[Loan_Amount]]),0)</f>
        <v>49</v>
      </c>
      <c r="S219" s="1">
        <v>847</v>
      </c>
      <c r="T219" s="1" t="s">
        <v>20</v>
      </c>
      <c r="U219" s="1" t="str">
        <f>IF(Table1[[#This Row],[Repayment_Status]]="late","bad loan","good loan")</f>
        <v>good loan</v>
      </c>
      <c r="V219" s="1" t="str">
        <f>IF(Table1[[#This Row],[Repayment_Status]]="late","high","low")</f>
        <v>low</v>
      </c>
      <c r="W219" s="1">
        <f>(Table1[[#This Row],[monthly_EMI]]/Table1[[#This Row],[monthly_income]])*100</f>
        <v>30</v>
      </c>
      <c r="X219" s="7">
        <v>23390</v>
      </c>
    </row>
    <row r="220" spans="1:24" x14ac:dyDescent="0.25">
      <c r="A220" s="1" t="s">
        <v>18</v>
      </c>
      <c r="B220" s="2" t="s">
        <v>730</v>
      </c>
      <c r="C220" s="5">
        <v>24</v>
      </c>
      <c r="D220" s="1" t="s">
        <v>15</v>
      </c>
      <c r="E220" s="1" t="s">
        <v>16</v>
      </c>
      <c r="F220" s="1" t="s">
        <v>19</v>
      </c>
      <c r="G220" s="1">
        <f>YEAR(Table1[[#This Row],[Application_Date]])</f>
        <v>2024</v>
      </c>
      <c r="H220" s="1" t="str">
        <f>TEXT(Table1[[#This Row],[EMI_payment_date]],"mmmm")</f>
        <v>December</v>
      </c>
      <c r="I220" s="3">
        <v>45600</v>
      </c>
      <c r="J220" s="3">
        <f>EDATE(Table1[[#This Row],[Application_Date]],1)</f>
        <v>45630</v>
      </c>
      <c r="K220" s="9">
        <v>612000</v>
      </c>
      <c r="L220" s="9">
        <f>Table1[[#This Row],[Annual_Income]]/12</f>
        <v>51000</v>
      </c>
      <c r="M220" s="9">
        <v>812000</v>
      </c>
      <c r="N220" s="5">
        <f ca="1">DATEDIF(Table1[[#This Row],[EMI_payment_date]],TODAY(),"m")</f>
        <v>19</v>
      </c>
      <c r="O220" s="9"/>
      <c r="P220" s="1">
        <v>8.75</v>
      </c>
      <c r="Q220" s="9">
        <f>Table1[[#This Row],[monthly_income]]*30%</f>
        <v>15300</v>
      </c>
      <c r="R220" s="1">
        <f>ROUNDUP(NPER(P220/100/12,-Q220,Table1[[#This Row],[Loan_Amount]]),0)</f>
        <v>68</v>
      </c>
      <c r="S220" s="1">
        <v>755</v>
      </c>
      <c r="T220" s="1" t="s">
        <v>20</v>
      </c>
      <c r="U220" s="1" t="str">
        <f>IF(Table1[[#This Row],[Repayment_Status]]="late","bad loan","good loan")</f>
        <v>good loan</v>
      </c>
      <c r="V220" s="1" t="str">
        <f>IF(Table1[[#This Row],[Repayment_Status]]="late","high","low")</f>
        <v>low</v>
      </c>
      <c r="W220" s="1">
        <f>(Table1[[#This Row],[monthly_EMI]]/Table1[[#This Row],[monthly_income]])*100</f>
        <v>30</v>
      </c>
      <c r="X220" s="7">
        <v>20566.53</v>
      </c>
    </row>
    <row r="221" spans="1:24" x14ac:dyDescent="0.25">
      <c r="A221" s="1" t="s">
        <v>60</v>
      </c>
      <c r="B221" s="2" t="s">
        <v>759</v>
      </c>
      <c r="C221" s="5">
        <v>25</v>
      </c>
      <c r="D221" s="1" t="s">
        <v>15</v>
      </c>
      <c r="E221" s="1" t="s">
        <v>27</v>
      </c>
      <c r="F221" s="1" t="s">
        <v>19</v>
      </c>
      <c r="G221" s="1">
        <f>YEAR(Table1[[#This Row],[Application_Date]])</f>
        <v>2024</v>
      </c>
      <c r="H221" s="1" t="str">
        <f>TEXT(Table1[[#This Row],[EMI_payment_date]],"mmmm")</f>
        <v>December</v>
      </c>
      <c r="I221" s="3">
        <v>45601</v>
      </c>
      <c r="J221" s="3">
        <f>EDATE(Table1[[#This Row],[Application_Date]],1)</f>
        <v>45631</v>
      </c>
      <c r="K221" s="9">
        <v>972000</v>
      </c>
      <c r="L221" s="9">
        <f>Table1[[#This Row],[Annual_Income]]/12</f>
        <v>81000</v>
      </c>
      <c r="M221" s="9">
        <v>1172000</v>
      </c>
      <c r="N221" s="5">
        <f ca="1">DATEDIF(Table1[[#This Row],[EMI_payment_date]],TODAY(),"m")</f>
        <v>19</v>
      </c>
      <c r="O221" s="9">
        <f>20*Table1[[#This Row],[monthly_EMI]]</f>
        <v>486000</v>
      </c>
      <c r="P221" s="1">
        <v>6.34</v>
      </c>
      <c r="Q221" s="9">
        <f>Table1[[#This Row],[monthly_income]]*30%</f>
        <v>24300</v>
      </c>
      <c r="R221" s="1">
        <f>ROUNDUP(NPER(P221/100/12,-Q221,Table1[[#This Row],[Loan_Amount]]),0)</f>
        <v>56</v>
      </c>
      <c r="S221" s="1">
        <v>654</v>
      </c>
      <c r="T221" s="1" t="s">
        <v>20</v>
      </c>
      <c r="U221" s="1" t="str">
        <f>IF(Table1[[#This Row],[Repayment_Status]]="late","bad loan","good loan")</f>
        <v>good loan</v>
      </c>
      <c r="V221" s="1" t="str">
        <f>IF(Table1[[#This Row],[Repayment_Status]]="late","high","low")</f>
        <v>low</v>
      </c>
      <c r="W221" s="1">
        <f>(Table1[[#This Row],[monthly_EMI]]/Table1[[#This Row],[monthly_income]])*100</f>
        <v>30</v>
      </c>
      <c r="X221" s="7">
        <v>26870.95</v>
      </c>
    </row>
    <row r="222" spans="1:24" x14ac:dyDescent="0.25">
      <c r="A222" s="1" t="s">
        <v>704</v>
      </c>
      <c r="B222" s="2" t="s">
        <v>912</v>
      </c>
      <c r="C222" s="5">
        <v>53</v>
      </c>
      <c r="D222" s="1" t="s">
        <v>26</v>
      </c>
      <c r="E222" s="1" t="s">
        <v>16</v>
      </c>
      <c r="F222" s="1" t="s">
        <v>17</v>
      </c>
      <c r="G222" s="1">
        <f>YEAR(Table1[[#This Row],[Application_Date]])</f>
        <v>2024</v>
      </c>
      <c r="H222" s="1" t="str">
        <f>TEXT(Table1[[#This Row],[EMI_payment_date]],"mmmm")</f>
        <v>December</v>
      </c>
      <c r="I222" s="3">
        <v>45602</v>
      </c>
      <c r="J222" s="3">
        <f>EDATE(Table1[[#This Row],[Application_Date]],1)</f>
        <v>45632</v>
      </c>
      <c r="K222" s="9">
        <v>8712000</v>
      </c>
      <c r="L222" s="9">
        <f>Table1[[#This Row],[Annual_Income]]/12</f>
        <v>726000</v>
      </c>
      <c r="M222" s="9">
        <v>8912000</v>
      </c>
      <c r="N222" s="5">
        <f ca="1">DATEDIF(Table1[[#This Row],[EMI_payment_date]],TODAY(),"m")</f>
        <v>19</v>
      </c>
      <c r="O222" s="9">
        <f>20*Table1[[#This Row],[monthly_EMI]]</f>
        <v>4356000</v>
      </c>
      <c r="P222" s="1">
        <v>8.43</v>
      </c>
      <c r="Q222" s="9">
        <f>Table1[[#This Row],[monthly_income]]*30%</f>
        <v>217800</v>
      </c>
      <c r="R222" s="1">
        <f>ROUNDUP(NPER(P222/100/12,-Q222,Table1[[#This Row],[Loan_Amount]]),0)</f>
        <v>49</v>
      </c>
      <c r="S222" s="1">
        <v>846</v>
      </c>
      <c r="T222" s="1" t="s">
        <v>20</v>
      </c>
      <c r="U222" s="1" t="str">
        <f>IF(Table1[[#This Row],[Repayment_Status]]="late","bad loan","good loan")</f>
        <v>good loan</v>
      </c>
      <c r="V222" s="1" t="str">
        <f>IF(Table1[[#This Row],[Repayment_Status]]="late","high","low")</f>
        <v>low</v>
      </c>
      <c r="W222" s="1">
        <f>(Table1[[#This Row],[monthly_EMI]]/Table1[[#This Row],[monthly_income]])*100</f>
        <v>30</v>
      </c>
      <c r="X222" s="7">
        <v>31009.33</v>
      </c>
    </row>
    <row r="223" spans="1:24" x14ac:dyDescent="0.25">
      <c r="A223" s="1" t="s">
        <v>341</v>
      </c>
      <c r="B223" s="2" t="s">
        <v>761</v>
      </c>
      <c r="C223" s="5">
        <v>25</v>
      </c>
      <c r="D223" s="1" t="s">
        <v>15</v>
      </c>
      <c r="E223" s="1" t="s">
        <v>24</v>
      </c>
      <c r="F223" s="1" t="s">
        <v>17</v>
      </c>
      <c r="G223" s="1">
        <f>YEAR(Table1[[#This Row],[Application_Date]])</f>
        <v>2024</v>
      </c>
      <c r="H223" s="1" t="str">
        <f>TEXT(Table1[[#This Row],[EMI_payment_date]],"mmmm")</f>
        <v>December</v>
      </c>
      <c r="I223" s="3">
        <v>45603</v>
      </c>
      <c r="J223" s="3">
        <f>EDATE(Table1[[#This Row],[Application_Date]],1)</f>
        <v>45633</v>
      </c>
      <c r="K223" s="9">
        <v>4356000</v>
      </c>
      <c r="L223" s="9">
        <f>Table1[[#This Row],[Annual_Income]]/12</f>
        <v>363000</v>
      </c>
      <c r="M223" s="9">
        <v>4556000</v>
      </c>
      <c r="N223" s="5">
        <f ca="1">DATEDIF(Table1[[#This Row],[EMI_payment_date]],TODAY(),"m")</f>
        <v>19</v>
      </c>
      <c r="O223" s="9">
        <f>20*Table1[[#This Row],[monthly_EMI]]</f>
        <v>2178000</v>
      </c>
      <c r="P223" s="1">
        <v>5.12</v>
      </c>
      <c r="Q223" s="9">
        <f>Table1[[#This Row],[monthly_income]]*30%</f>
        <v>108900</v>
      </c>
      <c r="R223" s="1">
        <f>ROUNDUP(NPER(P223/100/12,-Q223,Table1[[#This Row],[Loan_Amount]]),0)</f>
        <v>47</v>
      </c>
      <c r="S223" s="1">
        <v>680</v>
      </c>
      <c r="T223" s="1" t="s">
        <v>37</v>
      </c>
      <c r="U223" s="1" t="str">
        <f>IF(Table1[[#This Row],[Repayment_Status]]="late","bad loan","good loan")</f>
        <v>bad loan</v>
      </c>
      <c r="V223" s="1" t="str">
        <f>IF(Table1[[#This Row],[Repayment_Status]]="late","high","low")</f>
        <v>high</v>
      </c>
      <c r="W223" s="1">
        <f>(Table1[[#This Row],[monthly_EMI]]/Table1[[#This Row],[monthly_income]])*100</f>
        <v>30</v>
      </c>
      <c r="X223" s="7">
        <v>15509.56</v>
      </c>
    </row>
    <row r="224" spans="1:24" x14ac:dyDescent="0.25">
      <c r="A224" s="1" t="s">
        <v>670</v>
      </c>
      <c r="B224" s="2" t="s">
        <v>753</v>
      </c>
      <c r="C224" s="5">
        <v>28</v>
      </c>
      <c r="D224" s="1" t="s">
        <v>15</v>
      </c>
      <c r="E224" s="1" t="s">
        <v>33</v>
      </c>
      <c r="F224" s="1" t="s">
        <v>51</v>
      </c>
      <c r="G224" s="1">
        <f>YEAR(Table1[[#This Row],[Application_Date]])</f>
        <v>2024</v>
      </c>
      <c r="H224" s="1" t="str">
        <f>TEXT(Table1[[#This Row],[EMI_payment_date]],"mmmm")</f>
        <v>December</v>
      </c>
      <c r="I224" s="3">
        <v>45604</v>
      </c>
      <c r="J224" s="3">
        <f>EDATE(Table1[[#This Row],[Application_Date]],1)</f>
        <v>45634</v>
      </c>
      <c r="K224" s="9">
        <v>8304000</v>
      </c>
      <c r="L224" s="9">
        <f>Table1[[#This Row],[Annual_Income]]/12</f>
        <v>692000</v>
      </c>
      <c r="M224" s="9">
        <v>8504000</v>
      </c>
      <c r="N224" s="5">
        <f ca="1">DATEDIF(Table1[[#This Row],[EMI_payment_date]],TODAY(),"m")</f>
        <v>19</v>
      </c>
      <c r="O224" s="9">
        <f>20*Table1[[#This Row],[monthly_EMI]]</f>
        <v>4152000</v>
      </c>
      <c r="P224" s="1">
        <v>5.29</v>
      </c>
      <c r="Q224" s="9">
        <f>Table1[[#This Row],[monthly_income]]*30%</f>
        <v>207600</v>
      </c>
      <c r="R224" s="1">
        <f>ROUNDUP(NPER(P224/100/12,-Q224,Table1[[#This Row],[Loan_Amount]]),0)</f>
        <v>46</v>
      </c>
      <c r="S224" s="1">
        <v>667</v>
      </c>
      <c r="T224" s="1" t="s">
        <v>20</v>
      </c>
      <c r="U224" s="1" t="str">
        <f>IF(Table1[[#This Row],[Repayment_Status]]="late","bad loan","good loan")</f>
        <v>good loan</v>
      </c>
      <c r="V224" s="1" t="str">
        <f>IF(Table1[[#This Row],[Repayment_Status]]="late","high","low")</f>
        <v>low</v>
      </c>
      <c r="W224" s="1">
        <f>(Table1[[#This Row],[monthly_EMI]]/Table1[[#This Row],[monthly_income]])*100</f>
        <v>30</v>
      </c>
      <c r="X224" s="7">
        <v>21372.080000000002</v>
      </c>
    </row>
    <row r="225" spans="1:24" x14ac:dyDescent="0.25">
      <c r="A225" s="1" t="s">
        <v>711</v>
      </c>
      <c r="B225" s="2" t="s">
        <v>735</v>
      </c>
      <c r="C225" s="5">
        <v>28</v>
      </c>
      <c r="D225" s="1" t="s">
        <v>26</v>
      </c>
      <c r="E225" s="1" t="s">
        <v>27</v>
      </c>
      <c r="F225" s="1" t="s">
        <v>19</v>
      </c>
      <c r="G225" s="1">
        <f>YEAR(Table1[[#This Row],[Application_Date]])</f>
        <v>2024</v>
      </c>
      <c r="H225" s="1" t="str">
        <f>TEXT(Table1[[#This Row],[EMI_payment_date]],"mmmm")</f>
        <v>December</v>
      </c>
      <c r="I225" s="3">
        <v>45605</v>
      </c>
      <c r="J225" s="3">
        <f>EDATE(Table1[[#This Row],[Application_Date]],1)</f>
        <v>45635</v>
      </c>
      <c r="K225" s="9">
        <v>8796000</v>
      </c>
      <c r="L225" s="9">
        <f>Table1[[#This Row],[Annual_Income]]/12</f>
        <v>733000</v>
      </c>
      <c r="M225" s="9">
        <v>8996000</v>
      </c>
      <c r="N225" s="5">
        <f ca="1">DATEDIF(Table1[[#This Row],[EMI_payment_date]],TODAY(),"m")</f>
        <v>19</v>
      </c>
      <c r="O225" s="9">
        <f>20*Table1[[#This Row],[monthly_EMI]]</f>
        <v>4398000</v>
      </c>
      <c r="P225" s="1">
        <v>6.3</v>
      </c>
      <c r="Q225" s="9">
        <f>Table1[[#This Row],[monthly_income]]*30%</f>
        <v>219900</v>
      </c>
      <c r="R225" s="1">
        <f>ROUNDUP(NPER(P225/100/12,-Q225,Table1[[#This Row],[Loan_Amount]]),0)</f>
        <v>47</v>
      </c>
      <c r="S225" s="1">
        <v>650</v>
      </c>
      <c r="T225" s="1" t="s">
        <v>20</v>
      </c>
      <c r="U225" s="1" t="str">
        <f>IF(Table1[[#This Row],[Repayment_Status]]="late","bad loan","good loan")</f>
        <v>good loan</v>
      </c>
      <c r="V225" s="1" t="str">
        <f>IF(Table1[[#This Row],[Repayment_Status]]="late","high","low")</f>
        <v>low</v>
      </c>
      <c r="W225" s="1">
        <f>(Table1[[#This Row],[monthly_EMI]]/Table1[[#This Row],[monthly_income]])*100</f>
        <v>30</v>
      </c>
      <c r="X225" s="7">
        <v>29648.69</v>
      </c>
    </row>
    <row r="226" spans="1:24" x14ac:dyDescent="0.25">
      <c r="A226" s="1" t="s">
        <v>454</v>
      </c>
      <c r="B226" s="2" t="s">
        <v>743</v>
      </c>
      <c r="C226" s="5">
        <v>30</v>
      </c>
      <c r="D226" s="1" t="s">
        <v>15</v>
      </c>
      <c r="E226" s="1" t="s">
        <v>24</v>
      </c>
      <c r="F226" s="1" t="s">
        <v>17</v>
      </c>
      <c r="G226" s="1">
        <f>YEAR(Table1[[#This Row],[Application_Date]])</f>
        <v>2024</v>
      </c>
      <c r="H226" s="1" t="str">
        <f>TEXT(Table1[[#This Row],[EMI_payment_date]],"mmmm")</f>
        <v>December</v>
      </c>
      <c r="I226" s="3">
        <v>45606</v>
      </c>
      <c r="J226" s="3">
        <f>EDATE(Table1[[#This Row],[Application_Date]],1)</f>
        <v>45636</v>
      </c>
      <c r="K226" s="9">
        <v>5712000</v>
      </c>
      <c r="L226" s="9">
        <f>Table1[[#This Row],[Annual_Income]]/12</f>
        <v>476000</v>
      </c>
      <c r="M226" s="9">
        <v>5912000</v>
      </c>
      <c r="N226" s="5">
        <f ca="1">DATEDIF(Table1[[#This Row],[EMI_payment_date]],TODAY(),"m")</f>
        <v>19</v>
      </c>
      <c r="O226" s="9">
        <f>20*Table1[[#This Row],[monthly_EMI]]</f>
        <v>2856000</v>
      </c>
      <c r="P226" s="1">
        <v>8.66</v>
      </c>
      <c r="Q226" s="9">
        <f>Table1[[#This Row],[monthly_income]]*30%</f>
        <v>142800</v>
      </c>
      <c r="R226" s="1">
        <f>ROUNDUP(NPER(P226/100/12,-Q226,Table1[[#This Row],[Loan_Amount]]),0)</f>
        <v>50</v>
      </c>
      <c r="S226" s="1">
        <v>696</v>
      </c>
      <c r="T226" s="1" t="s">
        <v>37</v>
      </c>
      <c r="U226" s="1" t="str">
        <f>IF(Table1[[#This Row],[Repayment_Status]]="late","bad loan","good loan")</f>
        <v>bad loan</v>
      </c>
      <c r="V226" s="1" t="str">
        <f>IF(Table1[[#This Row],[Repayment_Status]]="late","high","low")</f>
        <v>high</v>
      </c>
      <c r="W226" s="1">
        <f>(Table1[[#This Row],[monthly_EMI]]/Table1[[#This Row],[monthly_income]])*100</f>
        <v>30</v>
      </c>
      <c r="X226" s="7">
        <v>24105.06</v>
      </c>
    </row>
    <row r="227" spans="1:24" x14ac:dyDescent="0.25">
      <c r="A227" s="1" t="s">
        <v>350</v>
      </c>
      <c r="B227" s="2" t="s">
        <v>809</v>
      </c>
      <c r="C227" s="5">
        <v>41</v>
      </c>
      <c r="D227" s="1" t="s">
        <v>26</v>
      </c>
      <c r="E227" s="1" t="s">
        <v>33</v>
      </c>
      <c r="F227" s="1" t="s">
        <v>22</v>
      </c>
      <c r="G227" s="1">
        <f>YEAR(Table1[[#This Row],[Application_Date]])</f>
        <v>2024</v>
      </c>
      <c r="H227" s="1" t="str">
        <f>TEXT(Table1[[#This Row],[EMI_payment_date]],"mmmm")</f>
        <v>December</v>
      </c>
      <c r="I227" s="3">
        <v>45607</v>
      </c>
      <c r="J227" s="3">
        <f>EDATE(Table1[[#This Row],[Application_Date]],1)</f>
        <v>45637</v>
      </c>
      <c r="K227" s="9">
        <v>4464000</v>
      </c>
      <c r="L227" s="9">
        <f>Table1[[#This Row],[Annual_Income]]/12</f>
        <v>372000</v>
      </c>
      <c r="M227" s="9">
        <v>4664000</v>
      </c>
      <c r="N227" s="5">
        <f ca="1">DATEDIF(Table1[[#This Row],[EMI_payment_date]],TODAY(),"m")</f>
        <v>19</v>
      </c>
      <c r="O227" s="9">
        <f>20*Table1[[#This Row],[monthly_EMI]]</f>
        <v>2232000</v>
      </c>
      <c r="P227" s="1">
        <v>6.22</v>
      </c>
      <c r="Q227" s="9">
        <f>Table1[[#This Row],[monthly_income]]*30%</f>
        <v>111600</v>
      </c>
      <c r="R227" s="1">
        <f>ROUNDUP(NPER(P227/100/12,-Q227,Table1[[#This Row],[Loan_Amount]]),0)</f>
        <v>48</v>
      </c>
      <c r="S227" s="1">
        <v>795</v>
      </c>
      <c r="T227" s="1" t="s">
        <v>20</v>
      </c>
      <c r="U227" s="1" t="str">
        <f>IF(Table1[[#This Row],[Repayment_Status]]="late","bad loan","good loan")</f>
        <v>good loan</v>
      </c>
      <c r="V227" s="1" t="str">
        <f>IF(Table1[[#This Row],[Repayment_Status]]="late","high","low")</f>
        <v>low</v>
      </c>
      <c r="W227" s="1">
        <f>(Table1[[#This Row],[monthly_EMI]]/Table1[[#This Row],[monthly_income]])*100</f>
        <v>30</v>
      </c>
      <c r="X227" s="7">
        <v>14076.54</v>
      </c>
    </row>
    <row r="228" spans="1:24" x14ac:dyDescent="0.25">
      <c r="A228" s="1" t="s">
        <v>396</v>
      </c>
      <c r="B228" s="2" t="s">
        <v>784</v>
      </c>
      <c r="C228" s="5">
        <v>40</v>
      </c>
      <c r="D228" s="1" t="s">
        <v>26</v>
      </c>
      <c r="E228" s="1" t="s">
        <v>36</v>
      </c>
      <c r="F228" s="1" t="s">
        <v>51</v>
      </c>
      <c r="G228" s="1">
        <f>YEAR(Table1[[#This Row],[Application_Date]])</f>
        <v>2024</v>
      </c>
      <c r="H228" s="1" t="str">
        <f>TEXT(Table1[[#This Row],[EMI_payment_date]],"mmmm")</f>
        <v>December</v>
      </c>
      <c r="I228" s="3">
        <v>45608</v>
      </c>
      <c r="J228" s="3">
        <f>EDATE(Table1[[#This Row],[Application_Date]],1)</f>
        <v>45638</v>
      </c>
      <c r="K228" s="9">
        <v>5016000</v>
      </c>
      <c r="L228" s="9">
        <f>Table1[[#This Row],[Annual_Income]]/12</f>
        <v>418000</v>
      </c>
      <c r="M228" s="9">
        <v>5216000</v>
      </c>
      <c r="N228" s="5">
        <f ca="1">DATEDIF(Table1[[#This Row],[EMI_payment_date]],TODAY(),"m")</f>
        <v>19</v>
      </c>
      <c r="O228" s="9">
        <f>20*Table1[[#This Row],[monthly_EMI]]</f>
        <v>2508000</v>
      </c>
      <c r="P228" s="1">
        <v>6.75</v>
      </c>
      <c r="Q228" s="9">
        <f>Table1[[#This Row],[monthly_income]]*30%</f>
        <v>125400</v>
      </c>
      <c r="R228" s="1">
        <f>ROUNDUP(NPER(P228/100/12,-Q228,Table1[[#This Row],[Loan_Amount]]),0)</f>
        <v>48</v>
      </c>
      <c r="S228" s="1">
        <v>717</v>
      </c>
      <c r="T228" s="1" t="s">
        <v>37</v>
      </c>
      <c r="U228" s="1" t="str">
        <f>IF(Table1[[#This Row],[Repayment_Status]]="late","bad loan","good loan")</f>
        <v>bad loan</v>
      </c>
      <c r="V228" s="1" t="str">
        <f>IF(Table1[[#This Row],[Repayment_Status]]="late","high","low")</f>
        <v>high</v>
      </c>
      <c r="W228" s="1">
        <f>(Table1[[#This Row],[monthly_EMI]]/Table1[[#This Row],[monthly_income]])*100</f>
        <v>30</v>
      </c>
      <c r="X228" s="7">
        <v>11695.08</v>
      </c>
    </row>
    <row r="229" spans="1:24" x14ac:dyDescent="0.25">
      <c r="A229" s="1" t="s">
        <v>702</v>
      </c>
      <c r="B229" s="2" t="s">
        <v>900</v>
      </c>
      <c r="C229" s="5">
        <v>53</v>
      </c>
      <c r="D229" s="1" t="s">
        <v>26</v>
      </c>
      <c r="E229" s="1" t="s">
        <v>24</v>
      </c>
      <c r="F229" s="1" t="s">
        <v>51</v>
      </c>
      <c r="G229" s="1">
        <f>YEAR(Table1[[#This Row],[Application_Date]])</f>
        <v>2024</v>
      </c>
      <c r="H229" s="1" t="str">
        <f>TEXT(Table1[[#This Row],[EMI_payment_date]],"mmmm")</f>
        <v>December</v>
      </c>
      <c r="I229" s="3">
        <v>45609</v>
      </c>
      <c r="J229" s="3">
        <f>EDATE(Table1[[#This Row],[Application_Date]],1)</f>
        <v>45639</v>
      </c>
      <c r="K229" s="9">
        <v>8688000</v>
      </c>
      <c r="L229" s="9">
        <f>Table1[[#This Row],[Annual_Income]]/12</f>
        <v>724000</v>
      </c>
      <c r="M229" s="9">
        <v>8888000</v>
      </c>
      <c r="N229" s="5">
        <f ca="1">DATEDIF(Table1[[#This Row],[EMI_payment_date]],TODAY(),"m")</f>
        <v>19</v>
      </c>
      <c r="O229" s="9">
        <f>20*Table1[[#This Row],[monthly_EMI]]</f>
        <v>4344000</v>
      </c>
      <c r="P229" s="1">
        <v>8.66</v>
      </c>
      <c r="Q229" s="9">
        <f>Table1[[#This Row],[monthly_income]]*30%</f>
        <v>217200</v>
      </c>
      <c r="R229" s="1">
        <f>ROUNDUP(NPER(P229/100/12,-Q229,Table1[[#This Row],[Loan_Amount]]),0)</f>
        <v>49</v>
      </c>
      <c r="S229" s="1">
        <v>827</v>
      </c>
      <c r="T229" s="1" t="s">
        <v>20</v>
      </c>
      <c r="U229" s="1" t="str">
        <f>IF(Table1[[#This Row],[Repayment_Status]]="late","bad loan","good loan")</f>
        <v>good loan</v>
      </c>
      <c r="V229" s="1" t="str">
        <f>IF(Table1[[#This Row],[Repayment_Status]]="late","high","low")</f>
        <v>low</v>
      </c>
      <c r="W229" s="1">
        <f>(Table1[[#This Row],[monthly_EMI]]/Table1[[#This Row],[monthly_income]])*100</f>
        <v>30</v>
      </c>
      <c r="X229" s="7">
        <v>6854.06</v>
      </c>
    </row>
    <row r="230" spans="1:24" x14ac:dyDescent="0.25">
      <c r="A230" s="1" t="s">
        <v>719</v>
      </c>
      <c r="B230" s="2" t="s">
        <v>769</v>
      </c>
      <c r="C230" s="5">
        <v>45</v>
      </c>
      <c r="D230" s="1" t="s">
        <v>26</v>
      </c>
      <c r="E230" s="1" t="s">
        <v>16</v>
      </c>
      <c r="F230" s="1" t="s">
        <v>51</v>
      </c>
      <c r="G230" s="1">
        <f>YEAR(Table1[[#This Row],[Application_Date]])</f>
        <v>2024</v>
      </c>
      <c r="H230" s="1" t="str">
        <f>TEXT(Table1[[#This Row],[EMI_payment_date]],"mmmm")</f>
        <v>December</v>
      </c>
      <c r="I230" s="3">
        <v>45610</v>
      </c>
      <c r="J230" s="3">
        <f>EDATE(Table1[[#This Row],[Application_Date]],1)</f>
        <v>45640</v>
      </c>
      <c r="K230" s="9">
        <v>8892000</v>
      </c>
      <c r="L230" s="9">
        <f>Table1[[#This Row],[Annual_Income]]/12</f>
        <v>741000</v>
      </c>
      <c r="M230" s="9">
        <v>9092000</v>
      </c>
      <c r="N230" s="5">
        <f ca="1">DATEDIF(Table1[[#This Row],[EMI_payment_date]],TODAY(),"m")</f>
        <v>19</v>
      </c>
      <c r="O230" s="9">
        <f>20*Table1[[#This Row],[monthly_EMI]]</f>
        <v>4446000</v>
      </c>
      <c r="P230" s="1">
        <v>7.14</v>
      </c>
      <c r="Q230" s="9">
        <f>Table1[[#This Row],[monthly_income]]*30%</f>
        <v>222300</v>
      </c>
      <c r="R230" s="1">
        <f>ROUNDUP(NPER(P230/100/12,-Q230,Table1[[#This Row],[Loan_Amount]]),0)</f>
        <v>48</v>
      </c>
      <c r="S230" s="1">
        <v>795</v>
      </c>
      <c r="T230" s="1" t="s">
        <v>20</v>
      </c>
      <c r="U230" s="1" t="str">
        <f>IF(Table1[[#This Row],[Repayment_Status]]="late","bad loan","good loan")</f>
        <v>good loan</v>
      </c>
      <c r="V230" s="1" t="str">
        <f>IF(Table1[[#This Row],[Repayment_Status]]="late","high","low")</f>
        <v>low</v>
      </c>
      <c r="W230" s="1">
        <f>(Table1[[#This Row],[monthly_EMI]]/Table1[[#This Row],[monthly_income]])*100</f>
        <v>30</v>
      </c>
      <c r="X230" s="7">
        <v>21982.52</v>
      </c>
    </row>
    <row r="231" spans="1:24" x14ac:dyDescent="0.25">
      <c r="A231" s="1" t="s">
        <v>316</v>
      </c>
      <c r="B231" s="2" t="s">
        <v>837</v>
      </c>
      <c r="C231" s="5">
        <v>51</v>
      </c>
      <c r="D231" s="1" t="s">
        <v>26</v>
      </c>
      <c r="E231" s="1" t="s">
        <v>24</v>
      </c>
      <c r="F231" s="1" t="s">
        <v>17</v>
      </c>
      <c r="G231" s="1">
        <f>YEAR(Table1[[#This Row],[Application_Date]])</f>
        <v>2024</v>
      </c>
      <c r="H231" s="1" t="str">
        <f>TEXT(Table1[[#This Row],[EMI_payment_date]],"mmmm")</f>
        <v>December</v>
      </c>
      <c r="I231" s="3">
        <v>45611</v>
      </c>
      <c r="J231" s="3">
        <f>EDATE(Table1[[#This Row],[Application_Date]],1)</f>
        <v>45641</v>
      </c>
      <c r="K231" s="9">
        <v>4056000</v>
      </c>
      <c r="L231" s="9">
        <f>Table1[[#This Row],[Annual_Income]]/12</f>
        <v>338000</v>
      </c>
      <c r="M231" s="9">
        <v>4256000</v>
      </c>
      <c r="N231" s="5">
        <f ca="1">DATEDIF(Table1[[#This Row],[EMI_payment_date]],TODAY(),"m")</f>
        <v>19</v>
      </c>
      <c r="O231" s="9">
        <f>20*Table1[[#This Row],[monthly_EMI]]</f>
        <v>2028000</v>
      </c>
      <c r="P231" s="1">
        <v>7.36</v>
      </c>
      <c r="Q231" s="9">
        <f>Table1[[#This Row],[monthly_income]]*30%</f>
        <v>101400</v>
      </c>
      <c r="R231" s="1">
        <f>ROUNDUP(NPER(P231/100/12,-Q231,Table1[[#This Row],[Loan_Amount]]),0)</f>
        <v>49</v>
      </c>
      <c r="S231" s="1">
        <v>742</v>
      </c>
      <c r="T231" s="1" t="s">
        <v>20</v>
      </c>
      <c r="U231" s="1" t="str">
        <f>IF(Table1[[#This Row],[Repayment_Status]]="late","bad loan","good loan")</f>
        <v>good loan</v>
      </c>
      <c r="V231" s="1" t="str">
        <f>IF(Table1[[#This Row],[Repayment_Status]]="late","high","low")</f>
        <v>low</v>
      </c>
      <c r="W231" s="1">
        <f>(Table1[[#This Row],[monthly_EMI]]/Table1[[#This Row],[monthly_income]])*100</f>
        <v>30</v>
      </c>
      <c r="X231" s="7">
        <v>33182.71</v>
      </c>
    </row>
    <row r="232" spans="1:24" x14ac:dyDescent="0.25">
      <c r="A232" s="1" t="s">
        <v>121</v>
      </c>
      <c r="B232" s="2" t="s">
        <v>805</v>
      </c>
      <c r="C232" s="5">
        <v>56</v>
      </c>
      <c r="D232" s="1" t="s">
        <v>15</v>
      </c>
      <c r="E232" s="1" t="s">
        <v>29</v>
      </c>
      <c r="F232" s="1" t="s">
        <v>51</v>
      </c>
      <c r="G232" s="1">
        <f>YEAR(Table1[[#This Row],[Application_Date]])</f>
        <v>2024</v>
      </c>
      <c r="H232" s="1" t="str">
        <f>TEXT(Table1[[#This Row],[EMI_payment_date]],"mmmm")</f>
        <v>December</v>
      </c>
      <c r="I232" s="3">
        <v>45612</v>
      </c>
      <c r="J232" s="3">
        <f>EDATE(Table1[[#This Row],[Application_Date]],1)</f>
        <v>45642</v>
      </c>
      <c r="K232" s="9">
        <v>1716000</v>
      </c>
      <c r="L232" s="9">
        <f>Table1[[#This Row],[Annual_Income]]/12</f>
        <v>143000</v>
      </c>
      <c r="M232" s="9">
        <v>1916000</v>
      </c>
      <c r="N232" s="5">
        <f ca="1">DATEDIF(Table1[[#This Row],[EMI_payment_date]],TODAY(),"m")</f>
        <v>19</v>
      </c>
      <c r="O232" s="9">
        <f>20*Table1[[#This Row],[monthly_EMI]]</f>
        <v>858000</v>
      </c>
      <c r="P232" s="1">
        <v>6.2</v>
      </c>
      <c r="Q232" s="9">
        <f>Table1[[#This Row],[monthly_income]]*30%</f>
        <v>42900</v>
      </c>
      <c r="R232" s="1">
        <f>ROUNDUP(NPER(P232/100/12,-Q232,Table1[[#This Row],[Loan_Amount]]),0)</f>
        <v>51</v>
      </c>
      <c r="S232" s="1">
        <v>752</v>
      </c>
      <c r="T232" s="1" t="s">
        <v>20</v>
      </c>
      <c r="U232" s="1" t="str">
        <f>IF(Table1[[#This Row],[Repayment_Status]]="late","bad loan","good loan")</f>
        <v>good loan</v>
      </c>
      <c r="V232" s="1" t="str">
        <f>IF(Table1[[#This Row],[Repayment_Status]]="late","high","low")</f>
        <v>low</v>
      </c>
      <c r="W232" s="1">
        <f>(Table1[[#This Row],[monthly_EMI]]/Table1[[#This Row],[monthly_income]])*100</f>
        <v>30</v>
      </c>
      <c r="X232" s="7">
        <v>22244.94</v>
      </c>
    </row>
    <row r="233" spans="1:24" x14ac:dyDescent="0.25">
      <c r="A233" s="1" t="s">
        <v>570</v>
      </c>
      <c r="B233" s="2" t="s">
        <v>824</v>
      </c>
      <c r="C233" s="5">
        <v>31</v>
      </c>
      <c r="D233" s="1" t="s">
        <v>15</v>
      </c>
      <c r="E233" s="1" t="s">
        <v>16</v>
      </c>
      <c r="F233" s="1" t="s">
        <v>19</v>
      </c>
      <c r="G233" s="1">
        <f>YEAR(Table1[[#This Row],[Application_Date]])</f>
        <v>2024</v>
      </c>
      <c r="H233" s="1" t="str">
        <f>TEXT(Table1[[#This Row],[EMI_payment_date]],"mmmm")</f>
        <v>December</v>
      </c>
      <c r="I233" s="3">
        <v>45613</v>
      </c>
      <c r="J233" s="3">
        <f>EDATE(Table1[[#This Row],[Application_Date]],1)</f>
        <v>45643</v>
      </c>
      <c r="K233" s="9">
        <v>7104000</v>
      </c>
      <c r="L233" s="9">
        <f>Table1[[#This Row],[Annual_Income]]/12</f>
        <v>592000</v>
      </c>
      <c r="M233" s="9">
        <v>7304000</v>
      </c>
      <c r="N233" s="5">
        <f ca="1">DATEDIF(Table1[[#This Row],[EMI_payment_date]],TODAY(),"m")</f>
        <v>19</v>
      </c>
      <c r="O233" s="9">
        <f>20*Table1[[#This Row],[monthly_EMI]]</f>
        <v>3552000</v>
      </c>
      <c r="P233" s="1">
        <v>6.07</v>
      </c>
      <c r="Q233" s="9">
        <f>Table1[[#This Row],[monthly_income]]*30%</f>
        <v>177600</v>
      </c>
      <c r="R233" s="1">
        <f>ROUNDUP(NPER(P233/100/12,-Q233,Table1[[#This Row],[Loan_Amount]]),0)</f>
        <v>47</v>
      </c>
      <c r="S233" s="1">
        <v>798</v>
      </c>
      <c r="T233" s="1" t="s">
        <v>20</v>
      </c>
      <c r="U233" s="1" t="str">
        <f>IF(Table1[[#This Row],[Repayment_Status]]="late","bad loan","good loan")</f>
        <v>good loan</v>
      </c>
      <c r="V233" s="1" t="str">
        <f>IF(Table1[[#This Row],[Repayment_Status]]="late","high","low")</f>
        <v>low</v>
      </c>
      <c r="W233" s="1">
        <f>(Table1[[#This Row],[monthly_EMI]]/Table1[[#This Row],[monthly_income]])*100</f>
        <v>30</v>
      </c>
      <c r="X233" s="7">
        <v>17135.78</v>
      </c>
    </row>
    <row r="234" spans="1:24" x14ac:dyDescent="0.25">
      <c r="A234" s="1" t="s">
        <v>560</v>
      </c>
      <c r="B234" s="2" t="s">
        <v>817</v>
      </c>
      <c r="C234" s="5">
        <v>57</v>
      </c>
      <c r="D234" s="1" t="s">
        <v>26</v>
      </c>
      <c r="E234" s="1" t="s">
        <v>36</v>
      </c>
      <c r="F234" s="1" t="s">
        <v>31</v>
      </c>
      <c r="G234" s="1">
        <f>YEAR(Table1[[#This Row],[Application_Date]])</f>
        <v>2024</v>
      </c>
      <c r="H234" s="1" t="str">
        <f>TEXT(Table1[[#This Row],[EMI_payment_date]],"mmmm")</f>
        <v>December</v>
      </c>
      <c r="I234" s="3">
        <v>45614</v>
      </c>
      <c r="J234" s="3">
        <f>EDATE(Table1[[#This Row],[Application_Date]],1)</f>
        <v>45644</v>
      </c>
      <c r="K234" s="9">
        <v>6984000</v>
      </c>
      <c r="L234" s="9">
        <f>Table1[[#This Row],[Annual_Income]]/12</f>
        <v>582000</v>
      </c>
      <c r="M234" s="9">
        <v>7184000</v>
      </c>
      <c r="N234" s="5">
        <f ca="1">DATEDIF(Table1[[#This Row],[EMI_payment_date]],TODAY(),"m")</f>
        <v>19</v>
      </c>
      <c r="O234" s="9">
        <f>20*Table1[[#This Row],[monthly_EMI]]</f>
        <v>3492000</v>
      </c>
      <c r="P234" s="1">
        <v>8.15</v>
      </c>
      <c r="Q234" s="9">
        <f>Table1[[#This Row],[monthly_income]]*30%</f>
        <v>174600</v>
      </c>
      <c r="R234" s="1">
        <f>ROUNDUP(NPER(P234/100/12,-Q234,Table1[[#This Row],[Loan_Amount]]),0)</f>
        <v>49</v>
      </c>
      <c r="S234" s="1">
        <v>828</v>
      </c>
      <c r="T234" s="1" t="s">
        <v>20</v>
      </c>
      <c r="U234" s="1" t="str">
        <f>IF(Table1[[#This Row],[Repayment_Status]]="late","bad loan","good loan")</f>
        <v>good loan</v>
      </c>
      <c r="V234" s="1" t="str">
        <f>IF(Table1[[#This Row],[Repayment_Status]]="late","high","low")</f>
        <v>low</v>
      </c>
      <c r="W234" s="1">
        <f>(Table1[[#This Row],[monthly_EMI]]/Table1[[#This Row],[monthly_income]])*100</f>
        <v>30</v>
      </c>
      <c r="X234" s="7">
        <v>36439.660000000003</v>
      </c>
    </row>
    <row r="235" spans="1:24" x14ac:dyDescent="0.25">
      <c r="A235" s="1" t="s">
        <v>429</v>
      </c>
      <c r="B235" s="2" t="s">
        <v>855</v>
      </c>
      <c r="C235" s="5">
        <v>53</v>
      </c>
      <c r="D235" s="1" t="s">
        <v>26</v>
      </c>
      <c r="E235" s="1" t="s">
        <v>33</v>
      </c>
      <c r="F235" s="1" t="s">
        <v>22</v>
      </c>
      <c r="G235" s="1">
        <f>YEAR(Table1[[#This Row],[Application_Date]])</f>
        <v>2024</v>
      </c>
      <c r="H235" s="1" t="str">
        <f>TEXT(Table1[[#This Row],[EMI_payment_date]],"mmmm")</f>
        <v>December</v>
      </c>
      <c r="I235" s="3">
        <v>45615</v>
      </c>
      <c r="J235" s="3">
        <f>EDATE(Table1[[#This Row],[Application_Date]],1)</f>
        <v>45645</v>
      </c>
      <c r="K235" s="9">
        <v>5412000</v>
      </c>
      <c r="L235" s="9">
        <f>Table1[[#This Row],[Annual_Income]]/12</f>
        <v>451000</v>
      </c>
      <c r="M235" s="9">
        <v>5612000</v>
      </c>
      <c r="N235" s="5">
        <f ca="1">DATEDIF(Table1[[#This Row],[EMI_payment_date]],TODAY(),"m")</f>
        <v>19</v>
      </c>
      <c r="O235" s="9">
        <f>20*Table1[[#This Row],[monthly_EMI]]</f>
        <v>2706000</v>
      </c>
      <c r="P235" s="1">
        <v>8.16</v>
      </c>
      <c r="Q235" s="9">
        <f>Table1[[#This Row],[monthly_income]]*30%</f>
        <v>135300</v>
      </c>
      <c r="R235" s="1">
        <f>ROUNDUP(NPER(P235/100/12,-Q235,Table1[[#This Row],[Loan_Amount]]),0)</f>
        <v>49</v>
      </c>
      <c r="S235" s="1">
        <v>836</v>
      </c>
      <c r="T235" s="1" t="s">
        <v>20</v>
      </c>
      <c r="U235" s="1" t="str">
        <f>IF(Table1[[#This Row],[Repayment_Status]]="late","bad loan","good loan")</f>
        <v>good loan</v>
      </c>
      <c r="V235" s="1" t="str">
        <f>IF(Table1[[#This Row],[Repayment_Status]]="late","high","low")</f>
        <v>low</v>
      </c>
      <c r="W235" s="1">
        <f>(Table1[[#This Row],[monthly_EMI]]/Table1[[#This Row],[monthly_income]])*100</f>
        <v>30</v>
      </c>
      <c r="X235" s="7">
        <v>18291.830000000002</v>
      </c>
    </row>
    <row r="236" spans="1:24" x14ac:dyDescent="0.25">
      <c r="A236" s="1" t="s">
        <v>506</v>
      </c>
      <c r="B236" s="2" t="s">
        <v>912</v>
      </c>
      <c r="C236" s="5">
        <v>35</v>
      </c>
      <c r="D236" s="1" t="s">
        <v>15</v>
      </c>
      <c r="E236" s="1" t="s">
        <v>16</v>
      </c>
      <c r="F236" s="1" t="s">
        <v>22</v>
      </c>
      <c r="G236" s="1">
        <f>YEAR(Table1[[#This Row],[Application_Date]])</f>
        <v>2024</v>
      </c>
      <c r="H236" s="1" t="str">
        <f>TEXT(Table1[[#This Row],[EMI_payment_date]],"mmmm")</f>
        <v>December</v>
      </c>
      <c r="I236" s="3">
        <v>45616</v>
      </c>
      <c r="J236" s="3">
        <f>EDATE(Table1[[#This Row],[Application_Date]],1)</f>
        <v>45646</v>
      </c>
      <c r="K236" s="9">
        <v>6336000</v>
      </c>
      <c r="L236" s="9">
        <f>Table1[[#This Row],[Annual_Income]]/12</f>
        <v>528000</v>
      </c>
      <c r="M236" s="9">
        <v>6536000</v>
      </c>
      <c r="N236" s="5">
        <f ca="1">DATEDIF(Table1[[#This Row],[EMI_payment_date]],TODAY(),"m")</f>
        <v>19</v>
      </c>
      <c r="O236" s="9">
        <f>20*Table1[[#This Row],[monthly_EMI]]</f>
        <v>3168000</v>
      </c>
      <c r="P236" s="1">
        <v>10</v>
      </c>
      <c r="Q236" s="9">
        <f>Table1[[#This Row],[monthly_income]]*30%</f>
        <v>158400</v>
      </c>
      <c r="R236" s="1">
        <f>ROUNDUP(NPER(P236/100/12,-Q236,Table1[[#This Row],[Loan_Amount]]),0)</f>
        <v>51</v>
      </c>
      <c r="S236" s="1">
        <v>722</v>
      </c>
      <c r="T236" s="1" t="s">
        <v>20</v>
      </c>
      <c r="U236" s="1" t="str">
        <f>IF(Table1[[#This Row],[Repayment_Status]]="late","bad loan","good loan")</f>
        <v>good loan</v>
      </c>
      <c r="V236" s="1" t="str">
        <f>IF(Table1[[#This Row],[Repayment_Status]]="late","high","low")</f>
        <v>low</v>
      </c>
      <c r="W236" s="1">
        <f>(Table1[[#This Row],[monthly_EMI]]/Table1[[#This Row],[monthly_income]])*100</f>
        <v>30</v>
      </c>
      <c r="X236" s="7">
        <v>20213.86</v>
      </c>
    </row>
    <row r="237" spans="1:24" x14ac:dyDescent="0.25">
      <c r="A237" s="1" t="s">
        <v>163</v>
      </c>
      <c r="B237" s="2" t="s">
        <v>805</v>
      </c>
      <c r="C237" s="5">
        <v>58</v>
      </c>
      <c r="D237" s="1" t="s">
        <v>26</v>
      </c>
      <c r="E237" s="1" t="s">
        <v>24</v>
      </c>
      <c r="F237" s="1" t="s">
        <v>17</v>
      </c>
      <c r="G237" s="1">
        <f>YEAR(Table1[[#This Row],[Application_Date]])</f>
        <v>2024</v>
      </c>
      <c r="H237" s="1" t="str">
        <f>TEXT(Table1[[#This Row],[EMI_payment_date]],"mmmm")</f>
        <v>December</v>
      </c>
      <c r="I237" s="3">
        <v>45617</v>
      </c>
      <c r="J237" s="3">
        <f>EDATE(Table1[[#This Row],[Application_Date]],1)</f>
        <v>45647</v>
      </c>
      <c r="K237" s="9">
        <v>2220000</v>
      </c>
      <c r="L237" s="9">
        <f>Table1[[#This Row],[Annual_Income]]/12</f>
        <v>185000</v>
      </c>
      <c r="M237" s="9">
        <v>2420000</v>
      </c>
      <c r="N237" s="5">
        <f ca="1">DATEDIF(Table1[[#This Row],[EMI_payment_date]],TODAY(),"m")</f>
        <v>19</v>
      </c>
      <c r="O237" s="9">
        <f>20*Table1[[#This Row],[monthly_EMI]]</f>
        <v>1110000</v>
      </c>
      <c r="P237" s="1">
        <v>8.57</v>
      </c>
      <c r="Q237" s="9">
        <f>Table1[[#This Row],[monthly_income]]*30%</f>
        <v>55500</v>
      </c>
      <c r="R237" s="1">
        <f>ROUNDUP(NPER(P237/100/12,-Q237,Table1[[#This Row],[Loan_Amount]]),0)</f>
        <v>53</v>
      </c>
      <c r="S237" s="1">
        <v>707</v>
      </c>
      <c r="T237" s="1" t="s">
        <v>20</v>
      </c>
      <c r="U237" s="1" t="str">
        <f>IF(Table1[[#This Row],[Repayment_Status]]="late","bad loan","good loan")</f>
        <v>good loan</v>
      </c>
      <c r="V237" s="1" t="str">
        <f>IF(Table1[[#This Row],[Repayment_Status]]="late","high","low")</f>
        <v>low</v>
      </c>
      <c r="W237" s="1">
        <f>(Table1[[#This Row],[monthly_EMI]]/Table1[[#This Row],[monthly_income]])*100</f>
        <v>30</v>
      </c>
      <c r="X237" s="7">
        <v>34418.129999999997</v>
      </c>
    </row>
    <row r="238" spans="1:24" x14ac:dyDescent="0.25">
      <c r="A238" s="1" t="s">
        <v>332</v>
      </c>
      <c r="B238" s="2" t="s">
        <v>805</v>
      </c>
      <c r="C238" s="5">
        <v>53</v>
      </c>
      <c r="D238" s="1" t="s">
        <v>15</v>
      </c>
      <c r="E238" s="1" t="s">
        <v>36</v>
      </c>
      <c r="F238" s="1" t="s">
        <v>19</v>
      </c>
      <c r="G238" s="1">
        <f>YEAR(Table1[[#This Row],[Application_Date]])</f>
        <v>2024</v>
      </c>
      <c r="H238" s="1" t="str">
        <f>TEXT(Table1[[#This Row],[EMI_payment_date]],"mmmm")</f>
        <v>December</v>
      </c>
      <c r="I238" s="3">
        <v>45618</v>
      </c>
      <c r="J238" s="3">
        <f>EDATE(Table1[[#This Row],[Application_Date]],1)</f>
        <v>45648</v>
      </c>
      <c r="K238" s="9">
        <v>4248000</v>
      </c>
      <c r="L238" s="9">
        <f>Table1[[#This Row],[Annual_Income]]/12</f>
        <v>354000</v>
      </c>
      <c r="M238" s="9">
        <v>4448000</v>
      </c>
      <c r="N238" s="5">
        <f ca="1">DATEDIF(Table1[[#This Row],[EMI_payment_date]],TODAY(),"m")</f>
        <v>19</v>
      </c>
      <c r="O238" s="9">
        <f>20*Table1[[#This Row],[monthly_EMI]]</f>
        <v>2124000</v>
      </c>
      <c r="P238" s="1">
        <v>9.91</v>
      </c>
      <c r="Q238" s="9">
        <f>Table1[[#This Row],[monthly_income]]*30%</f>
        <v>106200</v>
      </c>
      <c r="R238" s="1">
        <f>ROUNDUP(NPER(P238/100/12,-Q238,Table1[[#This Row],[Loan_Amount]]),0)</f>
        <v>52</v>
      </c>
      <c r="S238" s="1">
        <v>760</v>
      </c>
      <c r="T238" s="1" t="s">
        <v>20</v>
      </c>
      <c r="U238" s="1" t="str">
        <f>IF(Table1[[#This Row],[Repayment_Status]]="late","bad loan","good loan")</f>
        <v>good loan</v>
      </c>
      <c r="V238" s="1" t="str">
        <f>IF(Table1[[#This Row],[Repayment_Status]]="late","high","low")</f>
        <v>low</v>
      </c>
      <c r="W238" s="1">
        <f>(Table1[[#This Row],[monthly_EMI]]/Table1[[#This Row],[monthly_income]])*100</f>
        <v>30</v>
      </c>
      <c r="X238" s="7">
        <v>18191.53</v>
      </c>
    </row>
    <row r="239" spans="1:24" x14ac:dyDescent="0.25">
      <c r="A239" s="1" t="s">
        <v>673</v>
      </c>
      <c r="B239" s="2" t="s">
        <v>743</v>
      </c>
      <c r="C239" s="5">
        <v>48</v>
      </c>
      <c r="D239" s="1" t="s">
        <v>15</v>
      </c>
      <c r="E239" s="1" t="s">
        <v>27</v>
      </c>
      <c r="F239" s="1" t="s">
        <v>17</v>
      </c>
      <c r="G239" s="1">
        <f>YEAR(Table1[[#This Row],[Application_Date]])</f>
        <v>2024</v>
      </c>
      <c r="H239" s="1" t="str">
        <f>TEXT(Table1[[#This Row],[EMI_payment_date]],"mmmm")</f>
        <v>December</v>
      </c>
      <c r="I239" s="3">
        <v>45619</v>
      </c>
      <c r="J239" s="3">
        <f>EDATE(Table1[[#This Row],[Application_Date]],1)</f>
        <v>45649</v>
      </c>
      <c r="K239" s="9">
        <v>8340000</v>
      </c>
      <c r="L239" s="9">
        <f>Table1[[#This Row],[Annual_Income]]/12</f>
        <v>695000</v>
      </c>
      <c r="M239" s="9">
        <v>8540000</v>
      </c>
      <c r="N239" s="5">
        <f ca="1">DATEDIF(Table1[[#This Row],[EMI_payment_date]],TODAY(),"m")</f>
        <v>19</v>
      </c>
      <c r="O239" s="9">
        <f>20*Table1[[#This Row],[monthly_EMI]]</f>
        <v>4170000</v>
      </c>
      <c r="P239" s="1">
        <v>6.03</v>
      </c>
      <c r="Q239" s="9">
        <f>Table1[[#This Row],[monthly_income]]*30%</f>
        <v>208500</v>
      </c>
      <c r="R239" s="1">
        <f>ROUNDUP(NPER(P239/100/12,-Q239,Table1[[#This Row],[Loan_Amount]]),0)</f>
        <v>46</v>
      </c>
      <c r="S239" s="1">
        <v>640</v>
      </c>
      <c r="T239" s="1" t="s">
        <v>20</v>
      </c>
      <c r="U239" s="1" t="str">
        <f>IF(Table1[[#This Row],[Repayment_Status]]="late","bad loan","good loan")</f>
        <v>good loan</v>
      </c>
      <c r="V239" s="1" t="str">
        <f>IF(Table1[[#This Row],[Repayment_Status]]="late","high","low")</f>
        <v>low</v>
      </c>
      <c r="W239" s="1">
        <f>(Table1[[#This Row],[monthly_EMI]]/Table1[[#This Row],[monthly_income]])*100</f>
        <v>30</v>
      </c>
      <c r="X239" s="7">
        <v>18667.07</v>
      </c>
    </row>
    <row r="240" spans="1:24" x14ac:dyDescent="0.25">
      <c r="A240" s="1" t="s">
        <v>701</v>
      </c>
      <c r="B240" s="2" t="s">
        <v>790</v>
      </c>
      <c r="C240" s="5">
        <v>24</v>
      </c>
      <c r="D240" s="1" t="s">
        <v>26</v>
      </c>
      <c r="E240" s="1" t="s">
        <v>36</v>
      </c>
      <c r="F240" s="1" t="s">
        <v>31</v>
      </c>
      <c r="G240" s="1">
        <f>YEAR(Table1[[#This Row],[Application_Date]])</f>
        <v>2024</v>
      </c>
      <c r="H240" s="1" t="str">
        <f>TEXT(Table1[[#This Row],[EMI_payment_date]],"mmmm")</f>
        <v>December</v>
      </c>
      <c r="I240" s="3">
        <v>45620</v>
      </c>
      <c r="J240" s="3">
        <f>EDATE(Table1[[#This Row],[Application_Date]],1)</f>
        <v>45650</v>
      </c>
      <c r="K240" s="9">
        <v>8676000</v>
      </c>
      <c r="L240" s="9">
        <f>Table1[[#This Row],[Annual_Income]]/12</f>
        <v>723000</v>
      </c>
      <c r="M240" s="9">
        <v>8876000</v>
      </c>
      <c r="N240" s="5">
        <f ca="1">DATEDIF(Table1[[#This Row],[EMI_payment_date]],TODAY(),"m")</f>
        <v>19</v>
      </c>
      <c r="O240" s="9">
        <f>20*Table1[[#This Row],[monthly_EMI]]</f>
        <v>4338000</v>
      </c>
      <c r="P240" s="1">
        <v>8.74</v>
      </c>
      <c r="Q240" s="9">
        <f>Table1[[#This Row],[monthly_income]]*30%</f>
        <v>216900</v>
      </c>
      <c r="R240" s="1">
        <f>ROUNDUP(NPER(P240/100/12,-Q240,Table1[[#This Row],[Loan_Amount]]),0)</f>
        <v>49</v>
      </c>
      <c r="S240" s="1">
        <v>630</v>
      </c>
      <c r="T240" s="1" t="s">
        <v>20</v>
      </c>
      <c r="U240" s="1" t="str">
        <f>IF(Table1[[#This Row],[Repayment_Status]]="late","bad loan","good loan")</f>
        <v>good loan</v>
      </c>
      <c r="V240" s="1" t="str">
        <f>IF(Table1[[#This Row],[Repayment_Status]]="late","high","low")</f>
        <v>low</v>
      </c>
      <c r="W240" s="1">
        <f>(Table1[[#This Row],[monthly_EMI]]/Table1[[#This Row],[monthly_income]])*100</f>
        <v>30</v>
      </c>
      <c r="X240" s="7">
        <v>34987.25</v>
      </c>
    </row>
    <row r="241" spans="1:24" x14ac:dyDescent="0.25">
      <c r="A241" s="1" t="s">
        <v>617</v>
      </c>
      <c r="B241" s="2" t="s">
        <v>916</v>
      </c>
      <c r="C241" s="5">
        <v>49</v>
      </c>
      <c r="D241" s="1" t="s">
        <v>26</v>
      </c>
      <c r="E241" s="1" t="s">
        <v>24</v>
      </c>
      <c r="F241" s="1" t="s">
        <v>31</v>
      </c>
      <c r="G241" s="1">
        <f>YEAR(Table1[[#This Row],[Application_Date]])</f>
        <v>2024</v>
      </c>
      <c r="H241" s="1" t="str">
        <f>TEXT(Table1[[#This Row],[EMI_payment_date]],"mmmm")</f>
        <v>December</v>
      </c>
      <c r="I241" s="3">
        <v>45621</v>
      </c>
      <c r="J241" s="3">
        <f>EDATE(Table1[[#This Row],[Application_Date]],1)</f>
        <v>45651</v>
      </c>
      <c r="K241" s="9">
        <v>7668000</v>
      </c>
      <c r="L241" s="9">
        <f>Table1[[#This Row],[Annual_Income]]/12</f>
        <v>639000</v>
      </c>
      <c r="M241" s="9">
        <v>7868000</v>
      </c>
      <c r="N241" s="5">
        <f ca="1">DATEDIF(Table1[[#This Row],[EMI_payment_date]],TODAY(),"m")</f>
        <v>19</v>
      </c>
      <c r="O241" s="9">
        <f>20*Table1[[#This Row],[monthly_EMI]]</f>
        <v>3834000</v>
      </c>
      <c r="P241" s="1">
        <v>6.69</v>
      </c>
      <c r="Q241" s="9">
        <f>Table1[[#This Row],[monthly_income]]*30%</f>
        <v>191700</v>
      </c>
      <c r="R241" s="1">
        <f>ROUNDUP(NPER(P241/100/12,-Q241,Table1[[#This Row],[Loan_Amount]]),0)</f>
        <v>47</v>
      </c>
      <c r="S241" s="1">
        <v>676</v>
      </c>
      <c r="T241" s="1" t="s">
        <v>20</v>
      </c>
      <c r="U241" s="1" t="str">
        <f>IF(Table1[[#This Row],[Repayment_Status]]="late","bad loan","good loan")</f>
        <v>good loan</v>
      </c>
      <c r="V241" s="1" t="str">
        <f>IF(Table1[[#This Row],[Repayment_Status]]="late","high","low")</f>
        <v>low</v>
      </c>
      <c r="W241" s="1">
        <f>(Table1[[#This Row],[monthly_EMI]]/Table1[[#This Row],[monthly_income]])*100</f>
        <v>30</v>
      </c>
      <c r="X241" s="7">
        <v>7278.47</v>
      </c>
    </row>
    <row r="242" spans="1:24" x14ac:dyDescent="0.25">
      <c r="A242" s="1" t="s">
        <v>717</v>
      </c>
      <c r="B242" s="2" t="s">
        <v>797</v>
      </c>
      <c r="C242" s="5">
        <v>58</v>
      </c>
      <c r="D242" s="1" t="s">
        <v>15</v>
      </c>
      <c r="E242" s="1" t="s">
        <v>33</v>
      </c>
      <c r="F242" s="1" t="s">
        <v>19</v>
      </c>
      <c r="G242" s="1">
        <f>YEAR(Table1[[#This Row],[Application_Date]])</f>
        <v>2024</v>
      </c>
      <c r="H242" s="1" t="str">
        <f>TEXT(Table1[[#This Row],[EMI_payment_date]],"mmmm")</f>
        <v>December</v>
      </c>
      <c r="I242" s="3">
        <v>45622</v>
      </c>
      <c r="J242" s="3">
        <f>EDATE(Table1[[#This Row],[Application_Date]],1)</f>
        <v>45652</v>
      </c>
      <c r="K242" s="9">
        <v>8868000</v>
      </c>
      <c r="L242" s="9">
        <f>Table1[[#This Row],[Annual_Income]]/12</f>
        <v>739000</v>
      </c>
      <c r="M242" s="9">
        <v>9068000</v>
      </c>
      <c r="N242" s="5">
        <f ca="1">DATEDIF(Table1[[#This Row],[EMI_payment_date]],TODAY(),"m")</f>
        <v>19</v>
      </c>
      <c r="O242" s="9">
        <f>20*Table1[[#This Row],[monthly_EMI]]</f>
        <v>4434000</v>
      </c>
      <c r="P242" s="1">
        <v>7.77</v>
      </c>
      <c r="Q242" s="9">
        <f>Table1[[#This Row],[monthly_income]]*30%</f>
        <v>221700</v>
      </c>
      <c r="R242" s="1">
        <f>ROUNDUP(NPER(P242/100/12,-Q242,Table1[[#This Row],[Loan_Amount]]),0)</f>
        <v>48</v>
      </c>
      <c r="S242" s="1">
        <v>718</v>
      </c>
      <c r="T242" s="1" t="s">
        <v>37</v>
      </c>
      <c r="U242" s="1" t="str">
        <f>IF(Table1[[#This Row],[Repayment_Status]]="late","bad loan","good loan")</f>
        <v>bad loan</v>
      </c>
      <c r="V242" s="1" t="str">
        <f>IF(Table1[[#This Row],[Repayment_Status]]="late","high","low")</f>
        <v>high</v>
      </c>
      <c r="W242" s="1">
        <f>(Table1[[#This Row],[monthly_EMI]]/Table1[[#This Row],[monthly_income]])*100</f>
        <v>30</v>
      </c>
      <c r="X242" s="7">
        <v>14478.23</v>
      </c>
    </row>
    <row r="243" spans="1:24" x14ac:dyDescent="0.25">
      <c r="A243" s="1" t="s">
        <v>269</v>
      </c>
      <c r="B243" s="2" t="s">
        <v>789</v>
      </c>
      <c r="C243" s="5">
        <v>25</v>
      </c>
      <c r="D243" s="1" t="s">
        <v>15</v>
      </c>
      <c r="E243" s="1" t="s">
        <v>27</v>
      </c>
      <c r="F243" s="1" t="s">
        <v>51</v>
      </c>
      <c r="G243" s="1">
        <f>YEAR(Table1[[#This Row],[Application_Date]])</f>
        <v>2024</v>
      </c>
      <c r="H243" s="1" t="str">
        <f>TEXT(Table1[[#This Row],[EMI_payment_date]],"mmmm")</f>
        <v>December</v>
      </c>
      <c r="I243" s="3">
        <v>45623</v>
      </c>
      <c r="J243" s="3">
        <f>EDATE(Table1[[#This Row],[Application_Date]],1)</f>
        <v>45653</v>
      </c>
      <c r="K243" s="9">
        <v>3492000</v>
      </c>
      <c r="L243" s="9">
        <f>Table1[[#This Row],[Annual_Income]]/12</f>
        <v>291000</v>
      </c>
      <c r="M243" s="9">
        <v>3692000</v>
      </c>
      <c r="N243" s="5">
        <f ca="1">DATEDIF(Table1[[#This Row],[EMI_payment_date]],TODAY(),"m")</f>
        <v>19</v>
      </c>
      <c r="O243" s="9">
        <f>20*Table1[[#This Row],[monthly_EMI]]</f>
        <v>1746000</v>
      </c>
      <c r="P243" s="1">
        <v>6.19</v>
      </c>
      <c r="Q243" s="9">
        <f>Table1[[#This Row],[monthly_income]]*30%</f>
        <v>87300</v>
      </c>
      <c r="R243" s="1">
        <f>ROUNDUP(NPER(P243/100/12,-Q243,Table1[[#This Row],[Loan_Amount]]),0)</f>
        <v>48</v>
      </c>
      <c r="S243" s="1">
        <v>836</v>
      </c>
      <c r="T243" s="1" t="s">
        <v>37</v>
      </c>
      <c r="U243" s="1" t="str">
        <f>IF(Table1[[#This Row],[Repayment_Status]]="late","bad loan","good loan")</f>
        <v>bad loan</v>
      </c>
      <c r="V243" s="1" t="str">
        <f>IF(Table1[[#This Row],[Repayment_Status]]="late","high","low")</f>
        <v>high</v>
      </c>
      <c r="W243" s="1">
        <f>(Table1[[#This Row],[monthly_EMI]]/Table1[[#This Row],[monthly_income]])*100</f>
        <v>30</v>
      </c>
      <c r="X243" s="7">
        <v>19906.310000000001</v>
      </c>
    </row>
    <row r="244" spans="1:24" x14ac:dyDescent="0.25">
      <c r="A244" s="1" t="s">
        <v>307</v>
      </c>
      <c r="B244" s="2" t="s">
        <v>765</v>
      </c>
      <c r="C244" s="5">
        <v>24</v>
      </c>
      <c r="D244" s="1" t="s">
        <v>15</v>
      </c>
      <c r="E244" s="1" t="s">
        <v>29</v>
      </c>
      <c r="F244" s="1" t="s">
        <v>31</v>
      </c>
      <c r="G244" s="1">
        <f>YEAR(Table1[[#This Row],[Application_Date]])</f>
        <v>2024</v>
      </c>
      <c r="H244" s="1" t="str">
        <f>TEXT(Table1[[#This Row],[EMI_payment_date]],"mmmm")</f>
        <v>December</v>
      </c>
      <c r="I244" s="3">
        <v>45624</v>
      </c>
      <c r="J244" s="3">
        <f>EDATE(Table1[[#This Row],[Application_Date]],1)</f>
        <v>45654</v>
      </c>
      <c r="K244" s="9">
        <v>3948000</v>
      </c>
      <c r="L244" s="9">
        <f>Table1[[#This Row],[Annual_Income]]/12</f>
        <v>329000</v>
      </c>
      <c r="M244" s="9">
        <v>4148000</v>
      </c>
      <c r="N244" s="5">
        <f ca="1">DATEDIF(Table1[[#This Row],[EMI_payment_date]],TODAY(),"m")</f>
        <v>19</v>
      </c>
      <c r="O244" s="9">
        <f>20*Table1[[#This Row],[monthly_EMI]]</f>
        <v>1974000</v>
      </c>
      <c r="P244" s="1">
        <v>6.54</v>
      </c>
      <c r="Q244" s="9">
        <f>Table1[[#This Row],[monthly_income]]*30%</f>
        <v>98700</v>
      </c>
      <c r="R244" s="1">
        <f>ROUNDUP(NPER(P244/100/12,-Q244,Table1[[#This Row],[Loan_Amount]]),0)</f>
        <v>48</v>
      </c>
      <c r="S244" s="1">
        <v>707</v>
      </c>
      <c r="T244" s="1" t="s">
        <v>20</v>
      </c>
      <c r="U244" s="1" t="str">
        <f>IF(Table1[[#This Row],[Repayment_Status]]="late","bad loan","good loan")</f>
        <v>good loan</v>
      </c>
      <c r="V244" s="1" t="str">
        <f>IF(Table1[[#This Row],[Repayment_Status]]="late","high","low")</f>
        <v>low</v>
      </c>
      <c r="W244" s="1">
        <f>(Table1[[#This Row],[monthly_EMI]]/Table1[[#This Row],[monthly_income]])*100</f>
        <v>30</v>
      </c>
      <c r="X244" s="7">
        <v>18907.919999999998</v>
      </c>
    </row>
    <row r="245" spans="1:24" x14ac:dyDescent="0.25">
      <c r="A245" s="1" t="s">
        <v>334</v>
      </c>
      <c r="B245" s="2" t="s">
        <v>825</v>
      </c>
      <c r="C245" s="5">
        <v>31</v>
      </c>
      <c r="D245" s="1" t="s">
        <v>26</v>
      </c>
      <c r="E245" s="1" t="s">
        <v>24</v>
      </c>
      <c r="F245" s="1" t="s">
        <v>22</v>
      </c>
      <c r="G245" s="1">
        <f>YEAR(Table1[[#This Row],[Application_Date]])</f>
        <v>2024</v>
      </c>
      <c r="H245" s="1" t="str">
        <f>TEXT(Table1[[#This Row],[EMI_payment_date]],"mmmm")</f>
        <v>December</v>
      </c>
      <c r="I245" s="3">
        <v>45625</v>
      </c>
      <c r="J245" s="3">
        <f>EDATE(Table1[[#This Row],[Application_Date]],1)</f>
        <v>45655</v>
      </c>
      <c r="K245" s="9">
        <v>4272000</v>
      </c>
      <c r="L245" s="9">
        <f>Table1[[#This Row],[Annual_Income]]/12</f>
        <v>356000</v>
      </c>
      <c r="M245" s="9">
        <v>4472000</v>
      </c>
      <c r="N245" s="5">
        <f ca="1">DATEDIF(Table1[[#This Row],[EMI_payment_date]],TODAY(),"m")</f>
        <v>19</v>
      </c>
      <c r="O245" s="9">
        <f>20*Table1[[#This Row],[monthly_EMI]]</f>
        <v>2136000</v>
      </c>
      <c r="P245" s="1">
        <v>8.4600000000000009</v>
      </c>
      <c r="Q245" s="9">
        <f>Table1[[#This Row],[monthly_income]]*30%</f>
        <v>106800</v>
      </c>
      <c r="R245" s="1">
        <f>ROUNDUP(NPER(P245/100/12,-Q245,Table1[[#This Row],[Loan_Amount]]),0)</f>
        <v>50</v>
      </c>
      <c r="S245" s="1">
        <v>637</v>
      </c>
      <c r="T245" s="1" t="s">
        <v>20</v>
      </c>
      <c r="U245" s="1" t="str">
        <f>IF(Table1[[#This Row],[Repayment_Status]]="late","bad loan","good loan")</f>
        <v>good loan</v>
      </c>
      <c r="V245" s="1" t="str">
        <f>IF(Table1[[#This Row],[Repayment_Status]]="late","high","low")</f>
        <v>low</v>
      </c>
      <c r="W245" s="1">
        <f>(Table1[[#This Row],[monthly_EMI]]/Table1[[#This Row],[monthly_income]])*100</f>
        <v>30</v>
      </c>
      <c r="X245" s="7">
        <v>24910.57</v>
      </c>
    </row>
    <row r="246" spans="1:24" x14ac:dyDescent="0.25">
      <c r="A246" s="1" t="s">
        <v>474</v>
      </c>
      <c r="B246" s="2" t="s">
        <v>868</v>
      </c>
      <c r="C246" s="5">
        <v>50</v>
      </c>
      <c r="D246" s="1" t="s">
        <v>26</v>
      </c>
      <c r="E246" s="1" t="s">
        <v>33</v>
      </c>
      <c r="F246" s="1" t="s">
        <v>31</v>
      </c>
      <c r="G246" s="1">
        <f>YEAR(Table1[[#This Row],[Application_Date]])</f>
        <v>2024</v>
      </c>
      <c r="H246" s="1" t="str">
        <f>TEXT(Table1[[#This Row],[EMI_payment_date]],"mmmm")</f>
        <v>December</v>
      </c>
      <c r="I246" s="3">
        <v>45626</v>
      </c>
      <c r="J246" s="3">
        <f>EDATE(Table1[[#This Row],[Application_Date]],1)</f>
        <v>45656</v>
      </c>
      <c r="K246" s="9">
        <v>5952000</v>
      </c>
      <c r="L246" s="9">
        <f>Table1[[#This Row],[Annual_Income]]/12</f>
        <v>496000</v>
      </c>
      <c r="M246" s="9">
        <v>6152000</v>
      </c>
      <c r="N246" s="5">
        <f ca="1">DATEDIF(Table1[[#This Row],[EMI_payment_date]],TODAY(),"m")</f>
        <v>19</v>
      </c>
      <c r="O246" s="9">
        <f>20*Table1[[#This Row],[monthly_EMI]]</f>
        <v>2976000</v>
      </c>
      <c r="P246" s="1">
        <v>6.61</v>
      </c>
      <c r="Q246" s="9">
        <f>Table1[[#This Row],[monthly_income]]*30%</f>
        <v>148800</v>
      </c>
      <c r="R246" s="1">
        <f>ROUNDUP(NPER(P246/100/12,-Q246,Table1[[#This Row],[Loan_Amount]]),0)</f>
        <v>48</v>
      </c>
      <c r="S246" s="1">
        <v>714</v>
      </c>
      <c r="T246" s="1" t="s">
        <v>20</v>
      </c>
      <c r="U246" s="1" t="str">
        <f>IF(Table1[[#This Row],[Repayment_Status]]="late","bad loan","good loan")</f>
        <v>good loan</v>
      </c>
      <c r="V246" s="1" t="str">
        <f>IF(Table1[[#This Row],[Repayment_Status]]="late","high","low")</f>
        <v>low</v>
      </c>
      <c r="W246" s="1">
        <f>(Table1[[#This Row],[monthly_EMI]]/Table1[[#This Row],[monthly_income]])*100</f>
        <v>30</v>
      </c>
      <c r="X246" s="7">
        <v>16622.169999999998</v>
      </c>
    </row>
    <row r="247" spans="1:24" x14ac:dyDescent="0.25">
      <c r="A247" s="1" t="s">
        <v>380</v>
      </c>
      <c r="B247" s="2" t="s">
        <v>894</v>
      </c>
      <c r="C247" s="5">
        <v>37</v>
      </c>
      <c r="D247" s="1" t="s">
        <v>26</v>
      </c>
      <c r="E247" s="1" t="s">
        <v>33</v>
      </c>
      <c r="F247" s="1" t="s">
        <v>17</v>
      </c>
      <c r="G247" s="1">
        <f>YEAR(Table1[[#This Row],[Application_Date]])</f>
        <v>2024</v>
      </c>
      <c r="H247" s="1" t="str">
        <f>TEXT(Table1[[#This Row],[EMI_payment_date]],"mmmm")</f>
        <v>January</v>
      </c>
      <c r="I247" s="3">
        <v>45627</v>
      </c>
      <c r="J247" s="3">
        <f>EDATE(Table1[[#This Row],[Application_Date]],1)</f>
        <v>45658</v>
      </c>
      <c r="K247" s="9">
        <v>4824000</v>
      </c>
      <c r="L247" s="9">
        <f>Table1[[#This Row],[Annual_Income]]/12</f>
        <v>402000</v>
      </c>
      <c r="M247" s="9">
        <v>5024000</v>
      </c>
      <c r="N247" s="5">
        <f ca="1">DATEDIF(Table1[[#This Row],[EMI_payment_date]],TODAY(),"m")</f>
        <v>18</v>
      </c>
      <c r="O247" s="9">
        <f>19*Table1[[#This Row],[monthly_EMI]]</f>
        <v>2291400</v>
      </c>
      <c r="P247" s="1">
        <v>5.07</v>
      </c>
      <c r="Q247" s="9">
        <f>Table1[[#This Row],[monthly_income]]*30%</f>
        <v>120600</v>
      </c>
      <c r="R247" s="1">
        <f>ROUNDUP(NPER(P247/100/12,-Q247,Table1[[#This Row],[Loan_Amount]]),0)</f>
        <v>46</v>
      </c>
      <c r="S247" s="1">
        <v>785</v>
      </c>
      <c r="T247" s="1" t="s">
        <v>20</v>
      </c>
      <c r="U247" s="1" t="str">
        <f>IF(Table1[[#This Row],[Repayment_Status]]="late","bad loan","good loan")</f>
        <v>good loan</v>
      </c>
      <c r="V247" s="1" t="str">
        <f>IF(Table1[[#This Row],[Repayment_Status]]="late","high","low")</f>
        <v>low</v>
      </c>
      <c r="W247" s="1">
        <f>(Table1[[#This Row],[monthly_EMI]]/Table1[[#This Row],[monthly_income]])*100</f>
        <v>30</v>
      </c>
      <c r="X247" s="7">
        <v>5837.2</v>
      </c>
    </row>
    <row r="248" spans="1:24" x14ac:dyDescent="0.25">
      <c r="A248" s="1" t="s">
        <v>318</v>
      </c>
      <c r="B248" s="2" t="s">
        <v>757</v>
      </c>
      <c r="C248" s="5">
        <v>56</v>
      </c>
      <c r="D248" s="1" t="s">
        <v>15</v>
      </c>
      <c r="E248" s="1" t="s">
        <v>36</v>
      </c>
      <c r="F248" s="1" t="s">
        <v>22</v>
      </c>
      <c r="G248" s="1">
        <f>YEAR(Table1[[#This Row],[Application_Date]])</f>
        <v>2024</v>
      </c>
      <c r="H248" s="1" t="str">
        <f>TEXT(Table1[[#This Row],[EMI_payment_date]],"mmmm")</f>
        <v>January</v>
      </c>
      <c r="I248" s="3">
        <v>45628</v>
      </c>
      <c r="J248" s="3">
        <f>EDATE(Table1[[#This Row],[Application_Date]],1)</f>
        <v>45659</v>
      </c>
      <c r="K248" s="9">
        <v>4080000</v>
      </c>
      <c r="L248" s="9">
        <f>Table1[[#This Row],[Annual_Income]]/12</f>
        <v>340000</v>
      </c>
      <c r="M248" s="9">
        <v>4280000</v>
      </c>
      <c r="N248" s="5">
        <f ca="1">DATEDIF(Table1[[#This Row],[EMI_payment_date]],TODAY(),"m")</f>
        <v>18</v>
      </c>
      <c r="O248" s="9">
        <f>19*Table1[[#This Row],[monthly_EMI]]</f>
        <v>1938000</v>
      </c>
      <c r="P248" s="1">
        <v>7.55</v>
      </c>
      <c r="Q248" s="9">
        <f>Table1[[#This Row],[monthly_income]]*30%</f>
        <v>102000</v>
      </c>
      <c r="R248" s="1">
        <f>ROUNDUP(NPER(P248/100/12,-Q248,Table1[[#This Row],[Loan_Amount]]),0)</f>
        <v>49</v>
      </c>
      <c r="S248" s="1">
        <v>740</v>
      </c>
      <c r="T248" s="1" t="s">
        <v>20</v>
      </c>
      <c r="U248" s="1" t="str">
        <f>IF(Table1[[#This Row],[Repayment_Status]]="late","bad loan","good loan")</f>
        <v>good loan</v>
      </c>
      <c r="V248" s="1" t="str">
        <f>IF(Table1[[#This Row],[Repayment_Status]]="late","high","low")</f>
        <v>low</v>
      </c>
      <c r="W248" s="1">
        <f>(Table1[[#This Row],[monthly_EMI]]/Table1[[#This Row],[monthly_income]])*100</f>
        <v>30</v>
      </c>
      <c r="X248" s="7">
        <v>30749.25</v>
      </c>
    </row>
    <row r="249" spans="1:24" x14ac:dyDescent="0.25">
      <c r="A249" s="1" t="s">
        <v>421</v>
      </c>
      <c r="B249" s="2" t="s">
        <v>840</v>
      </c>
      <c r="C249" s="5">
        <v>33</v>
      </c>
      <c r="D249" s="1" t="s">
        <v>26</v>
      </c>
      <c r="E249" s="1" t="s">
        <v>33</v>
      </c>
      <c r="F249" s="1" t="s">
        <v>17</v>
      </c>
      <c r="G249" s="1">
        <f>YEAR(Table1[[#This Row],[Application_Date]])</f>
        <v>2024</v>
      </c>
      <c r="H249" s="1" t="str">
        <f>TEXT(Table1[[#This Row],[EMI_payment_date]],"mmmm")</f>
        <v>January</v>
      </c>
      <c r="I249" s="3">
        <v>45629</v>
      </c>
      <c r="J249" s="3">
        <f>EDATE(Table1[[#This Row],[Application_Date]],1)</f>
        <v>45660</v>
      </c>
      <c r="K249" s="9">
        <v>5316000</v>
      </c>
      <c r="L249" s="9">
        <f>Table1[[#This Row],[Annual_Income]]/12</f>
        <v>443000</v>
      </c>
      <c r="M249" s="9">
        <v>5516000</v>
      </c>
      <c r="N249" s="5">
        <f ca="1">DATEDIF(Table1[[#This Row],[EMI_payment_date]],TODAY(),"m")</f>
        <v>18</v>
      </c>
      <c r="O249" s="9">
        <f>19*Table1[[#This Row],[monthly_EMI]]</f>
        <v>2525100</v>
      </c>
      <c r="P249" s="1">
        <v>5.58</v>
      </c>
      <c r="Q249" s="9">
        <f>Table1[[#This Row],[monthly_income]]*30%</f>
        <v>132900</v>
      </c>
      <c r="R249" s="1">
        <f>ROUNDUP(NPER(P249/100/12,-Q249,Table1[[#This Row],[Loan_Amount]]),0)</f>
        <v>47</v>
      </c>
      <c r="S249" s="1">
        <v>781</v>
      </c>
      <c r="T249" s="1" t="s">
        <v>20</v>
      </c>
      <c r="U249" s="1" t="str">
        <f>IF(Table1[[#This Row],[Repayment_Status]]="late","bad loan","good loan")</f>
        <v>good loan</v>
      </c>
      <c r="V249" s="1" t="str">
        <f>IF(Table1[[#This Row],[Repayment_Status]]="late","high","low")</f>
        <v>low</v>
      </c>
      <c r="W249" s="1">
        <f>(Table1[[#This Row],[monthly_EMI]]/Table1[[#This Row],[monthly_income]])*100</f>
        <v>30</v>
      </c>
      <c r="X249" s="7">
        <v>12118.87</v>
      </c>
    </row>
    <row r="250" spans="1:24" x14ac:dyDescent="0.25">
      <c r="A250" s="1" t="s">
        <v>591</v>
      </c>
      <c r="B250" s="2" t="s">
        <v>885</v>
      </c>
      <c r="C250" s="5">
        <v>26</v>
      </c>
      <c r="D250" s="1" t="s">
        <v>26</v>
      </c>
      <c r="E250" s="1" t="s">
        <v>33</v>
      </c>
      <c r="F250" s="1" t="s">
        <v>22</v>
      </c>
      <c r="G250" s="1">
        <f>YEAR(Table1[[#This Row],[Application_Date]])</f>
        <v>2024</v>
      </c>
      <c r="H250" s="1" t="str">
        <f>TEXT(Table1[[#This Row],[EMI_payment_date]],"mmmm")</f>
        <v>January</v>
      </c>
      <c r="I250" s="3">
        <v>45630</v>
      </c>
      <c r="J250" s="3">
        <f>EDATE(Table1[[#This Row],[Application_Date]],1)</f>
        <v>45661</v>
      </c>
      <c r="K250" s="9">
        <v>7356000</v>
      </c>
      <c r="L250" s="9">
        <f>Table1[[#This Row],[Annual_Income]]/12</f>
        <v>613000</v>
      </c>
      <c r="M250" s="9">
        <v>7556000</v>
      </c>
      <c r="N250" s="5">
        <f ca="1">DATEDIF(Table1[[#This Row],[EMI_payment_date]],TODAY(),"m")</f>
        <v>18</v>
      </c>
      <c r="O250" s="9">
        <f>19*Table1[[#This Row],[monthly_EMI]]</f>
        <v>3494100</v>
      </c>
      <c r="P250" s="1">
        <v>9.68</v>
      </c>
      <c r="Q250" s="9">
        <f>Table1[[#This Row],[monthly_income]]*30%</f>
        <v>183900</v>
      </c>
      <c r="R250" s="1">
        <f>ROUNDUP(NPER(P250/100/12,-Q250,Table1[[#This Row],[Loan_Amount]]),0)</f>
        <v>51</v>
      </c>
      <c r="S250" s="1">
        <v>719</v>
      </c>
      <c r="T250" s="1" t="s">
        <v>20</v>
      </c>
      <c r="U250" s="1" t="str">
        <f>IF(Table1[[#This Row],[Repayment_Status]]="late","bad loan","good loan")</f>
        <v>good loan</v>
      </c>
      <c r="V250" s="1" t="str">
        <f>IF(Table1[[#This Row],[Repayment_Status]]="late","high","low")</f>
        <v>low</v>
      </c>
      <c r="W250" s="1">
        <f>(Table1[[#This Row],[monthly_EMI]]/Table1[[#This Row],[monthly_income]])*100</f>
        <v>30</v>
      </c>
      <c r="X250" s="7">
        <v>22220.17</v>
      </c>
    </row>
    <row r="251" spans="1:24" x14ac:dyDescent="0.25">
      <c r="A251" s="1" t="s">
        <v>258</v>
      </c>
      <c r="B251" s="2" t="s">
        <v>773</v>
      </c>
      <c r="C251" s="5">
        <v>41</v>
      </c>
      <c r="D251" s="1" t="s">
        <v>26</v>
      </c>
      <c r="E251" s="1" t="s">
        <v>29</v>
      </c>
      <c r="F251" s="1" t="s">
        <v>31</v>
      </c>
      <c r="G251" s="1">
        <f>YEAR(Table1[[#This Row],[Application_Date]])</f>
        <v>2024</v>
      </c>
      <c r="H251" s="1" t="str">
        <f>TEXT(Table1[[#This Row],[EMI_payment_date]],"mmmm")</f>
        <v>January</v>
      </c>
      <c r="I251" s="3">
        <v>45631</v>
      </c>
      <c r="J251" s="3">
        <f>EDATE(Table1[[#This Row],[Application_Date]],1)</f>
        <v>45662</v>
      </c>
      <c r="K251" s="9">
        <v>3360000</v>
      </c>
      <c r="L251" s="9">
        <f>Table1[[#This Row],[Annual_Income]]/12</f>
        <v>280000</v>
      </c>
      <c r="M251" s="9">
        <v>3560000</v>
      </c>
      <c r="N251" s="5">
        <f ca="1">DATEDIF(Table1[[#This Row],[EMI_payment_date]],TODAY(),"m")</f>
        <v>18</v>
      </c>
      <c r="O251" s="9">
        <f>19*Table1[[#This Row],[monthly_EMI]]</f>
        <v>1596000</v>
      </c>
      <c r="P251" s="1">
        <v>6.15</v>
      </c>
      <c r="Q251" s="9">
        <f>Table1[[#This Row],[monthly_income]]*30%</f>
        <v>84000</v>
      </c>
      <c r="R251" s="1">
        <f>ROUNDUP(NPER(P251/100/12,-Q251,Table1[[#This Row],[Loan_Amount]]),0)</f>
        <v>48</v>
      </c>
      <c r="S251" s="1">
        <v>608</v>
      </c>
      <c r="T251" s="1" t="s">
        <v>20</v>
      </c>
      <c r="U251" s="1" t="str">
        <f>IF(Table1[[#This Row],[Repayment_Status]]="late","bad loan","good loan")</f>
        <v>good loan</v>
      </c>
      <c r="V251" s="1" t="str">
        <f>IF(Table1[[#This Row],[Repayment_Status]]="late","high","low")</f>
        <v>low</v>
      </c>
      <c r="W251" s="1">
        <f>(Table1[[#This Row],[monthly_EMI]]/Table1[[#This Row],[monthly_income]])*100</f>
        <v>30</v>
      </c>
      <c r="X251" s="7">
        <v>16377.07</v>
      </c>
    </row>
    <row r="252" spans="1:24" x14ac:dyDescent="0.25">
      <c r="A252" s="1" t="s">
        <v>214</v>
      </c>
      <c r="B252" s="2" t="s">
        <v>851</v>
      </c>
      <c r="C252" s="5">
        <v>24</v>
      </c>
      <c r="D252" s="1" t="s">
        <v>26</v>
      </c>
      <c r="E252" s="1" t="s">
        <v>16</v>
      </c>
      <c r="F252" s="1" t="s">
        <v>51</v>
      </c>
      <c r="G252" s="1">
        <f>YEAR(Table1[[#This Row],[Application_Date]])</f>
        <v>2024</v>
      </c>
      <c r="H252" s="1" t="str">
        <f>TEXT(Table1[[#This Row],[EMI_payment_date]],"mmmm")</f>
        <v>January</v>
      </c>
      <c r="I252" s="3">
        <v>45632</v>
      </c>
      <c r="J252" s="3">
        <f>EDATE(Table1[[#This Row],[Application_Date]],1)</f>
        <v>45663</v>
      </c>
      <c r="K252" s="9">
        <v>2832000</v>
      </c>
      <c r="L252" s="9">
        <f>Table1[[#This Row],[Annual_Income]]/12</f>
        <v>236000</v>
      </c>
      <c r="M252" s="9">
        <v>3032000</v>
      </c>
      <c r="N252" s="5">
        <f ca="1">DATEDIF(Table1[[#This Row],[EMI_payment_date]],TODAY(),"m")</f>
        <v>18</v>
      </c>
      <c r="O252" s="9">
        <f>19*Table1[[#This Row],[monthly_EMI]]</f>
        <v>1345200</v>
      </c>
      <c r="P252" s="1">
        <v>6.9</v>
      </c>
      <c r="Q252" s="9">
        <f>Table1[[#This Row],[monthly_income]]*30%</f>
        <v>70800</v>
      </c>
      <c r="R252" s="1">
        <f>ROUNDUP(NPER(P252/100/12,-Q252,Table1[[#This Row],[Loan_Amount]]),0)</f>
        <v>50</v>
      </c>
      <c r="S252" s="1">
        <v>686</v>
      </c>
      <c r="T252" s="1" t="s">
        <v>20</v>
      </c>
      <c r="U252" s="1" t="str">
        <f>IF(Table1[[#This Row],[Repayment_Status]]="late","bad loan","good loan")</f>
        <v>good loan</v>
      </c>
      <c r="V252" s="1" t="str">
        <f>IF(Table1[[#This Row],[Repayment_Status]]="late","high","low")</f>
        <v>low</v>
      </c>
      <c r="W252" s="1">
        <f>(Table1[[#This Row],[monthly_EMI]]/Table1[[#This Row],[monthly_income]])*100</f>
        <v>30</v>
      </c>
      <c r="X252" s="7">
        <v>19390.310000000001</v>
      </c>
    </row>
    <row r="253" spans="1:24" x14ac:dyDescent="0.25">
      <c r="A253" s="1" t="s">
        <v>535</v>
      </c>
      <c r="B253" s="2" t="s">
        <v>782</v>
      </c>
      <c r="C253" s="5">
        <v>23</v>
      </c>
      <c r="D253" s="1" t="s">
        <v>15</v>
      </c>
      <c r="E253" s="1" t="s">
        <v>16</v>
      </c>
      <c r="F253" s="1" t="s">
        <v>51</v>
      </c>
      <c r="G253" s="1">
        <f>YEAR(Table1[[#This Row],[Application_Date]])</f>
        <v>2024</v>
      </c>
      <c r="H253" s="1" t="str">
        <f>TEXT(Table1[[#This Row],[EMI_payment_date]],"mmmm")</f>
        <v>January</v>
      </c>
      <c r="I253" s="3">
        <v>45633</v>
      </c>
      <c r="J253" s="3">
        <f>EDATE(Table1[[#This Row],[Application_Date]],1)</f>
        <v>45664</v>
      </c>
      <c r="K253" s="9">
        <v>6684000</v>
      </c>
      <c r="L253" s="9">
        <f>Table1[[#This Row],[Annual_Income]]/12</f>
        <v>557000</v>
      </c>
      <c r="M253" s="9">
        <v>6884000</v>
      </c>
      <c r="N253" s="5">
        <f ca="1">DATEDIF(Table1[[#This Row],[EMI_payment_date]],TODAY(),"m")</f>
        <v>18</v>
      </c>
      <c r="O253" s="9">
        <f>19*Table1[[#This Row],[monthly_EMI]]</f>
        <v>3174900</v>
      </c>
      <c r="P253" s="1">
        <v>8.57</v>
      </c>
      <c r="Q253" s="9">
        <f>Table1[[#This Row],[monthly_income]]*30%</f>
        <v>167100</v>
      </c>
      <c r="R253" s="1">
        <f>ROUNDUP(NPER(P253/100/12,-Q253,Table1[[#This Row],[Loan_Amount]]),0)</f>
        <v>49</v>
      </c>
      <c r="S253" s="1">
        <v>743</v>
      </c>
      <c r="T253" s="1" t="s">
        <v>20</v>
      </c>
      <c r="U253" s="1" t="str">
        <f>IF(Table1[[#This Row],[Repayment_Status]]="late","bad loan","good loan")</f>
        <v>good loan</v>
      </c>
      <c r="V253" s="1" t="str">
        <f>IF(Table1[[#This Row],[Repayment_Status]]="late","high","low")</f>
        <v>low</v>
      </c>
      <c r="W253" s="1">
        <f>(Table1[[#This Row],[monthly_EMI]]/Table1[[#This Row],[monthly_income]])*100</f>
        <v>30</v>
      </c>
      <c r="X253" s="7">
        <v>20954.28</v>
      </c>
    </row>
    <row r="254" spans="1:24" x14ac:dyDescent="0.25">
      <c r="A254" s="1" t="s">
        <v>150</v>
      </c>
      <c r="B254" s="2" t="s">
        <v>822</v>
      </c>
      <c r="C254" s="5">
        <v>28</v>
      </c>
      <c r="D254" s="1" t="s">
        <v>26</v>
      </c>
      <c r="E254" s="1" t="s">
        <v>29</v>
      </c>
      <c r="F254" s="1" t="s">
        <v>31</v>
      </c>
      <c r="G254" s="1">
        <f>YEAR(Table1[[#This Row],[Application_Date]])</f>
        <v>2024</v>
      </c>
      <c r="H254" s="1" t="str">
        <f>TEXT(Table1[[#This Row],[EMI_payment_date]],"mmmm")</f>
        <v>January</v>
      </c>
      <c r="I254" s="3">
        <v>45634</v>
      </c>
      <c r="J254" s="3">
        <f>EDATE(Table1[[#This Row],[Application_Date]],1)</f>
        <v>45665</v>
      </c>
      <c r="K254" s="9">
        <v>2064000</v>
      </c>
      <c r="L254" s="9">
        <f>Table1[[#This Row],[Annual_Income]]/12</f>
        <v>172000</v>
      </c>
      <c r="M254" s="9">
        <v>2264000</v>
      </c>
      <c r="N254" s="5">
        <f ca="1">DATEDIF(Table1[[#This Row],[EMI_payment_date]],TODAY(),"m")</f>
        <v>18</v>
      </c>
      <c r="O254" s="9">
        <f>19*Table1[[#This Row],[monthly_EMI]]</f>
        <v>980400</v>
      </c>
      <c r="P254" s="1">
        <v>5.85</v>
      </c>
      <c r="Q254" s="9">
        <f>Table1[[#This Row],[monthly_income]]*30%</f>
        <v>51600</v>
      </c>
      <c r="R254" s="1">
        <f>ROUNDUP(NPER(P254/100/12,-Q254,Table1[[#This Row],[Loan_Amount]]),0)</f>
        <v>50</v>
      </c>
      <c r="S254" s="1">
        <v>722</v>
      </c>
      <c r="T254" s="1" t="s">
        <v>20</v>
      </c>
      <c r="U254" s="1" t="str">
        <f>IF(Table1[[#This Row],[Repayment_Status]]="late","bad loan","good loan")</f>
        <v>good loan</v>
      </c>
      <c r="V254" s="1" t="str">
        <f>IF(Table1[[#This Row],[Repayment_Status]]="late","high","low")</f>
        <v>low</v>
      </c>
      <c r="W254" s="1">
        <f>(Table1[[#This Row],[monthly_EMI]]/Table1[[#This Row],[monthly_income]])*100</f>
        <v>30</v>
      </c>
      <c r="X254" s="7">
        <v>15758.99</v>
      </c>
    </row>
    <row r="255" spans="1:24" x14ac:dyDescent="0.25">
      <c r="A255" s="1" t="s">
        <v>165</v>
      </c>
      <c r="B255" s="2" t="s">
        <v>743</v>
      </c>
      <c r="C255" s="5">
        <v>30</v>
      </c>
      <c r="D255" s="1" t="s">
        <v>26</v>
      </c>
      <c r="E255" s="1" t="s">
        <v>29</v>
      </c>
      <c r="F255" s="1" t="s">
        <v>17</v>
      </c>
      <c r="G255" s="1">
        <f>YEAR(Table1[[#This Row],[Application_Date]])</f>
        <v>2024</v>
      </c>
      <c r="H255" s="1" t="str">
        <f>TEXT(Table1[[#This Row],[EMI_payment_date]],"mmmm")</f>
        <v>January</v>
      </c>
      <c r="I255" s="3">
        <v>45635</v>
      </c>
      <c r="J255" s="3">
        <f>EDATE(Table1[[#This Row],[Application_Date]],1)</f>
        <v>45666</v>
      </c>
      <c r="K255" s="9">
        <v>2244000</v>
      </c>
      <c r="L255" s="9">
        <f>Table1[[#This Row],[Annual_Income]]/12</f>
        <v>187000</v>
      </c>
      <c r="M255" s="9">
        <v>2444000</v>
      </c>
      <c r="N255" s="5">
        <f ca="1">DATEDIF(Table1[[#This Row],[EMI_payment_date]],TODAY(),"m")</f>
        <v>18</v>
      </c>
      <c r="O255" s="9">
        <f>19*Table1[[#This Row],[monthly_EMI]]</f>
        <v>1065900</v>
      </c>
      <c r="P255" s="1">
        <v>8.98</v>
      </c>
      <c r="Q255" s="9">
        <f>Table1[[#This Row],[monthly_income]]*30%</f>
        <v>56100</v>
      </c>
      <c r="R255" s="1">
        <f>ROUNDUP(NPER(P255/100/12,-Q255,Table1[[#This Row],[Loan_Amount]]),0)</f>
        <v>53</v>
      </c>
      <c r="S255" s="1">
        <v>661</v>
      </c>
      <c r="T255" s="1" t="s">
        <v>37</v>
      </c>
      <c r="U255" s="1" t="str">
        <f>IF(Table1[[#This Row],[Repayment_Status]]="late","bad loan","good loan")</f>
        <v>bad loan</v>
      </c>
      <c r="V255" s="1" t="str">
        <f>IF(Table1[[#This Row],[Repayment_Status]]="late","high","low")</f>
        <v>high</v>
      </c>
      <c r="W255" s="1">
        <f>(Table1[[#This Row],[monthly_EMI]]/Table1[[#This Row],[monthly_income]])*100</f>
        <v>30</v>
      </c>
      <c r="X255" s="7">
        <v>37729.78</v>
      </c>
    </row>
    <row r="256" spans="1:24" x14ac:dyDescent="0.25">
      <c r="A256" s="1" t="s">
        <v>256</v>
      </c>
      <c r="B256" s="2" t="s">
        <v>815</v>
      </c>
      <c r="C256" s="5">
        <v>41</v>
      </c>
      <c r="D256" s="1" t="s">
        <v>15</v>
      </c>
      <c r="E256" s="1" t="s">
        <v>33</v>
      </c>
      <c r="F256" s="1" t="s">
        <v>22</v>
      </c>
      <c r="G256" s="1">
        <f>YEAR(Table1[[#This Row],[Application_Date]])</f>
        <v>2024</v>
      </c>
      <c r="H256" s="1" t="str">
        <f>TEXT(Table1[[#This Row],[EMI_payment_date]],"mmmm")</f>
        <v>January</v>
      </c>
      <c r="I256" s="3">
        <v>45636</v>
      </c>
      <c r="J256" s="3">
        <f>EDATE(Table1[[#This Row],[Application_Date]],1)</f>
        <v>45667</v>
      </c>
      <c r="K256" s="9">
        <v>3336000</v>
      </c>
      <c r="L256" s="9">
        <f>Table1[[#This Row],[Annual_Income]]/12</f>
        <v>278000</v>
      </c>
      <c r="M256" s="9">
        <v>3536000</v>
      </c>
      <c r="N256" s="5">
        <f ca="1">DATEDIF(Table1[[#This Row],[EMI_payment_date]],TODAY(),"m")</f>
        <v>18</v>
      </c>
      <c r="O256" s="9">
        <f>19*Table1[[#This Row],[monthly_EMI]]</f>
        <v>1584600</v>
      </c>
      <c r="P256" s="1">
        <v>8.49</v>
      </c>
      <c r="Q256" s="9">
        <f>Table1[[#This Row],[monthly_income]]*30%</f>
        <v>83400</v>
      </c>
      <c r="R256" s="1">
        <f>ROUNDUP(NPER(P256/100/12,-Q256,Table1[[#This Row],[Loan_Amount]]),0)</f>
        <v>51</v>
      </c>
      <c r="S256" s="1">
        <v>750</v>
      </c>
      <c r="T256" s="1" t="s">
        <v>37</v>
      </c>
      <c r="U256" s="1" t="str">
        <f>IF(Table1[[#This Row],[Repayment_Status]]="late","bad loan","good loan")</f>
        <v>bad loan</v>
      </c>
      <c r="V256" s="1" t="str">
        <f>IF(Table1[[#This Row],[Repayment_Status]]="late","high","low")</f>
        <v>high</v>
      </c>
      <c r="W256" s="1">
        <f>(Table1[[#This Row],[monthly_EMI]]/Table1[[#This Row],[monthly_income]])*100</f>
        <v>30</v>
      </c>
      <c r="X256" s="7">
        <v>19486.330000000002</v>
      </c>
    </row>
    <row r="257" spans="1:24" x14ac:dyDescent="0.25">
      <c r="A257" s="1" t="s">
        <v>319</v>
      </c>
      <c r="B257" s="2" t="s">
        <v>850</v>
      </c>
      <c r="C257" s="5">
        <v>58</v>
      </c>
      <c r="D257" s="1" t="s">
        <v>15</v>
      </c>
      <c r="E257" s="1" t="s">
        <v>16</v>
      </c>
      <c r="F257" s="1" t="s">
        <v>51</v>
      </c>
      <c r="G257" s="1">
        <f>YEAR(Table1[[#This Row],[Application_Date]])</f>
        <v>2024</v>
      </c>
      <c r="H257" s="1" t="str">
        <f>TEXT(Table1[[#This Row],[EMI_payment_date]],"mmmm")</f>
        <v>January</v>
      </c>
      <c r="I257" s="3">
        <v>45637</v>
      </c>
      <c r="J257" s="3">
        <f>EDATE(Table1[[#This Row],[Application_Date]],1)</f>
        <v>45668</v>
      </c>
      <c r="K257" s="9">
        <v>4092000</v>
      </c>
      <c r="L257" s="9">
        <f>Table1[[#This Row],[Annual_Income]]/12</f>
        <v>341000</v>
      </c>
      <c r="M257" s="9">
        <v>4292000</v>
      </c>
      <c r="N257" s="5">
        <f ca="1">DATEDIF(Table1[[#This Row],[EMI_payment_date]],TODAY(),"m")</f>
        <v>18</v>
      </c>
      <c r="O257" s="9">
        <f>19*Table1[[#This Row],[monthly_EMI]]</f>
        <v>1943700</v>
      </c>
      <c r="P257" s="1">
        <v>7.84</v>
      </c>
      <c r="Q257" s="9">
        <f>Table1[[#This Row],[monthly_income]]*30%</f>
        <v>102300</v>
      </c>
      <c r="R257" s="1">
        <f>ROUNDUP(NPER(P257/100/12,-Q257,Table1[[#This Row],[Loan_Amount]]),0)</f>
        <v>50</v>
      </c>
      <c r="S257" s="1">
        <v>777</v>
      </c>
      <c r="T257" s="1" t="s">
        <v>37</v>
      </c>
      <c r="U257" s="1" t="str">
        <f>IF(Table1[[#This Row],[Repayment_Status]]="late","bad loan","good loan")</f>
        <v>bad loan</v>
      </c>
      <c r="V257" s="1" t="str">
        <f>IF(Table1[[#This Row],[Repayment_Status]]="late","high","low")</f>
        <v>high</v>
      </c>
      <c r="W257" s="1">
        <f>(Table1[[#This Row],[monthly_EMI]]/Table1[[#This Row],[monthly_income]])*100</f>
        <v>30</v>
      </c>
      <c r="X257" s="7">
        <v>18822.27</v>
      </c>
    </row>
    <row r="258" spans="1:24" x14ac:dyDescent="0.25">
      <c r="A258" s="1" t="s">
        <v>725</v>
      </c>
      <c r="B258" s="2" t="s">
        <v>744</v>
      </c>
      <c r="C258" s="5">
        <v>38</v>
      </c>
      <c r="D258" s="1" t="s">
        <v>15</v>
      </c>
      <c r="E258" s="1" t="s">
        <v>33</v>
      </c>
      <c r="F258" s="1" t="s">
        <v>51</v>
      </c>
      <c r="G258" s="1">
        <f>YEAR(Table1[[#This Row],[Application_Date]])</f>
        <v>2024</v>
      </c>
      <c r="H258" s="1" t="str">
        <f>TEXT(Table1[[#This Row],[EMI_payment_date]],"mmmm")</f>
        <v>January</v>
      </c>
      <c r="I258" s="3">
        <v>45638</v>
      </c>
      <c r="J258" s="3">
        <f>EDATE(Table1[[#This Row],[Application_Date]],1)</f>
        <v>45669</v>
      </c>
      <c r="K258" s="9">
        <v>8964000</v>
      </c>
      <c r="L258" s="9">
        <f>Table1[[#This Row],[Annual_Income]]/12</f>
        <v>747000</v>
      </c>
      <c r="M258" s="9">
        <v>9164000</v>
      </c>
      <c r="N258" s="5">
        <f ca="1">DATEDIF(Table1[[#This Row],[EMI_payment_date]],TODAY(),"m")</f>
        <v>18</v>
      </c>
      <c r="O258" s="9">
        <f>19*Table1[[#This Row],[monthly_EMI]]</f>
        <v>4257900</v>
      </c>
      <c r="P258" s="1">
        <v>6.9</v>
      </c>
      <c r="Q258" s="9">
        <f>Table1[[#This Row],[monthly_income]]*30%</f>
        <v>224100</v>
      </c>
      <c r="R258" s="1">
        <f>ROUNDUP(NPER(P258/100/12,-Q258,Table1[[#This Row],[Loan_Amount]]),0)</f>
        <v>47</v>
      </c>
      <c r="S258" s="1">
        <v>675</v>
      </c>
      <c r="T258" s="1" t="s">
        <v>20</v>
      </c>
      <c r="U258" s="1" t="str">
        <f>IF(Table1[[#This Row],[Repayment_Status]]="late","bad loan","good loan")</f>
        <v>good loan</v>
      </c>
      <c r="V258" s="1" t="str">
        <f>IF(Table1[[#This Row],[Repayment_Status]]="late","high","low")</f>
        <v>low</v>
      </c>
      <c r="W258" s="1">
        <f>(Table1[[#This Row],[monthly_EMI]]/Table1[[#This Row],[monthly_income]])*100</f>
        <v>30</v>
      </c>
      <c r="X258" s="7">
        <v>23780.27</v>
      </c>
    </row>
    <row r="259" spans="1:24" x14ac:dyDescent="0.25">
      <c r="A259" s="1" t="s">
        <v>419</v>
      </c>
      <c r="B259" s="2" t="s">
        <v>767</v>
      </c>
      <c r="C259" s="5">
        <v>54</v>
      </c>
      <c r="D259" s="1" t="s">
        <v>15</v>
      </c>
      <c r="E259" s="1" t="s">
        <v>33</v>
      </c>
      <c r="F259" s="1" t="s">
        <v>19</v>
      </c>
      <c r="G259" s="1">
        <f>YEAR(Table1[[#This Row],[Application_Date]])</f>
        <v>2024</v>
      </c>
      <c r="H259" s="1" t="str">
        <f>TEXT(Table1[[#This Row],[EMI_payment_date]],"mmmm")</f>
        <v>January</v>
      </c>
      <c r="I259" s="3">
        <v>45639</v>
      </c>
      <c r="J259" s="3">
        <f>EDATE(Table1[[#This Row],[Application_Date]],1)</f>
        <v>45670</v>
      </c>
      <c r="K259" s="9">
        <v>5292000</v>
      </c>
      <c r="L259" s="9">
        <f>Table1[[#This Row],[Annual_Income]]/12</f>
        <v>441000</v>
      </c>
      <c r="M259" s="9">
        <v>5492000</v>
      </c>
      <c r="N259" s="5">
        <f ca="1">DATEDIF(Table1[[#This Row],[EMI_payment_date]],TODAY(),"m")</f>
        <v>18</v>
      </c>
      <c r="O259" s="9">
        <f>19*Table1[[#This Row],[monthly_EMI]]</f>
        <v>2513700</v>
      </c>
      <c r="P259" s="1">
        <v>8.34</v>
      </c>
      <c r="Q259" s="9">
        <f>Table1[[#This Row],[monthly_income]]*30%</f>
        <v>132300</v>
      </c>
      <c r="R259" s="1">
        <f>ROUNDUP(NPER(P259/100/12,-Q259,Table1[[#This Row],[Loan_Amount]]),0)</f>
        <v>50</v>
      </c>
      <c r="S259" s="1">
        <v>715</v>
      </c>
      <c r="T259" s="1" t="s">
        <v>20</v>
      </c>
      <c r="U259" s="1" t="str">
        <f>IF(Table1[[#This Row],[Repayment_Status]]="late","bad loan","good loan")</f>
        <v>good loan</v>
      </c>
      <c r="V259" s="1" t="str">
        <f>IF(Table1[[#This Row],[Repayment_Status]]="late","high","low")</f>
        <v>low</v>
      </c>
      <c r="W259" s="1">
        <f>(Table1[[#This Row],[monthly_EMI]]/Table1[[#This Row],[monthly_income]])*100</f>
        <v>30</v>
      </c>
      <c r="X259" s="7">
        <v>31550.14</v>
      </c>
    </row>
    <row r="260" spans="1:24" x14ac:dyDescent="0.25">
      <c r="A260" s="1" t="s">
        <v>629</v>
      </c>
      <c r="B260" s="2" t="s">
        <v>870</v>
      </c>
      <c r="C260" s="5">
        <v>53</v>
      </c>
      <c r="D260" s="1" t="s">
        <v>26</v>
      </c>
      <c r="E260" s="1" t="s">
        <v>27</v>
      </c>
      <c r="F260" s="1" t="s">
        <v>31</v>
      </c>
      <c r="G260" s="1">
        <f>YEAR(Table1[[#This Row],[Application_Date]])</f>
        <v>2024</v>
      </c>
      <c r="H260" s="1" t="str">
        <f>TEXT(Table1[[#This Row],[EMI_payment_date]],"mmmm")</f>
        <v>January</v>
      </c>
      <c r="I260" s="3">
        <v>45640</v>
      </c>
      <c r="J260" s="3">
        <f>EDATE(Table1[[#This Row],[Application_Date]],1)</f>
        <v>45671</v>
      </c>
      <c r="K260" s="9">
        <v>7812000</v>
      </c>
      <c r="L260" s="9">
        <f>Table1[[#This Row],[Annual_Income]]/12</f>
        <v>651000</v>
      </c>
      <c r="M260" s="9">
        <v>8012000</v>
      </c>
      <c r="N260" s="5">
        <f ca="1">DATEDIF(Table1[[#This Row],[EMI_payment_date]],TODAY(),"m")</f>
        <v>18</v>
      </c>
      <c r="O260" s="9">
        <f>19*Table1[[#This Row],[monthly_EMI]]</f>
        <v>3710700</v>
      </c>
      <c r="P260" s="1">
        <v>6.05</v>
      </c>
      <c r="Q260" s="9">
        <f>Table1[[#This Row],[monthly_income]]*30%</f>
        <v>195300</v>
      </c>
      <c r="R260" s="1">
        <f>ROUNDUP(NPER(P260/100/12,-Q260,Table1[[#This Row],[Loan_Amount]]),0)</f>
        <v>47</v>
      </c>
      <c r="S260" s="1">
        <v>646</v>
      </c>
      <c r="T260" s="1" t="s">
        <v>37</v>
      </c>
      <c r="U260" s="1" t="str">
        <f>IF(Table1[[#This Row],[Repayment_Status]]="late","bad loan","good loan")</f>
        <v>bad loan</v>
      </c>
      <c r="V260" s="1" t="str">
        <f>IF(Table1[[#This Row],[Repayment_Status]]="late","high","low")</f>
        <v>high</v>
      </c>
      <c r="W260" s="1">
        <f>(Table1[[#This Row],[monthly_EMI]]/Table1[[#This Row],[monthly_income]])*100</f>
        <v>30</v>
      </c>
      <c r="X260" s="7">
        <v>6069.9</v>
      </c>
    </row>
    <row r="261" spans="1:24" x14ac:dyDescent="0.25">
      <c r="A261" s="1" t="s">
        <v>137</v>
      </c>
      <c r="B261" s="2" t="s">
        <v>791</v>
      </c>
      <c r="C261" s="5">
        <v>49</v>
      </c>
      <c r="D261" s="1" t="s">
        <v>15</v>
      </c>
      <c r="E261" s="1" t="s">
        <v>29</v>
      </c>
      <c r="F261" s="1" t="s">
        <v>22</v>
      </c>
      <c r="G261" s="1">
        <f>YEAR(Table1[[#This Row],[Application_Date]])</f>
        <v>2024</v>
      </c>
      <c r="H261" s="1" t="str">
        <f>TEXT(Table1[[#This Row],[EMI_payment_date]],"mmmm")</f>
        <v>January</v>
      </c>
      <c r="I261" s="3">
        <v>45641</v>
      </c>
      <c r="J261" s="3">
        <f>EDATE(Table1[[#This Row],[Application_Date]],1)</f>
        <v>45672</v>
      </c>
      <c r="K261" s="9">
        <v>1908000</v>
      </c>
      <c r="L261" s="9">
        <f>Table1[[#This Row],[Annual_Income]]/12</f>
        <v>159000</v>
      </c>
      <c r="M261" s="9">
        <v>2108000</v>
      </c>
      <c r="N261" s="5">
        <f ca="1">DATEDIF(Table1[[#This Row],[EMI_payment_date]],TODAY(),"m")</f>
        <v>18</v>
      </c>
      <c r="O261" s="9">
        <f>19*Table1[[#This Row],[monthly_EMI]]</f>
        <v>906300</v>
      </c>
      <c r="P261" s="1">
        <v>6.02</v>
      </c>
      <c r="Q261" s="9">
        <f>Table1[[#This Row],[monthly_income]]*30%</f>
        <v>47700</v>
      </c>
      <c r="R261" s="1">
        <f>ROUNDUP(NPER(P261/100/12,-Q261,Table1[[#This Row],[Loan_Amount]]),0)</f>
        <v>51</v>
      </c>
      <c r="S261" s="1">
        <v>622</v>
      </c>
      <c r="T261" s="1" t="s">
        <v>20</v>
      </c>
      <c r="U261" s="1" t="str">
        <f>IF(Table1[[#This Row],[Repayment_Status]]="late","bad loan","good loan")</f>
        <v>good loan</v>
      </c>
      <c r="V261" s="1" t="str">
        <f>IF(Table1[[#This Row],[Repayment_Status]]="late","high","low")</f>
        <v>low</v>
      </c>
      <c r="W261" s="1">
        <f>(Table1[[#This Row],[monthly_EMI]]/Table1[[#This Row],[monthly_income]])*100</f>
        <v>30</v>
      </c>
      <c r="X261" s="7">
        <v>26704.73</v>
      </c>
    </row>
    <row r="262" spans="1:24" x14ac:dyDescent="0.25">
      <c r="A262" s="1" t="s">
        <v>432</v>
      </c>
      <c r="B262" s="2" t="s">
        <v>881</v>
      </c>
      <c r="C262" s="5">
        <v>34</v>
      </c>
      <c r="D262" s="1" t="s">
        <v>15</v>
      </c>
      <c r="E262" s="1" t="s">
        <v>33</v>
      </c>
      <c r="F262" s="1" t="s">
        <v>19</v>
      </c>
      <c r="G262" s="1">
        <f>YEAR(Table1[[#This Row],[Application_Date]])</f>
        <v>2024</v>
      </c>
      <c r="H262" s="1" t="str">
        <f>TEXT(Table1[[#This Row],[EMI_payment_date]],"mmmm")</f>
        <v>January</v>
      </c>
      <c r="I262" s="3">
        <v>45642</v>
      </c>
      <c r="J262" s="3">
        <f>EDATE(Table1[[#This Row],[Application_Date]],1)</f>
        <v>45673</v>
      </c>
      <c r="K262" s="9">
        <v>5448000</v>
      </c>
      <c r="L262" s="9">
        <f>Table1[[#This Row],[Annual_Income]]/12</f>
        <v>454000</v>
      </c>
      <c r="M262" s="9">
        <v>5648000</v>
      </c>
      <c r="N262" s="5">
        <f ca="1">DATEDIF(Table1[[#This Row],[EMI_payment_date]],TODAY(),"m")</f>
        <v>18</v>
      </c>
      <c r="O262" s="9">
        <f>19*Table1[[#This Row],[monthly_EMI]]</f>
        <v>2587800</v>
      </c>
      <c r="P262" s="1">
        <v>5.28</v>
      </c>
      <c r="Q262" s="9">
        <f>Table1[[#This Row],[monthly_income]]*30%</f>
        <v>136200</v>
      </c>
      <c r="R262" s="1">
        <f>ROUNDUP(NPER(P262/100/12,-Q262,Table1[[#This Row],[Loan_Amount]]),0)</f>
        <v>46</v>
      </c>
      <c r="S262" s="1">
        <v>695</v>
      </c>
      <c r="T262" s="1" t="s">
        <v>20</v>
      </c>
      <c r="U262" s="1" t="str">
        <f>IF(Table1[[#This Row],[Repayment_Status]]="late","bad loan","good loan")</f>
        <v>good loan</v>
      </c>
      <c r="V262" s="1" t="str">
        <f>IF(Table1[[#This Row],[Repayment_Status]]="late","high","low")</f>
        <v>low</v>
      </c>
      <c r="W262" s="1">
        <f>(Table1[[#This Row],[monthly_EMI]]/Table1[[#This Row],[monthly_income]])*100</f>
        <v>30</v>
      </c>
      <c r="X262" s="7">
        <v>18871.009999999998</v>
      </c>
    </row>
    <row r="263" spans="1:24" x14ac:dyDescent="0.25">
      <c r="A263" s="1" t="s">
        <v>186</v>
      </c>
      <c r="B263" s="2" t="s">
        <v>839</v>
      </c>
      <c r="C263" s="5">
        <v>25</v>
      </c>
      <c r="D263" s="1" t="s">
        <v>26</v>
      </c>
      <c r="E263" s="1" t="s">
        <v>27</v>
      </c>
      <c r="F263" s="1" t="s">
        <v>22</v>
      </c>
      <c r="G263" s="1">
        <f>YEAR(Table1[[#This Row],[Application_Date]])</f>
        <v>2024</v>
      </c>
      <c r="H263" s="1" t="str">
        <f>TEXT(Table1[[#This Row],[EMI_payment_date]],"mmmm")</f>
        <v>January</v>
      </c>
      <c r="I263" s="3">
        <v>45643</v>
      </c>
      <c r="J263" s="3">
        <f>EDATE(Table1[[#This Row],[Application_Date]],1)</f>
        <v>45674</v>
      </c>
      <c r="K263" s="9">
        <v>2496000</v>
      </c>
      <c r="L263" s="9">
        <f>Table1[[#This Row],[Annual_Income]]/12</f>
        <v>208000</v>
      </c>
      <c r="M263" s="9">
        <v>2696000</v>
      </c>
      <c r="N263" s="5">
        <f ca="1">DATEDIF(Table1[[#This Row],[EMI_payment_date]],TODAY(),"m")</f>
        <v>18</v>
      </c>
      <c r="O263" s="9">
        <f>19*Table1[[#This Row],[monthly_EMI]]</f>
        <v>1185600</v>
      </c>
      <c r="P263" s="1">
        <v>5.54</v>
      </c>
      <c r="Q263" s="9">
        <f>Table1[[#This Row],[monthly_income]]*30%</f>
        <v>62400</v>
      </c>
      <c r="R263" s="1">
        <f>ROUNDUP(NPER(P263/100/12,-Q263,Table1[[#This Row],[Loan_Amount]]),0)</f>
        <v>49</v>
      </c>
      <c r="S263" s="1">
        <v>843</v>
      </c>
      <c r="T263" s="1" t="s">
        <v>20</v>
      </c>
      <c r="U263" s="1" t="str">
        <f>IF(Table1[[#This Row],[Repayment_Status]]="late","bad loan","good loan")</f>
        <v>good loan</v>
      </c>
      <c r="V263" s="1" t="str">
        <f>IF(Table1[[#This Row],[Repayment_Status]]="late","high","low")</f>
        <v>low</v>
      </c>
      <c r="W263" s="1">
        <f>(Table1[[#This Row],[monthly_EMI]]/Table1[[#This Row],[monthly_income]])*100</f>
        <v>30</v>
      </c>
      <c r="X263" s="7">
        <v>26857.52</v>
      </c>
    </row>
    <row r="264" spans="1:24" x14ac:dyDescent="0.25">
      <c r="A264" s="1" t="s">
        <v>101</v>
      </c>
      <c r="B264" s="2" t="s">
        <v>790</v>
      </c>
      <c r="C264" s="5">
        <v>22</v>
      </c>
      <c r="D264" s="1" t="s">
        <v>15</v>
      </c>
      <c r="E264" s="1" t="s">
        <v>16</v>
      </c>
      <c r="F264" s="1" t="s">
        <v>51</v>
      </c>
      <c r="G264" s="1">
        <f>YEAR(Table1[[#This Row],[Application_Date]])</f>
        <v>2024</v>
      </c>
      <c r="H264" s="1" t="str">
        <f>TEXT(Table1[[#This Row],[EMI_payment_date]],"mmmm")</f>
        <v>January</v>
      </c>
      <c r="I264" s="3">
        <v>45644</v>
      </c>
      <c r="J264" s="3">
        <f>EDATE(Table1[[#This Row],[Application_Date]],1)</f>
        <v>45675</v>
      </c>
      <c r="K264" s="9">
        <v>1464000</v>
      </c>
      <c r="L264" s="9">
        <f>Table1[[#This Row],[Annual_Income]]/12</f>
        <v>122000</v>
      </c>
      <c r="M264" s="9">
        <v>1664000</v>
      </c>
      <c r="N264" s="5">
        <f ca="1">DATEDIF(Table1[[#This Row],[EMI_payment_date]],TODAY(),"m")</f>
        <v>18</v>
      </c>
      <c r="O264" s="9">
        <f>19*Table1[[#This Row],[monthly_EMI]]</f>
        <v>695400</v>
      </c>
      <c r="P264" s="1">
        <v>9.94</v>
      </c>
      <c r="Q264" s="9">
        <f>Table1[[#This Row],[monthly_income]]*30%</f>
        <v>36600</v>
      </c>
      <c r="R264" s="1">
        <f>ROUNDUP(NPER(P264/100/12,-Q264,Table1[[#This Row],[Loan_Amount]]),0)</f>
        <v>58</v>
      </c>
      <c r="S264" s="1">
        <v>714</v>
      </c>
      <c r="T264" s="1" t="s">
        <v>37</v>
      </c>
      <c r="U264" s="1" t="str">
        <f>IF(Table1[[#This Row],[Repayment_Status]]="late","bad loan","good loan")</f>
        <v>bad loan</v>
      </c>
      <c r="V264" s="1" t="str">
        <f>IF(Table1[[#This Row],[Repayment_Status]]="late","high","low")</f>
        <v>high</v>
      </c>
      <c r="W264" s="1">
        <f>(Table1[[#This Row],[monthly_EMI]]/Table1[[#This Row],[monthly_income]])*100</f>
        <v>30</v>
      </c>
      <c r="X264" s="7">
        <v>46232.49</v>
      </c>
    </row>
    <row r="265" spans="1:24" x14ac:dyDescent="0.25">
      <c r="A265" s="1" t="s">
        <v>125</v>
      </c>
      <c r="B265" s="2" t="s">
        <v>808</v>
      </c>
      <c r="C265" s="5">
        <v>43</v>
      </c>
      <c r="D265" s="1" t="s">
        <v>26</v>
      </c>
      <c r="E265" s="1" t="s">
        <v>33</v>
      </c>
      <c r="F265" s="1" t="s">
        <v>17</v>
      </c>
      <c r="G265" s="1">
        <f>YEAR(Table1[[#This Row],[Application_Date]])</f>
        <v>2024</v>
      </c>
      <c r="H265" s="1" t="str">
        <f>TEXT(Table1[[#This Row],[EMI_payment_date]],"mmmm")</f>
        <v>January</v>
      </c>
      <c r="I265" s="3">
        <v>45645</v>
      </c>
      <c r="J265" s="3">
        <f>EDATE(Table1[[#This Row],[Application_Date]],1)</f>
        <v>45676</v>
      </c>
      <c r="K265" s="9">
        <v>1764000</v>
      </c>
      <c r="L265" s="9">
        <f>Table1[[#This Row],[Annual_Income]]/12</f>
        <v>147000</v>
      </c>
      <c r="M265" s="9">
        <v>1964000</v>
      </c>
      <c r="N265" s="5">
        <f ca="1">DATEDIF(Table1[[#This Row],[EMI_payment_date]],TODAY(),"m")</f>
        <v>18</v>
      </c>
      <c r="O265" s="9">
        <f>19*Table1[[#This Row],[monthly_EMI]]</f>
        <v>837900</v>
      </c>
      <c r="P265" s="1">
        <v>9.92</v>
      </c>
      <c r="Q265" s="9">
        <f>Table1[[#This Row],[monthly_income]]*30%</f>
        <v>44100</v>
      </c>
      <c r="R265" s="1">
        <f>ROUNDUP(NPER(P265/100/12,-Q265,Table1[[#This Row],[Loan_Amount]]),0)</f>
        <v>56</v>
      </c>
      <c r="S265" s="1">
        <v>759</v>
      </c>
      <c r="T265" s="1" t="s">
        <v>20</v>
      </c>
      <c r="U265" s="1" t="str">
        <f>IF(Table1[[#This Row],[Repayment_Status]]="late","bad loan","good loan")</f>
        <v>good loan</v>
      </c>
      <c r="V265" s="1" t="str">
        <f>IF(Table1[[#This Row],[Repayment_Status]]="late","high","low")</f>
        <v>low</v>
      </c>
      <c r="W265" s="1">
        <f>(Table1[[#This Row],[monthly_EMI]]/Table1[[#This Row],[monthly_income]])*100</f>
        <v>30</v>
      </c>
      <c r="X265" s="7">
        <v>47850.51</v>
      </c>
    </row>
    <row r="266" spans="1:24" x14ac:dyDescent="0.25">
      <c r="A266" s="1" t="s">
        <v>97</v>
      </c>
      <c r="B266" s="2" t="s">
        <v>756</v>
      </c>
      <c r="C266" s="5">
        <v>43</v>
      </c>
      <c r="D266" s="1" t="s">
        <v>26</v>
      </c>
      <c r="E266" s="1" t="s">
        <v>24</v>
      </c>
      <c r="F266" s="1" t="s">
        <v>31</v>
      </c>
      <c r="G266" s="1">
        <f>YEAR(Table1[[#This Row],[Application_Date]])</f>
        <v>2024</v>
      </c>
      <c r="H266" s="1" t="str">
        <f>TEXT(Table1[[#This Row],[EMI_payment_date]],"mmmm")</f>
        <v>January</v>
      </c>
      <c r="I266" s="3">
        <v>45646</v>
      </c>
      <c r="J266" s="3">
        <f>EDATE(Table1[[#This Row],[Application_Date]],1)</f>
        <v>45677</v>
      </c>
      <c r="K266" s="9">
        <v>1416000</v>
      </c>
      <c r="L266" s="9">
        <f>Table1[[#This Row],[Annual_Income]]/12</f>
        <v>118000</v>
      </c>
      <c r="M266" s="9">
        <v>1616000</v>
      </c>
      <c r="N266" s="5">
        <f ca="1">DATEDIF(Table1[[#This Row],[EMI_payment_date]],TODAY(),"m")</f>
        <v>18</v>
      </c>
      <c r="O266" s="9">
        <f>19*Table1[[#This Row],[monthly_EMI]]</f>
        <v>672600</v>
      </c>
      <c r="P266" s="1">
        <v>6.75</v>
      </c>
      <c r="Q266" s="9">
        <f>Table1[[#This Row],[monthly_income]]*30%</f>
        <v>35400</v>
      </c>
      <c r="R266" s="1">
        <f>ROUNDUP(NPER(P266/100/12,-Q266,Table1[[#This Row],[Loan_Amount]]),0)</f>
        <v>53</v>
      </c>
      <c r="S266" s="1">
        <v>805</v>
      </c>
      <c r="T266" s="1" t="s">
        <v>20</v>
      </c>
      <c r="U266" s="1" t="str">
        <f>IF(Table1[[#This Row],[Repayment_Status]]="late","bad loan","good loan")</f>
        <v>good loan</v>
      </c>
      <c r="V266" s="1" t="str">
        <f>IF(Table1[[#This Row],[Repayment_Status]]="late","high","low")</f>
        <v>low</v>
      </c>
      <c r="W266" s="1">
        <f>(Table1[[#This Row],[monthly_EMI]]/Table1[[#This Row],[monthly_income]])*100</f>
        <v>30</v>
      </c>
      <c r="X266" s="7">
        <v>15078.11</v>
      </c>
    </row>
    <row r="267" spans="1:24" x14ac:dyDescent="0.25">
      <c r="A267" s="1" t="s">
        <v>563</v>
      </c>
      <c r="B267" s="2" t="s">
        <v>753</v>
      </c>
      <c r="C267" s="5">
        <v>51</v>
      </c>
      <c r="D267" s="1" t="s">
        <v>15</v>
      </c>
      <c r="E267" s="1" t="s">
        <v>24</v>
      </c>
      <c r="F267" s="1" t="s">
        <v>17</v>
      </c>
      <c r="G267" s="1">
        <f>YEAR(Table1[[#This Row],[Application_Date]])</f>
        <v>2024</v>
      </c>
      <c r="H267" s="1" t="str">
        <f>TEXT(Table1[[#This Row],[EMI_payment_date]],"mmmm")</f>
        <v>January</v>
      </c>
      <c r="I267" s="3">
        <v>45647</v>
      </c>
      <c r="J267" s="3">
        <f>EDATE(Table1[[#This Row],[Application_Date]],1)</f>
        <v>45678</v>
      </c>
      <c r="K267" s="9">
        <v>7020000</v>
      </c>
      <c r="L267" s="9">
        <f>Table1[[#This Row],[Annual_Income]]/12</f>
        <v>585000</v>
      </c>
      <c r="M267" s="9">
        <v>7220000</v>
      </c>
      <c r="N267" s="5">
        <f ca="1">DATEDIF(Table1[[#This Row],[EMI_payment_date]],TODAY(),"m")</f>
        <v>18</v>
      </c>
      <c r="O267" s="9">
        <f>19*Table1[[#This Row],[monthly_EMI]]</f>
        <v>3334500</v>
      </c>
      <c r="P267" s="1">
        <v>5.01</v>
      </c>
      <c r="Q267" s="9">
        <f>Table1[[#This Row],[monthly_income]]*30%</f>
        <v>175500</v>
      </c>
      <c r="R267" s="1">
        <f>ROUNDUP(NPER(P267/100/12,-Q267,Table1[[#This Row],[Loan_Amount]]),0)</f>
        <v>46</v>
      </c>
      <c r="S267" s="1">
        <v>715</v>
      </c>
      <c r="T267" s="1" t="s">
        <v>20</v>
      </c>
      <c r="U267" s="1" t="str">
        <f>IF(Table1[[#This Row],[Repayment_Status]]="late","bad loan","good loan")</f>
        <v>good loan</v>
      </c>
      <c r="V267" s="1" t="str">
        <f>IF(Table1[[#This Row],[Repayment_Status]]="late","high","low")</f>
        <v>low</v>
      </c>
      <c r="W267" s="1">
        <f>(Table1[[#This Row],[monthly_EMI]]/Table1[[#This Row],[monthly_income]])*100</f>
        <v>30</v>
      </c>
      <c r="X267" s="7">
        <v>22809.03</v>
      </c>
    </row>
    <row r="268" spans="1:24" x14ac:dyDescent="0.25">
      <c r="A268" s="1" t="s">
        <v>304</v>
      </c>
      <c r="B268" s="2" t="s">
        <v>734</v>
      </c>
      <c r="C268" s="5">
        <v>54</v>
      </c>
      <c r="D268" s="1" t="s">
        <v>15</v>
      </c>
      <c r="E268" s="1" t="s">
        <v>29</v>
      </c>
      <c r="F268" s="1" t="s">
        <v>31</v>
      </c>
      <c r="G268" s="1">
        <f>YEAR(Table1[[#This Row],[Application_Date]])</f>
        <v>2024</v>
      </c>
      <c r="H268" s="1" t="str">
        <f>TEXT(Table1[[#This Row],[EMI_payment_date]],"mmmm")</f>
        <v>January</v>
      </c>
      <c r="I268" s="3">
        <v>45648</v>
      </c>
      <c r="J268" s="3">
        <f>EDATE(Table1[[#This Row],[Application_Date]],1)</f>
        <v>45679</v>
      </c>
      <c r="K268" s="9">
        <v>3912000</v>
      </c>
      <c r="L268" s="9">
        <f>Table1[[#This Row],[Annual_Income]]/12</f>
        <v>326000</v>
      </c>
      <c r="M268" s="9">
        <v>4112000</v>
      </c>
      <c r="N268" s="5">
        <f ca="1">DATEDIF(Table1[[#This Row],[EMI_payment_date]],TODAY(),"m")</f>
        <v>18</v>
      </c>
      <c r="O268" s="9">
        <f>19*Table1[[#This Row],[monthly_EMI]]</f>
        <v>1858200</v>
      </c>
      <c r="P268" s="1">
        <v>5.69</v>
      </c>
      <c r="Q268" s="9">
        <f>Table1[[#This Row],[monthly_income]]*30%</f>
        <v>97800</v>
      </c>
      <c r="R268" s="1">
        <f>ROUNDUP(NPER(P268/100/12,-Q268,Table1[[#This Row],[Loan_Amount]]),0)</f>
        <v>48</v>
      </c>
      <c r="S268" s="1">
        <v>681</v>
      </c>
      <c r="T268" s="1" t="s">
        <v>20</v>
      </c>
      <c r="U268" s="1" t="str">
        <f>IF(Table1[[#This Row],[Repayment_Status]]="late","bad loan","good loan")</f>
        <v>good loan</v>
      </c>
      <c r="V268" s="1" t="str">
        <f>IF(Table1[[#This Row],[Repayment_Status]]="late","high","low")</f>
        <v>low</v>
      </c>
      <c r="W268" s="1">
        <f>(Table1[[#This Row],[monthly_EMI]]/Table1[[#This Row],[monthly_income]])*100</f>
        <v>30</v>
      </c>
      <c r="X268" s="7">
        <v>27921.03</v>
      </c>
    </row>
    <row r="269" spans="1:24" x14ac:dyDescent="0.25">
      <c r="A269" s="1" t="s">
        <v>326</v>
      </c>
      <c r="B269" s="2" t="s">
        <v>771</v>
      </c>
      <c r="C269" s="5">
        <v>58</v>
      </c>
      <c r="D269" s="1" t="s">
        <v>15</v>
      </c>
      <c r="E269" s="1" t="s">
        <v>16</v>
      </c>
      <c r="F269" s="1" t="s">
        <v>17</v>
      </c>
      <c r="G269" s="1">
        <f>YEAR(Table1[[#This Row],[Application_Date]])</f>
        <v>2024</v>
      </c>
      <c r="H269" s="1" t="str">
        <f>TEXT(Table1[[#This Row],[EMI_payment_date]],"mmmm")</f>
        <v>January</v>
      </c>
      <c r="I269" s="3">
        <v>45649</v>
      </c>
      <c r="J269" s="3">
        <f>EDATE(Table1[[#This Row],[Application_Date]],1)</f>
        <v>45680</v>
      </c>
      <c r="K269" s="9">
        <v>4176000</v>
      </c>
      <c r="L269" s="9">
        <f>Table1[[#This Row],[Annual_Income]]/12</f>
        <v>348000</v>
      </c>
      <c r="M269" s="9">
        <v>4376000</v>
      </c>
      <c r="N269" s="5">
        <f ca="1">DATEDIF(Table1[[#This Row],[EMI_payment_date]],TODAY(),"m")</f>
        <v>18</v>
      </c>
      <c r="O269" s="9">
        <f>19*Table1[[#This Row],[monthly_EMI]]</f>
        <v>1983600</v>
      </c>
      <c r="P269" s="1">
        <v>7.06</v>
      </c>
      <c r="Q269" s="9">
        <f>Table1[[#This Row],[monthly_income]]*30%</f>
        <v>104400</v>
      </c>
      <c r="R269" s="1">
        <f>ROUNDUP(NPER(P269/100/12,-Q269,Table1[[#This Row],[Loan_Amount]]),0)</f>
        <v>49</v>
      </c>
      <c r="S269" s="1">
        <v>711</v>
      </c>
      <c r="T269" s="1" t="s">
        <v>20</v>
      </c>
      <c r="U269" s="1" t="str">
        <f>IF(Table1[[#This Row],[Repayment_Status]]="late","bad loan","good loan")</f>
        <v>good loan</v>
      </c>
      <c r="V269" s="1" t="str">
        <f>IF(Table1[[#This Row],[Repayment_Status]]="late","high","low")</f>
        <v>low</v>
      </c>
      <c r="W269" s="1">
        <f>(Table1[[#This Row],[monthly_EMI]]/Table1[[#This Row],[monthly_income]])*100</f>
        <v>30</v>
      </c>
      <c r="X269" s="7">
        <v>24686.35</v>
      </c>
    </row>
    <row r="270" spans="1:24" x14ac:dyDescent="0.25">
      <c r="A270" s="1" t="s">
        <v>279</v>
      </c>
      <c r="B270" s="2" t="s">
        <v>780</v>
      </c>
      <c r="C270" s="5">
        <v>51</v>
      </c>
      <c r="D270" s="1" t="s">
        <v>15</v>
      </c>
      <c r="E270" s="1" t="s">
        <v>16</v>
      </c>
      <c r="F270" s="1" t="s">
        <v>51</v>
      </c>
      <c r="G270" s="1">
        <f>YEAR(Table1[[#This Row],[Application_Date]])</f>
        <v>2024</v>
      </c>
      <c r="H270" s="1" t="str">
        <f>TEXT(Table1[[#This Row],[EMI_payment_date]],"mmmm")</f>
        <v>January</v>
      </c>
      <c r="I270" s="3">
        <v>45650</v>
      </c>
      <c r="J270" s="3">
        <f>EDATE(Table1[[#This Row],[Application_Date]],1)</f>
        <v>45681</v>
      </c>
      <c r="K270" s="9">
        <v>3612000</v>
      </c>
      <c r="L270" s="9">
        <f>Table1[[#This Row],[Annual_Income]]/12</f>
        <v>301000</v>
      </c>
      <c r="M270" s="9">
        <v>3812000</v>
      </c>
      <c r="N270" s="5">
        <f ca="1">DATEDIF(Table1[[#This Row],[EMI_payment_date]],TODAY(),"m")</f>
        <v>18</v>
      </c>
      <c r="O270" s="9">
        <f>19*Table1[[#This Row],[monthly_EMI]]</f>
        <v>1715700</v>
      </c>
      <c r="P270" s="1">
        <v>6.28</v>
      </c>
      <c r="Q270" s="9">
        <f>Table1[[#This Row],[monthly_income]]*30%</f>
        <v>90300</v>
      </c>
      <c r="R270" s="1">
        <f>ROUNDUP(NPER(P270/100/12,-Q270,Table1[[#This Row],[Loan_Amount]]),0)</f>
        <v>48</v>
      </c>
      <c r="S270" s="1">
        <v>635</v>
      </c>
      <c r="T270" s="1" t="s">
        <v>20</v>
      </c>
      <c r="U270" s="1" t="str">
        <f>IF(Table1[[#This Row],[Repayment_Status]]="late","bad loan","good loan")</f>
        <v>good loan</v>
      </c>
      <c r="V270" s="1" t="str">
        <f>IF(Table1[[#This Row],[Repayment_Status]]="late","high","low")</f>
        <v>low</v>
      </c>
      <c r="W270" s="1">
        <f>(Table1[[#This Row],[monthly_EMI]]/Table1[[#This Row],[monthly_income]])*100</f>
        <v>30</v>
      </c>
      <c r="X270" s="7">
        <v>26497.93</v>
      </c>
    </row>
    <row r="271" spans="1:24" x14ac:dyDescent="0.25">
      <c r="A271" s="1" t="s">
        <v>619</v>
      </c>
      <c r="B271" s="2" t="s">
        <v>830</v>
      </c>
      <c r="C271" s="5">
        <v>45</v>
      </c>
      <c r="D271" s="1" t="s">
        <v>15</v>
      </c>
      <c r="E271" s="1" t="s">
        <v>29</v>
      </c>
      <c r="F271" s="1" t="s">
        <v>31</v>
      </c>
      <c r="G271" s="1">
        <f>YEAR(Table1[[#This Row],[Application_Date]])</f>
        <v>2024</v>
      </c>
      <c r="H271" s="1" t="str">
        <f>TEXT(Table1[[#This Row],[EMI_payment_date]],"mmmm")</f>
        <v>January</v>
      </c>
      <c r="I271" s="3">
        <v>45651</v>
      </c>
      <c r="J271" s="3">
        <f>EDATE(Table1[[#This Row],[Application_Date]],1)</f>
        <v>45682</v>
      </c>
      <c r="K271" s="9">
        <v>7692000</v>
      </c>
      <c r="L271" s="9">
        <f>Table1[[#This Row],[Annual_Income]]/12</f>
        <v>641000</v>
      </c>
      <c r="M271" s="9">
        <v>7892000</v>
      </c>
      <c r="N271" s="5">
        <f ca="1">DATEDIF(Table1[[#This Row],[EMI_payment_date]],TODAY(),"m")</f>
        <v>18</v>
      </c>
      <c r="O271" s="9">
        <f>19*Table1[[#This Row],[monthly_EMI]]</f>
        <v>3653700</v>
      </c>
      <c r="P271" s="1">
        <v>6.92</v>
      </c>
      <c r="Q271" s="9">
        <f>Table1[[#This Row],[monthly_income]]*30%</f>
        <v>192300</v>
      </c>
      <c r="R271" s="1">
        <f>ROUNDUP(NPER(P271/100/12,-Q271,Table1[[#This Row],[Loan_Amount]]),0)</f>
        <v>47</v>
      </c>
      <c r="S271" s="1">
        <v>706</v>
      </c>
      <c r="T271" s="1" t="s">
        <v>20</v>
      </c>
      <c r="U271" s="1" t="str">
        <f>IF(Table1[[#This Row],[Repayment_Status]]="late","bad loan","good loan")</f>
        <v>good loan</v>
      </c>
      <c r="V271" s="1" t="str">
        <f>IF(Table1[[#This Row],[Repayment_Status]]="late","high","low")</f>
        <v>low</v>
      </c>
      <c r="W271" s="1">
        <f>(Table1[[#This Row],[monthly_EMI]]/Table1[[#This Row],[monthly_income]])*100</f>
        <v>30</v>
      </c>
      <c r="X271" s="7">
        <v>31815.14</v>
      </c>
    </row>
    <row r="272" spans="1:24" x14ac:dyDescent="0.25">
      <c r="A272" s="1" t="s">
        <v>488</v>
      </c>
      <c r="B272" s="2" t="s">
        <v>745</v>
      </c>
      <c r="C272" s="5">
        <v>35</v>
      </c>
      <c r="D272" s="1" t="s">
        <v>15</v>
      </c>
      <c r="E272" s="1" t="s">
        <v>29</v>
      </c>
      <c r="F272" s="1" t="s">
        <v>22</v>
      </c>
      <c r="G272" s="1">
        <f>YEAR(Table1[[#This Row],[Application_Date]])</f>
        <v>2024</v>
      </c>
      <c r="H272" s="1" t="str">
        <f>TEXT(Table1[[#This Row],[EMI_payment_date]],"mmmm")</f>
        <v>January</v>
      </c>
      <c r="I272" s="3">
        <v>45652</v>
      </c>
      <c r="J272" s="3">
        <f>EDATE(Table1[[#This Row],[Application_Date]],1)</f>
        <v>45683</v>
      </c>
      <c r="K272" s="9">
        <v>6120000</v>
      </c>
      <c r="L272" s="9">
        <f>Table1[[#This Row],[Annual_Income]]/12</f>
        <v>510000</v>
      </c>
      <c r="M272" s="9">
        <v>6320000</v>
      </c>
      <c r="N272" s="5">
        <f ca="1">DATEDIF(Table1[[#This Row],[EMI_payment_date]],TODAY(),"m")</f>
        <v>18</v>
      </c>
      <c r="O272" s="9">
        <f>19*Table1[[#This Row],[monthly_EMI]]</f>
        <v>2907000</v>
      </c>
      <c r="P272" s="1">
        <v>8.81</v>
      </c>
      <c r="Q272" s="9">
        <f>Table1[[#This Row],[monthly_income]]*30%</f>
        <v>153000</v>
      </c>
      <c r="R272" s="1">
        <f>ROUNDUP(NPER(P272/100/12,-Q272,Table1[[#This Row],[Loan_Amount]]),0)</f>
        <v>50</v>
      </c>
      <c r="S272" s="1">
        <v>718</v>
      </c>
      <c r="T272" s="1" t="s">
        <v>20</v>
      </c>
      <c r="U272" s="1" t="str">
        <f>IF(Table1[[#This Row],[Repayment_Status]]="late","bad loan","good loan")</f>
        <v>good loan</v>
      </c>
      <c r="V272" s="1" t="str">
        <f>IF(Table1[[#This Row],[Repayment_Status]]="late","high","low")</f>
        <v>low</v>
      </c>
      <c r="W272" s="1">
        <f>(Table1[[#This Row],[monthly_EMI]]/Table1[[#This Row],[monthly_income]])*100</f>
        <v>30</v>
      </c>
      <c r="X272" s="7">
        <v>27040.23</v>
      </c>
    </row>
    <row r="273" spans="1:24" x14ac:dyDescent="0.25">
      <c r="A273" s="1" t="s">
        <v>149</v>
      </c>
      <c r="B273" s="2" t="s">
        <v>821</v>
      </c>
      <c r="C273" s="5">
        <v>39</v>
      </c>
      <c r="D273" s="1" t="s">
        <v>26</v>
      </c>
      <c r="E273" s="1" t="s">
        <v>16</v>
      </c>
      <c r="F273" s="1" t="s">
        <v>17</v>
      </c>
      <c r="G273" s="1">
        <f>YEAR(Table1[[#This Row],[Application_Date]])</f>
        <v>2024</v>
      </c>
      <c r="H273" s="1" t="str">
        <f>TEXT(Table1[[#This Row],[EMI_payment_date]],"mmmm")</f>
        <v>January</v>
      </c>
      <c r="I273" s="3">
        <v>45653</v>
      </c>
      <c r="J273" s="3">
        <f>EDATE(Table1[[#This Row],[Application_Date]],1)</f>
        <v>45684</v>
      </c>
      <c r="K273" s="9">
        <v>2052000</v>
      </c>
      <c r="L273" s="9">
        <f>Table1[[#This Row],[Annual_Income]]/12</f>
        <v>171000</v>
      </c>
      <c r="M273" s="9">
        <v>2252000</v>
      </c>
      <c r="N273" s="5">
        <f ca="1">DATEDIF(Table1[[#This Row],[EMI_payment_date]],TODAY(),"m")</f>
        <v>18</v>
      </c>
      <c r="O273" s="9">
        <f>19*Table1[[#This Row],[monthly_EMI]]</f>
        <v>974700</v>
      </c>
      <c r="P273" s="1">
        <v>5.81</v>
      </c>
      <c r="Q273" s="9">
        <f>Table1[[#This Row],[monthly_income]]*30%</f>
        <v>51300</v>
      </c>
      <c r="R273" s="1">
        <f>ROUNDUP(NPER(P273/100/12,-Q273,Table1[[#This Row],[Loan_Amount]]),0)</f>
        <v>50</v>
      </c>
      <c r="S273" s="1">
        <v>802</v>
      </c>
      <c r="T273" s="1" t="s">
        <v>37</v>
      </c>
      <c r="U273" s="1" t="str">
        <f>IF(Table1[[#This Row],[Repayment_Status]]="late","bad loan","good loan")</f>
        <v>bad loan</v>
      </c>
      <c r="V273" s="1" t="str">
        <f>IF(Table1[[#This Row],[Repayment_Status]]="late","high","low")</f>
        <v>high</v>
      </c>
      <c r="W273" s="1">
        <f>(Table1[[#This Row],[monthly_EMI]]/Table1[[#This Row],[monthly_income]])*100</f>
        <v>30</v>
      </c>
      <c r="X273" s="7">
        <v>28036.33</v>
      </c>
    </row>
    <row r="274" spans="1:24" x14ac:dyDescent="0.25">
      <c r="A274" s="1" t="s">
        <v>638</v>
      </c>
      <c r="B274" s="2" t="s">
        <v>830</v>
      </c>
      <c r="C274" s="5">
        <v>49</v>
      </c>
      <c r="D274" s="1" t="s">
        <v>26</v>
      </c>
      <c r="E274" s="1" t="s">
        <v>24</v>
      </c>
      <c r="F274" s="1" t="s">
        <v>51</v>
      </c>
      <c r="G274" s="1">
        <f>YEAR(Table1[[#This Row],[Application_Date]])</f>
        <v>2024</v>
      </c>
      <c r="H274" s="1" t="str">
        <f>TEXT(Table1[[#This Row],[EMI_payment_date]],"mmmm")</f>
        <v>January</v>
      </c>
      <c r="I274" s="3">
        <v>45654</v>
      </c>
      <c r="J274" s="3">
        <f>EDATE(Table1[[#This Row],[Application_Date]],1)</f>
        <v>45685</v>
      </c>
      <c r="K274" s="9">
        <v>7920000</v>
      </c>
      <c r="L274" s="9">
        <f>Table1[[#This Row],[Annual_Income]]/12</f>
        <v>660000</v>
      </c>
      <c r="M274" s="9">
        <v>8120000</v>
      </c>
      <c r="N274" s="5">
        <f ca="1">DATEDIF(Table1[[#This Row],[EMI_payment_date]],TODAY(),"m")</f>
        <v>18</v>
      </c>
      <c r="O274" s="9">
        <f>19*Table1[[#This Row],[monthly_EMI]]</f>
        <v>3762000</v>
      </c>
      <c r="P274" s="1">
        <v>6.61</v>
      </c>
      <c r="Q274" s="9">
        <f>Table1[[#This Row],[monthly_income]]*30%</f>
        <v>198000</v>
      </c>
      <c r="R274" s="1">
        <f>ROUNDUP(NPER(P274/100/12,-Q274,Table1[[#This Row],[Loan_Amount]]),0)</f>
        <v>47</v>
      </c>
      <c r="S274" s="1">
        <v>842</v>
      </c>
      <c r="T274" s="1" t="s">
        <v>37</v>
      </c>
      <c r="U274" s="1" t="str">
        <f>IF(Table1[[#This Row],[Repayment_Status]]="late","bad loan","good loan")</f>
        <v>bad loan</v>
      </c>
      <c r="V274" s="1" t="str">
        <f>IF(Table1[[#This Row],[Repayment_Status]]="late","high","low")</f>
        <v>high</v>
      </c>
      <c r="W274" s="1">
        <f>(Table1[[#This Row],[monthly_EMI]]/Table1[[#This Row],[monthly_income]])*100</f>
        <v>30</v>
      </c>
      <c r="X274" s="7">
        <v>10302.76</v>
      </c>
    </row>
    <row r="275" spans="1:24" x14ac:dyDescent="0.25">
      <c r="A275" s="1" t="s">
        <v>32</v>
      </c>
      <c r="B275" s="2" t="s">
        <v>736</v>
      </c>
      <c r="C275" s="5">
        <v>49</v>
      </c>
      <c r="D275" s="1" t="s">
        <v>15</v>
      </c>
      <c r="E275" s="1" t="s">
        <v>33</v>
      </c>
      <c r="F275" s="1" t="s">
        <v>31</v>
      </c>
      <c r="G275" s="1">
        <f>YEAR(Table1[[#This Row],[Application_Date]])</f>
        <v>2024</v>
      </c>
      <c r="H275" s="1" t="str">
        <f>TEXT(Table1[[#This Row],[EMI_payment_date]],"mmmm")</f>
        <v>January</v>
      </c>
      <c r="I275" s="3">
        <v>45655</v>
      </c>
      <c r="J275" s="3">
        <f>EDATE(Table1[[#This Row],[Application_Date]],1)</f>
        <v>45686</v>
      </c>
      <c r="K275" s="9">
        <v>684000</v>
      </c>
      <c r="L275" s="9">
        <f>Table1[[#This Row],[Annual_Income]]/12</f>
        <v>57000</v>
      </c>
      <c r="M275" s="9">
        <v>884000</v>
      </c>
      <c r="N275" s="5">
        <f ca="1">DATEDIF(Table1[[#This Row],[EMI_payment_date]],TODAY(),"m")</f>
        <v>18</v>
      </c>
      <c r="O275" s="9">
        <f>19*Table1[[#This Row],[monthly_EMI]]</f>
        <v>324900</v>
      </c>
      <c r="P275" s="1">
        <v>8.51</v>
      </c>
      <c r="Q275" s="9">
        <f>Table1[[#This Row],[monthly_income]]*30%</f>
        <v>17100</v>
      </c>
      <c r="R275" s="1">
        <f>ROUNDUP(NPER(P275/100/12,-Q275,Table1[[#This Row],[Loan_Amount]]),0)</f>
        <v>65</v>
      </c>
      <c r="S275" s="1">
        <v>635</v>
      </c>
      <c r="T275" s="1" t="s">
        <v>20</v>
      </c>
      <c r="U275" s="1" t="str">
        <f>IF(Table1[[#This Row],[Repayment_Status]]="late","bad loan","good loan")</f>
        <v>good loan</v>
      </c>
      <c r="V275" s="1" t="str">
        <f>IF(Table1[[#This Row],[Repayment_Status]]="late","high","low")</f>
        <v>low</v>
      </c>
      <c r="W275" s="1">
        <f>(Table1[[#This Row],[monthly_EMI]]/Table1[[#This Row],[monthly_income]])*100</f>
        <v>30</v>
      </c>
      <c r="X275" s="7">
        <v>15346.56</v>
      </c>
    </row>
    <row r="276" spans="1:24" x14ac:dyDescent="0.25">
      <c r="A276" s="1" t="s">
        <v>313</v>
      </c>
      <c r="B276" s="2" t="s">
        <v>840</v>
      </c>
      <c r="C276" s="5">
        <v>54</v>
      </c>
      <c r="D276" s="1" t="s">
        <v>15</v>
      </c>
      <c r="E276" s="1" t="s">
        <v>27</v>
      </c>
      <c r="F276" s="1" t="s">
        <v>31</v>
      </c>
      <c r="G276" s="1">
        <f>YEAR(Table1[[#This Row],[Application_Date]])</f>
        <v>2024</v>
      </c>
      <c r="H276" s="1" t="str">
        <f>TEXT(Table1[[#This Row],[EMI_payment_date]],"mmmm")</f>
        <v>January</v>
      </c>
      <c r="I276" s="3">
        <v>45656</v>
      </c>
      <c r="J276" s="3">
        <f>EDATE(Table1[[#This Row],[Application_Date]],1)</f>
        <v>45687</v>
      </c>
      <c r="K276" s="9">
        <v>4020000</v>
      </c>
      <c r="L276" s="9">
        <f>Table1[[#This Row],[Annual_Income]]/12</f>
        <v>335000</v>
      </c>
      <c r="M276" s="9">
        <v>4220000</v>
      </c>
      <c r="N276" s="5">
        <f ca="1">DATEDIF(Table1[[#This Row],[EMI_payment_date]],TODAY(),"m")</f>
        <v>18</v>
      </c>
      <c r="O276" s="9">
        <f>19*Table1[[#This Row],[monthly_EMI]]</f>
        <v>1909500</v>
      </c>
      <c r="P276" s="1">
        <v>6.24</v>
      </c>
      <c r="Q276" s="9">
        <f>Table1[[#This Row],[monthly_income]]*30%</f>
        <v>100500</v>
      </c>
      <c r="R276" s="1">
        <f>ROUNDUP(NPER(P276/100/12,-Q276,Table1[[#This Row],[Loan_Amount]]),0)</f>
        <v>48</v>
      </c>
      <c r="S276" s="1">
        <v>638</v>
      </c>
      <c r="T276" s="1" t="s">
        <v>20</v>
      </c>
      <c r="U276" s="1" t="str">
        <f>IF(Table1[[#This Row],[Repayment_Status]]="late","bad loan","good loan")</f>
        <v>good loan</v>
      </c>
      <c r="V276" s="1" t="str">
        <f>IF(Table1[[#This Row],[Repayment_Status]]="late","high","low")</f>
        <v>low</v>
      </c>
      <c r="W276" s="1">
        <f>(Table1[[#This Row],[monthly_EMI]]/Table1[[#This Row],[monthly_income]])*100</f>
        <v>30</v>
      </c>
      <c r="X276" s="7">
        <v>13624.08</v>
      </c>
    </row>
    <row r="277" spans="1:24" x14ac:dyDescent="0.25">
      <c r="A277" s="1" t="s">
        <v>288</v>
      </c>
      <c r="B277" s="2" t="s">
        <v>754</v>
      </c>
      <c r="C277" s="5">
        <v>52</v>
      </c>
      <c r="D277" s="1" t="s">
        <v>26</v>
      </c>
      <c r="E277" s="1" t="s">
        <v>33</v>
      </c>
      <c r="F277" s="1" t="s">
        <v>19</v>
      </c>
      <c r="G277" s="1">
        <f>YEAR(Table1[[#This Row],[Application_Date]])</f>
        <v>2024</v>
      </c>
      <c r="H277" s="1" t="str">
        <f>TEXT(Table1[[#This Row],[EMI_payment_date]],"mmmm")</f>
        <v>January</v>
      </c>
      <c r="I277" s="3">
        <v>45657</v>
      </c>
      <c r="J277" s="3">
        <f>EDATE(Table1[[#This Row],[Application_Date]],1)</f>
        <v>45688</v>
      </c>
      <c r="K277" s="9">
        <v>3720000</v>
      </c>
      <c r="L277" s="9">
        <f>Table1[[#This Row],[Annual_Income]]/12</f>
        <v>310000</v>
      </c>
      <c r="M277" s="9">
        <v>3920000</v>
      </c>
      <c r="N277" s="5">
        <f ca="1">DATEDIF(Table1[[#This Row],[EMI_payment_date]],TODAY(),"m")</f>
        <v>17</v>
      </c>
      <c r="O277" s="9">
        <f>19*Table1[[#This Row],[monthly_EMI]]</f>
        <v>1767000</v>
      </c>
      <c r="P277" s="1">
        <v>9.42</v>
      </c>
      <c r="Q277" s="9">
        <f>Table1[[#This Row],[monthly_income]]*30%</f>
        <v>93000</v>
      </c>
      <c r="R277" s="1">
        <f>ROUNDUP(NPER(P277/100/12,-Q277,Table1[[#This Row],[Loan_Amount]]),0)</f>
        <v>52</v>
      </c>
      <c r="S277" s="1">
        <v>659</v>
      </c>
      <c r="T277" s="1" t="s">
        <v>37</v>
      </c>
      <c r="U277" s="1" t="str">
        <f>IF(Table1[[#This Row],[Repayment_Status]]="late","bad loan","good loan")</f>
        <v>bad loan</v>
      </c>
      <c r="V277" s="1" t="str">
        <f>IF(Table1[[#This Row],[Repayment_Status]]="late","high","low")</f>
        <v>high</v>
      </c>
      <c r="W277" s="1">
        <f>(Table1[[#This Row],[monthly_EMI]]/Table1[[#This Row],[monthly_income]])*100</f>
        <v>30</v>
      </c>
      <c r="X277" s="7">
        <v>42974.06</v>
      </c>
    </row>
    <row r="278" spans="1:24" x14ac:dyDescent="0.25">
      <c r="A278" s="1" t="s">
        <v>248</v>
      </c>
      <c r="B278" s="2" t="s">
        <v>860</v>
      </c>
      <c r="C278" s="5">
        <v>58</v>
      </c>
      <c r="D278" s="1" t="s">
        <v>15</v>
      </c>
      <c r="E278" s="1" t="s">
        <v>24</v>
      </c>
      <c r="F278" s="1" t="s">
        <v>22</v>
      </c>
      <c r="G278" s="1">
        <f>YEAR(Table1[[#This Row],[Application_Date]])</f>
        <v>2025</v>
      </c>
      <c r="H278" s="1" t="str">
        <f>TEXT(Table1[[#This Row],[EMI_payment_date]],"mmmm")</f>
        <v>February</v>
      </c>
      <c r="I278" s="3">
        <v>45658</v>
      </c>
      <c r="J278" s="3">
        <f>EDATE(Table1[[#This Row],[Application_Date]],1)</f>
        <v>45689</v>
      </c>
      <c r="K278" s="9">
        <v>3240000</v>
      </c>
      <c r="L278" s="9">
        <f>Table1[[#This Row],[Annual_Income]]/12</f>
        <v>270000</v>
      </c>
      <c r="M278" s="9">
        <v>3440000</v>
      </c>
      <c r="N278" s="5">
        <f ca="1">DATEDIF(Table1[[#This Row],[EMI_payment_date]],TODAY(),"m")</f>
        <v>17</v>
      </c>
      <c r="O278" s="9">
        <f>18*Table1[[#This Row],[monthly_EMI]]</f>
        <v>1458000</v>
      </c>
      <c r="P278" s="1">
        <v>8.6199999999999992</v>
      </c>
      <c r="Q278" s="9">
        <f>Table1[[#This Row],[monthly_income]]*30%</f>
        <v>81000</v>
      </c>
      <c r="R278" s="1">
        <f>ROUNDUP(NPER(P278/100/12,-Q278,Table1[[#This Row],[Loan_Amount]]),0)</f>
        <v>51</v>
      </c>
      <c r="S278" s="1">
        <v>835</v>
      </c>
      <c r="T278" s="1" t="s">
        <v>20</v>
      </c>
      <c r="U278" s="1" t="str">
        <f>IF(Table1[[#This Row],[Repayment_Status]]="late","bad loan","good loan")</f>
        <v>good loan</v>
      </c>
      <c r="V278" s="1" t="str">
        <f>IF(Table1[[#This Row],[Repayment_Status]]="late","high","low")</f>
        <v>low</v>
      </c>
      <c r="W278" s="1">
        <f>(Table1[[#This Row],[monthly_EMI]]/Table1[[#This Row],[monthly_income]])*100</f>
        <v>30</v>
      </c>
      <c r="X278" s="7">
        <v>30736.82</v>
      </c>
    </row>
    <row r="279" spans="1:24" x14ac:dyDescent="0.25">
      <c r="A279" s="1" t="s">
        <v>333</v>
      </c>
      <c r="B279" s="2" t="s">
        <v>844</v>
      </c>
      <c r="C279" s="5">
        <v>59</v>
      </c>
      <c r="D279" s="1" t="s">
        <v>26</v>
      </c>
      <c r="E279" s="1" t="s">
        <v>27</v>
      </c>
      <c r="F279" s="1" t="s">
        <v>17</v>
      </c>
      <c r="G279" s="1">
        <f>YEAR(Table1[[#This Row],[Application_Date]])</f>
        <v>2025</v>
      </c>
      <c r="H279" s="1" t="str">
        <f>TEXT(Table1[[#This Row],[EMI_payment_date]],"mmmm")</f>
        <v>February</v>
      </c>
      <c r="I279" s="3">
        <v>45659</v>
      </c>
      <c r="J279" s="3">
        <f>EDATE(Table1[[#This Row],[Application_Date]],1)</f>
        <v>45690</v>
      </c>
      <c r="K279" s="9">
        <v>4260000</v>
      </c>
      <c r="L279" s="9">
        <f>Table1[[#This Row],[Annual_Income]]/12</f>
        <v>355000</v>
      </c>
      <c r="M279" s="9">
        <v>4460000</v>
      </c>
      <c r="N279" s="5">
        <f ca="1">DATEDIF(Table1[[#This Row],[EMI_payment_date]],TODAY(),"m")</f>
        <v>17</v>
      </c>
      <c r="O279" s="9">
        <f>18*Table1[[#This Row],[monthly_EMI]]</f>
        <v>1917000</v>
      </c>
      <c r="P279" s="1">
        <v>8.2899999999999991</v>
      </c>
      <c r="Q279" s="9">
        <f>Table1[[#This Row],[monthly_income]]*30%</f>
        <v>106500</v>
      </c>
      <c r="R279" s="1">
        <f>ROUNDUP(NPER(P279/100/12,-Q279,Table1[[#This Row],[Loan_Amount]]),0)</f>
        <v>50</v>
      </c>
      <c r="S279" s="1">
        <v>699</v>
      </c>
      <c r="T279" s="1" t="s">
        <v>37</v>
      </c>
      <c r="U279" s="1" t="str">
        <f>IF(Table1[[#This Row],[Repayment_Status]]="late","bad loan","good loan")</f>
        <v>bad loan</v>
      </c>
      <c r="V279" s="1" t="str">
        <f>IF(Table1[[#This Row],[Repayment_Status]]="late","high","low")</f>
        <v>high</v>
      </c>
      <c r="W279" s="1">
        <f>(Table1[[#This Row],[monthly_EMI]]/Table1[[#This Row],[monthly_income]])*100</f>
        <v>30</v>
      </c>
      <c r="X279" s="7">
        <v>25597.759999999998</v>
      </c>
    </row>
    <row r="280" spans="1:24" x14ac:dyDescent="0.25">
      <c r="A280" s="1" t="s">
        <v>672</v>
      </c>
      <c r="B280" s="2" t="s">
        <v>738</v>
      </c>
      <c r="C280" s="5">
        <v>55</v>
      </c>
      <c r="D280" s="1" t="s">
        <v>15</v>
      </c>
      <c r="E280" s="1" t="s">
        <v>29</v>
      </c>
      <c r="F280" s="1" t="s">
        <v>31</v>
      </c>
      <c r="G280" s="1">
        <f>YEAR(Table1[[#This Row],[Application_Date]])</f>
        <v>2025</v>
      </c>
      <c r="H280" s="1" t="str">
        <f>TEXT(Table1[[#This Row],[EMI_payment_date]],"mmmm")</f>
        <v>February</v>
      </c>
      <c r="I280" s="3">
        <v>45660</v>
      </c>
      <c r="J280" s="3">
        <f>EDATE(Table1[[#This Row],[Application_Date]],1)</f>
        <v>45691</v>
      </c>
      <c r="K280" s="9">
        <v>8328000</v>
      </c>
      <c r="L280" s="9">
        <f>Table1[[#This Row],[Annual_Income]]/12</f>
        <v>694000</v>
      </c>
      <c r="M280" s="9">
        <v>8528000</v>
      </c>
      <c r="N280" s="5">
        <f ca="1">DATEDIF(Table1[[#This Row],[EMI_payment_date]],TODAY(),"m")</f>
        <v>17</v>
      </c>
      <c r="O280" s="9">
        <f>18*Table1[[#This Row],[monthly_EMI]]</f>
        <v>3747600</v>
      </c>
      <c r="P280" s="1">
        <v>6.31</v>
      </c>
      <c r="Q280" s="9">
        <f>Table1[[#This Row],[monthly_income]]*30%</f>
        <v>208200</v>
      </c>
      <c r="R280" s="1">
        <f>ROUNDUP(NPER(P280/100/12,-Q280,Table1[[#This Row],[Loan_Amount]]),0)</f>
        <v>47</v>
      </c>
      <c r="S280" s="1">
        <v>687</v>
      </c>
      <c r="T280" s="1" t="s">
        <v>37</v>
      </c>
      <c r="U280" s="1" t="str">
        <f>IF(Table1[[#This Row],[Repayment_Status]]="late","bad loan","good loan")</f>
        <v>bad loan</v>
      </c>
      <c r="V280" s="1" t="str">
        <f>IF(Table1[[#This Row],[Repayment_Status]]="late","high","low")</f>
        <v>high</v>
      </c>
      <c r="W280" s="1">
        <f>(Table1[[#This Row],[monthly_EMI]]/Table1[[#This Row],[monthly_income]])*100</f>
        <v>30</v>
      </c>
      <c r="X280" s="7">
        <v>22882.799999999999</v>
      </c>
    </row>
    <row r="281" spans="1:24" x14ac:dyDescent="0.25">
      <c r="A281" s="1" t="s">
        <v>467</v>
      </c>
      <c r="B281" s="2" t="s">
        <v>907</v>
      </c>
      <c r="C281" s="5">
        <v>39</v>
      </c>
      <c r="D281" s="1" t="s">
        <v>15</v>
      </c>
      <c r="E281" s="1" t="s">
        <v>27</v>
      </c>
      <c r="F281" s="1" t="s">
        <v>51</v>
      </c>
      <c r="G281" s="1">
        <f>YEAR(Table1[[#This Row],[Application_Date]])</f>
        <v>2025</v>
      </c>
      <c r="H281" s="1" t="str">
        <f>TEXT(Table1[[#This Row],[EMI_payment_date]],"mmmm")</f>
        <v>February</v>
      </c>
      <c r="I281" s="3">
        <v>45661</v>
      </c>
      <c r="J281" s="3">
        <f>EDATE(Table1[[#This Row],[Application_Date]],1)</f>
        <v>45692</v>
      </c>
      <c r="K281" s="9">
        <v>5868000</v>
      </c>
      <c r="L281" s="9">
        <f>Table1[[#This Row],[Annual_Income]]/12</f>
        <v>489000</v>
      </c>
      <c r="M281" s="9">
        <v>6068000</v>
      </c>
      <c r="N281" s="5">
        <f ca="1">DATEDIF(Table1[[#This Row],[EMI_payment_date]],TODAY(),"m")</f>
        <v>17</v>
      </c>
      <c r="O281" s="9">
        <f>18*Table1[[#This Row],[monthly_EMI]]</f>
        <v>2640600</v>
      </c>
      <c r="P281" s="1">
        <v>7.73</v>
      </c>
      <c r="Q281" s="9">
        <f>Table1[[#This Row],[monthly_income]]*30%</f>
        <v>146700</v>
      </c>
      <c r="R281" s="1">
        <f>ROUNDUP(NPER(P281/100/12,-Q281,Table1[[#This Row],[Loan_Amount]]),0)</f>
        <v>49</v>
      </c>
      <c r="S281" s="1">
        <v>678</v>
      </c>
      <c r="T281" s="1" t="s">
        <v>20</v>
      </c>
      <c r="U281" s="1" t="str">
        <f>IF(Table1[[#This Row],[Repayment_Status]]="late","bad loan","good loan")</f>
        <v>good loan</v>
      </c>
      <c r="V281" s="1" t="str">
        <f>IF(Table1[[#This Row],[Repayment_Status]]="late","high","low")</f>
        <v>low</v>
      </c>
      <c r="W281" s="1">
        <f>(Table1[[#This Row],[monthly_EMI]]/Table1[[#This Row],[monthly_income]])*100</f>
        <v>30</v>
      </c>
      <c r="X281" s="7">
        <v>30770.9</v>
      </c>
    </row>
    <row r="282" spans="1:24" x14ac:dyDescent="0.25">
      <c r="A282" s="1" t="s">
        <v>311</v>
      </c>
      <c r="B282" s="2" t="s">
        <v>883</v>
      </c>
      <c r="C282" s="5">
        <v>23</v>
      </c>
      <c r="D282" s="1" t="s">
        <v>15</v>
      </c>
      <c r="E282" s="1" t="s">
        <v>16</v>
      </c>
      <c r="F282" s="1" t="s">
        <v>17</v>
      </c>
      <c r="G282" s="1">
        <f>YEAR(Table1[[#This Row],[Application_Date]])</f>
        <v>2025</v>
      </c>
      <c r="H282" s="1" t="str">
        <f>TEXT(Table1[[#This Row],[EMI_payment_date]],"mmmm")</f>
        <v>February</v>
      </c>
      <c r="I282" s="3">
        <v>45662</v>
      </c>
      <c r="J282" s="3">
        <f>EDATE(Table1[[#This Row],[Application_Date]],1)</f>
        <v>45693</v>
      </c>
      <c r="K282" s="9">
        <v>3996000</v>
      </c>
      <c r="L282" s="9">
        <f>Table1[[#This Row],[Annual_Income]]/12</f>
        <v>333000</v>
      </c>
      <c r="M282" s="9">
        <v>4196000</v>
      </c>
      <c r="N282" s="5">
        <f ca="1">DATEDIF(Table1[[#This Row],[EMI_payment_date]],TODAY(),"m")</f>
        <v>17</v>
      </c>
      <c r="O282" s="9">
        <f>18*Table1[[#This Row],[monthly_EMI]]</f>
        <v>1798200</v>
      </c>
      <c r="P282" s="1">
        <v>9.11</v>
      </c>
      <c r="Q282" s="9">
        <f>Table1[[#This Row],[monthly_income]]*30%</f>
        <v>99900</v>
      </c>
      <c r="R282" s="1">
        <f>ROUNDUP(NPER(P282/100/12,-Q282,Table1[[#This Row],[Loan_Amount]]),0)</f>
        <v>51</v>
      </c>
      <c r="S282" s="1">
        <v>812</v>
      </c>
      <c r="T282" s="1" t="s">
        <v>20</v>
      </c>
      <c r="U282" s="1" t="str">
        <f>IF(Table1[[#This Row],[Repayment_Status]]="late","bad loan","good loan")</f>
        <v>good loan</v>
      </c>
      <c r="V282" s="1" t="str">
        <f>IF(Table1[[#This Row],[Repayment_Status]]="late","high","low")</f>
        <v>low</v>
      </c>
      <c r="W282" s="1">
        <f>(Table1[[#This Row],[monthly_EMI]]/Table1[[#This Row],[monthly_income]])*100</f>
        <v>30</v>
      </c>
      <c r="X282" s="7">
        <v>34684.339999999997</v>
      </c>
    </row>
    <row r="283" spans="1:24" x14ac:dyDescent="0.25">
      <c r="A283" s="1" t="s">
        <v>261</v>
      </c>
      <c r="B283" s="2" t="s">
        <v>807</v>
      </c>
      <c r="C283" s="5">
        <v>49</v>
      </c>
      <c r="D283" s="1" t="s">
        <v>26</v>
      </c>
      <c r="E283" s="1" t="s">
        <v>27</v>
      </c>
      <c r="F283" s="1" t="s">
        <v>19</v>
      </c>
      <c r="G283" s="1">
        <f>YEAR(Table1[[#This Row],[Application_Date]])</f>
        <v>2025</v>
      </c>
      <c r="H283" s="1" t="str">
        <f>TEXT(Table1[[#This Row],[EMI_payment_date]],"mmmm")</f>
        <v>February</v>
      </c>
      <c r="I283" s="3">
        <v>45663</v>
      </c>
      <c r="J283" s="3">
        <f>EDATE(Table1[[#This Row],[Application_Date]],1)</f>
        <v>45694</v>
      </c>
      <c r="K283" s="9">
        <v>3396000</v>
      </c>
      <c r="L283" s="9">
        <f>Table1[[#This Row],[Annual_Income]]/12</f>
        <v>283000</v>
      </c>
      <c r="M283" s="9">
        <v>3596000</v>
      </c>
      <c r="N283" s="5">
        <f ca="1">DATEDIF(Table1[[#This Row],[EMI_payment_date]],TODAY(),"m")</f>
        <v>17</v>
      </c>
      <c r="O283" s="9">
        <f>18*Table1[[#This Row],[monthly_EMI]]</f>
        <v>1528200</v>
      </c>
      <c r="P283" s="1">
        <v>7.69</v>
      </c>
      <c r="Q283" s="9">
        <f>Table1[[#This Row],[monthly_income]]*30%</f>
        <v>84900</v>
      </c>
      <c r="R283" s="1">
        <f>ROUNDUP(NPER(P283/100/12,-Q283,Table1[[#This Row],[Loan_Amount]]),0)</f>
        <v>50</v>
      </c>
      <c r="S283" s="1">
        <v>610</v>
      </c>
      <c r="T283" s="1" t="s">
        <v>20</v>
      </c>
      <c r="U283" s="1" t="str">
        <f>IF(Table1[[#This Row],[Repayment_Status]]="late","bad loan","good loan")</f>
        <v>good loan</v>
      </c>
      <c r="V283" s="1" t="str">
        <f>IF(Table1[[#This Row],[Repayment_Status]]="late","high","low")</f>
        <v>low</v>
      </c>
      <c r="W283" s="1">
        <f>(Table1[[#This Row],[monthly_EMI]]/Table1[[#This Row],[monthly_income]])*100</f>
        <v>30</v>
      </c>
      <c r="X283" s="7">
        <v>25689.52</v>
      </c>
    </row>
    <row r="284" spans="1:24" x14ac:dyDescent="0.25">
      <c r="A284" s="1" t="s">
        <v>710</v>
      </c>
      <c r="B284" s="2" t="s">
        <v>811</v>
      </c>
      <c r="C284" s="5">
        <v>34</v>
      </c>
      <c r="D284" s="1" t="s">
        <v>15</v>
      </c>
      <c r="E284" s="1" t="s">
        <v>24</v>
      </c>
      <c r="F284" s="1" t="s">
        <v>19</v>
      </c>
      <c r="G284" s="1">
        <f>YEAR(Table1[[#This Row],[Application_Date]])</f>
        <v>2025</v>
      </c>
      <c r="H284" s="1" t="str">
        <f>TEXT(Table1[[#This Row],[EMI_payment_date]],"mmmm")</f>
        <v>February</v>
      </c>
      <c r="I284" s="3">
        <v>45664</v>
      </c>
      <c r="J284" s="3">
        <f>EDATE(Table1[[#This Row],[Application_Date]],1)</f>
        <v>45695</v>
      </c>
      <c r="K284" s="9">
        <v>8784000</v>
      </c>
      <c r="L284" s="9">
        <f>Table1[[#This Row],[Annual_Income]]/12</f>
        <v>732000</v>
      </c>
      <c r="M284" s="9">
        <v>8984000</v>
      </c>
      <c r="N284" s="5">
        <f ca="1">DATEDIF(Table1[[#This Row],[EMI_payment_date]],TODAY(),"m")</f>
        <v>17</v>
      </c>
      <c r="O284" s="9">
        <f>18*Table1[[#This Row],[monthly_EMI]]</f>
        <v>3952800</v>
      </c>
      <c r="P284" s="1">
        <v>8.2799999999999994</v>
      </c>
      <c r="Q284" s="9">
        <f>Table1[[#This Row],[monthly_income]]*30%</f>
        <v>219600</v>
      </c>
      <c r="R284" s="1">
        <f>ROUNDUP(NPER(P284/100/12,-Q284,Table1[[#This Row],[Loan_Amount]]),0)</f>
        <v>49</v>
      </c>
      <c r="S284" s="1">
        <v>850</v>
      </c>
      <c r="T284" s="1" t="s">
        <v>20</v>
      </c>
      <c r="U284" s="1" t="str">
        <f>IF(Table1[[#This Row],[Repayment_Status]]="late","bad loan","good loan")</f>
        <v>good loan</v>
      </c>
      <c r="V284" s="1" t="str">
        <f>IF(Table1[[#This Row],[Repayment_Status]]="late","high","low")</f>
        <v>low</v>
      </c>
      <c r="W284" s="1">
        <f>(Table1[[#This Row],[monthly_EMI]]/Table1[[#This Row],[monthly_income]])*100</f>
        <v>30</v>
      </c>
      <c r="X284" s="7">
        <v>30462.57</v>
      </c>
    </row>
    <row r="285" spans="1:24" x14ac:dyDescent="0.25">
      <c r="A285" s="1" t="s">
        <v>401</v>
      </c>
      <c r="B285" s="2" t="s">
        <v>815</v>
      </c>
      <c r="C285" s="5">
        <v>37</v>
      </c>
      <c r="D285" s="1" t="s">
        <v>26</v>
      </c>
      <c r="E285" s="1" t="s">
        <v>33</v>
      </c>
      <c r="F285" s="1" t="s">
        <v>31</v>
      </c>
      <c r="G285" s="1">
        <f>YEAR(Table1[[#This Row],[Application_Date]])</f>
        <v>2025</v>
      </c>
      <c r="H285" s="1" t="str">
        <f>TEXT(Table1[[#This Row],[EMI_payment_date]],"mmmm")</f>
        <v>February</v>
      </c>
      <c r="I285" s="3">
        <v>45665</v>
      </c>
      <c r="J285" s="3">
        <f>EDATE(Table1[[#This Row],[Application_Date]],1)</f>
        <v>45696</v>
      </c>
      <c r="K285" s="9">
        <v>5076000</v>
      </c>
      <c r="L285" s="9">
        <f>Table1[[#This Row],[Annual_Income]]/12</f>
        <v>423000</v>
      </c>
      <c r="M285" s="9">
        <v>5276000</v>
      </c>
      <c r="N285" s="5">
        <f ca="1">DATEDIF(Table1[[#This Row],[EMI_payment_date]],TODAY(),"m")</f>
        <v>17</v>
      </c>
      <c r="O285" s="9">
        <f>18*Table1[[#This Row],[monthly_EMI]]</f>
        <v>2284200</v>
      </c>
      <c r="P285" s="1">
        <v>8.61</v>
      </c>
      <c r="Q285" s="9">
        <f>Table1[[#This Row],[monthly_income]]*30%</f>
        <v>126900</v>
      </c>
      <c r="R285" s="1">
        <f>ROUNDUP(NPER(P285/100/12,-Q285,Table1[[#This Row],[Loan_Amount]]),0)</f>
        <v>50</v>
      </c>
      <c r="S285" s="1">
        <v>693</v>
      </c>
      <c r="T285" s="1" t="s">
        <v>20</v>
      </c>
      <c r="U285" s="1" t="str">
        <f>IF(Table1[[#This Row],[Repayment_Status]]="late","bad loan","good loan")</f>
        <v>good loan</v>
      </c>
      <c r="V285" s="1" t="str">
        <f>IF(Table1[[#This Row],[Repayment_Status]]="late","high","low")</f>
        <v>low</v>
      </c>
      <c r="W285" s="1">
        <f>(Table1[[#This Row],[monthly_EMI]]/Table1[[#This Row],[monthly_income]])*100</f>
        <v>30</v>
      </c>
      <c r="X285" s="7">
        <v>31713.87</v>
      </c>
    </row>
    <row r="286" spans="1:24" x14ac:dyDescent="0.25">
      <c r="A286" s="1" t="s">
        <v>80</v>
      </c>
      <c r="B286" s="2" t="s">
        <v>755</v>
      </c>
      <c r="C286" s="5">
        <v>27</v>
      </c>
      <c r="D286" s="1" t="s">
        <v>15</v>
      </c>
      <c r="E286" s="1" t="s">
        <v>24</v>
      </c>
      <c r="F286" s="1" t="s">
        <v>17</v>
      </c>
      <c r="G286" s="1">
        <f>YEAR(Table1[[#This Row],[Application_Date]])</f>
        <v>2025</v>
      </c>
      <c r="H286" s="1" t="str">
        <f>TEXT(Table1[[#This Row],[EMI_payment_date]],"mmmm")</f>
        <v>February</v>
      </c>
      <c r="I286" s="3">
        <v>45666</v>
      </c>
      <c r="J286" s="3">
        <f>EDATE(Table1[[#This Row],[Application_Date]],1)</f>
        <v>45697</v>
      </c>
      <c r="K286" s="9">
        <v>1212000</v>
      </c>
      <c r="L286" s="9">
        <f>Table1[[#This Row],[Annual_Income]]/12</f>
        <v>101000</v>
      </c>
      <c r="M286" s="9">
        <v>1412000</v>
      </c>
      <c r="N286" s="5">
        <f ca="1">DATEDIF(Table1[[#This Row],[EMI_payment_date]],TODAY(),"m")</f>
        <v>17</v>
      </c>
      <c r="O286" s="9">
        <f>18*Table1[[#This Row],[monthly_EMI]]</f>
        <v>545400</v>
      </c>
      <c r="P286" s="1">
        <v>5.7</v>
      </c>
      <c r="Q286" s="9">
        <f>Table1[[#This Row],[monthly_income]]*30%</f>
        <v>30300</v>
      </c>
      <c r="R286" s="1">
        <f>ROUNDUP(NPER(P286/100/12,-Q286,Table1[[#This Row],[Loan_Amount]]),0)</f>
        <v>53</v>
      </c>
      <c r="S286" s="1">
        <v>834</v>
      </c>
      <c r="T286" s="1" t="s">
        <v>20</v>
      </c>
      <c r="U286" s="1" t="str">
        <f>IF(Table1[[#This Row],[Repayment_Status]]="late","bad loan","good loan")</f>
        <v>good loan</v>
      </c>
      <c r="V286" s="1" t="str">
        <f>IF(Table1[[#This Row],[Repayment_Status]]="late","high","low")</f>
        <v>low</v>
      </c>
      <c r="W286" s="1">
        <f>(Table1[[#This Row],[monthly_EMI]]/Table1[[#This Row],[monthly_income]])*100</f>
        <v>30</v>
      </c>
      <c r="X286" s="7">
        <v>19476.23</v>
      </c>
    </row>
    <row r="287" spans="1:24" x14ac:dyDescent="0.25">
      <c r="A287" s="1" t="s">
        <v>171</v>
      </c>
      <c r="B287" s="2" t="s">
        <v>830</v>
      </c>
      <c r="C287" s="5">
        <v>41</v>
      </c>
      <c r="D287" s="1" t="s">
        <v>15</v>
      </c>
      <c r="E287" s="1" t="s">
        <v>29</v>
      </c>
      <c r="F287" s="1" t="s">
        <v>17</v>
      </c>
      <c r="G287" s="1">
        <f>YEAR(Table1[[#This Row],[Application_Date]])</f>
        <v>2025</v>
      </c>
      <c r="H287" s="1" t="str">
        <f>TEXT(Table1[[#This Row],[EMI_payment_date]],"mmmm")</f>
        <v>February</v>
      </c>
      <c r="I287" s="3">
        <v>45667</v>
      </c>
      <c r="J287" s="3">
        <f>EDATE(Table1[[#This Row],[Application_Date]],1)</f>
        <v>45698</v>
      </c>
      <c r="K287" s="9">
        <v>2316000</v>
      </c>
      <c r="L287" s="9">
        <f>Table1[[#This Row],[Annual_Income]]/12</f>
        <v>193000</v>
      </c>
      <c r="M287" s="9">
        <v>2516000</v>
      </c>
      <c r="N287" s="5">
        <f ca="1">DATEDIF(Table1[[#This Row],[EMI_payment_date]],TODAY(),"m")</f>
        <v>17</v>
      </c>
      <c r="O287" s="9">
        <f>18*Table1[[#This Row],[monthly_EMI]]</f>
        <v>1042200</v>
      </c>
      <c r="P287" s="1">
        <v>8.7200000000000006</v>
      </c>
      <c r="Q287" s="9">
        <f>Table1[[#This Row],[monthly_income]]*30%</f>
        <v>57900</v>
      </c>
      <c r="R287" s="1">
        <f>ROUNDUP(NPER(P287/100/12,-Q287,Table1[[#This Row],[Loan_Amount]]),0)</f>
        <v>53</v>
      </c>
      <c r="S287" s="1">
        <v>706</v>
      </c>
      <c r="T287" s="1" t="s">
        <v>20</v>
      </c>
      <c r="U287" s="1" t="str">
        <f>IF(Table1[[#This Row],[Repayment_Status]]="late","bad loan","good loan")</f>
        <v>good loan</v>
      </c>
      <c r="V287" s="1" t="str">
        <f>IF(Table1[[#This Row],[Repayment_Status]]="late","high","low")</f>
        <v>low</v>
      </c>
      <c r="W287" s="1">
        <f>(Table1[[#This Row],[monthly_EMI]]/Table1[[#This Row],[monthly_income]])*100</f>
        <v>30</v>
      </c>
      <c r="X287" s="7">
        <v>19376.07</v>
      </c>
    </row>
    <row r="288" spans="1:24" x14ac:dyDescent="0.25">
      <c r="A288" s="1" t="s">
        <v>520</v>
      </c>
      <c r="B288" s="2" t="s">
        <v>731</v>
      </c>
      <c r="C288" s="5">
        <v>60</v>
      </c>
      <c r="D288" s="1" t="s">
        <v>26</v>
      </c>
      <c r="E288" s="1" t="s">
        <v>29</v>
      </c>
      <c r="F288" s="1" t="s">
        <v>17</v>
      </c>
      <c r="G288" s="1">
        <f>YEAR(Table1[[#This Row],[Application_Date]])</f>
        <v>2025</v>
      </c>
      <c r="H288" s="1" t="str">
        <f>TEXT(Table1[[#This Row],[EMI_payment_date]],"mmmm")</f>
        <v>February</v>
      </c>
      <c r="I288" s="3">
        <v>45668</v>
      </c>
      <c r="J288" s="3">
        <f>EDATE(Table1[[#This Row],[Application_Date]],1)</f>
        <v>45699</v>
      </c>
      <c r="K288" s="9">
        <v>6504000</v>
      </c>
      <c r="L288" s="9">
        <f>Table1[[#This Row],[Annual_Income]]/12</f>
        <v>542000</v>
      </c>
      <c r="M288" s="9">
        <v>6704000</v>
      </c>
      <c r="N288" s="5">
        <f ca="1">DATEDIF(Table1[[#This Row],[EMI_payment_date]],TODAY(),"m")</f>
        <v>17</v>
      </c>
      <c r="O288" s="9">
        <f>18*Table1[[#This Row],[monthly_EMI]]</f>
        <v>2926800</v>
      </c>
      <c r="P288" s="1">
        <v>6.29</v>
      </c>
      <c r="Q288" s="9">
        <f>Table1[[#This Row],[monthly_income]]*30%</f>
        <v>162600</v>
      </c>
      <c r="R288" s="1">
        <f>ROUNDUP(NPER(P288/100/12,-Q288,Table1[[#This Row],[Loan_Amount]]),0)</f>
        <v>47</v>
      </c>
      <c r="S288" s="1">
        <v>681</v>
      </c>
      <c r="T288" s="1" t="s">
        <v>20</v>
      </c>
      <c r="U288" s="1" t="str">
        <f>IF(Table1[[#This Row],[Repayment_Status]]="late","bad loan","good loan")</f>
        <v>good loan</v>
      </c>
      <c r="V288" s="1" t="str">
        <f>IF(Table1[[#This Row],[Repayment_Status]]="late","high","low")</f>
        <v>low</v>
      </c>
      <c r="W288" s="1">
        <f>(Table1[[#This Row],[monthly_EMI]]/Table1[[#This Row],[monthly_income]])*100</f>
        <v>30</v>
      </c>
      <c r="X288" s="7">
        <v>6259.56</v>
      </c>
    </row>
    <row r="289" spans="1:24" x14ac:dyDescent="0.25">
      <c r="A289" s="1" t="s">
        <v>556</v>
      </c>
      <c r="B289" s="2" t="s">
        <v>817</v>
      </c>
      <c r="C289" s="5">
        <v>30</v>
      </c>
      <c r="D289" s="1" t="s">
        <v>15</v>
      </c>
      <c r="E289" s="1" t="s">
        <v>29</v>
      </c>
      <c r="F289" s="1" t="s">
        <v>17</v>
      </c>
      <c r="G289" s="1">
        <f>YEAR(Table1[[#This Row],[Application_Date]])</f>
        <v>2025</v>
      </c>
      <c r="H289" s="1" t="str">
        <f>TEXT(Table1[[#This Row],[EMI_payment_date]],"mmmm")</f>
        <v>February</v>
      </c>
      <c r="I289" s="3">
        <v>45669</v>
      </c>
      <c r="J289" s="3">
        <f>EDATE(Table1[[#This Row],[Application_Date]],1)</f>
        <v>45700</v>
      </c>
      <c r="K289" s="9">
        <v>6936000</v>
      </c>
      <c r="L289" s="9">
        <f>Table1[[#This Row],[Annual_Income]]/12</f>
        <v>578000</v>
      </c>
      <c r="M289" s="9">
        <v>7136000</v>
      </c>
      <c r="N289" s="5">
        <f ca="1">DATEDIF(Table1[[#This Row],[EMI_payment_date]],TODAY(),"m")</f>
        <v>17</v>
      </c>
      <c r="O289" s="9">
        <f>18*Table1[[#This Row],[monthly_EMI]]</f>
        <v>3121200</v>
      </c>
      <c r="P289" s="1">
        <v>5.82</v>
      </c>
      <c r="Q289" s="9">
        <f>Table1[[#This Row],[monthly_income]]*30%</f>
        <v>173400</v>
      </c>
      <c r="R289" s="1">
        <f>ROUNDUP(NPER(P289/100/12,-Q289,Table1[[#This Row],[Loan_Amount]]),0)</f>
        <v>47</v>
      </c>
      <c r="S289" s="1">
        <v>749</v>
      </c>
      <c r="T289" s="1" t="s">
        <v>20</v>
      </c>
      <c r="U289" s="1" t="str">
        <f>IF(Table1[[#This Row],[Repayment_Status]]="late","bad loan","good loan")</f>
        <v>good loan</v>
      </c>
      <c r="V289" s="1" t="str">
        <f>IF(Table1[[#This Row],[Repayment_Status]]="late","high","low")</f>
        <v>low</v>
      </c>
      <c r="W289" s="1">
        <f>(Table1[[#This Row],[monthly_EMI]]/Table1[[#This Row],[monthly_income]])*100</f>
        <v>30</v>
      </c>
      <c r="X289" s="7">
        <v>22715.98</v>
      </c>
    </row>
    <row r="290" spans="1:24" x14ac:dyDescent="0.25">
      <c r="A290" s="1" t="s">
        <v>655</v>
      </c>
      <c r="B290" s="2" t="s">
        <v>761</v>
      </c>
      <c r="C290" s="5">
        <v>37</v>
      </c>
      <c r="D290" s="1" t="s">
        <v>15</v>
      </c>
      <c r="E290" s="1" t="s">
        <v>27</v>
      </c>
      <c r="F290" s="1" t="s">
        <v>22</v>
      </c>
      <c r="G290" s="1">
        <f>YEAR(Table1[[#This Row],[Application_Date]])</f>
        <v>2025</v>
      </c>
      <c r="H290" s="1" t="str">
        <f>TEXT(Table1[[#This Row],[EMI_payment_date]],"mmmm")</f>
        <v>February</v>
      </c>
      <c r="I290" s="3">
        <v>45670</v>
      </c>
      <c r="J290" s="3">
        <f>EDATE(Table1[[#This Row],[Application_Date]],1)</f>
        <v>45701</v>
      </c>
      <c r="K290" s="9">
        <v>8124000</v>
      </c>
      <c r="L290" s="9">
        <f>Table1[[#This Row],[Annual_Income]]/12</f>
        <v>677000</v>
      </c>
      <c r="M290" s="9">
        <v>8324000</v>
      </c>
      <c r="N290" s="5">
        <f ca="1">DATEDIF(Table1[[#This Row],[EMI_payment_date]],TODAY(),"m")</f>
        <v>17</v>
      </c>
      <c r="O290" s="9">
        <f>18*Table1[[#This Row],[monthly_EMI]]</f>
        <v>3655800</v>
      </c>
      <c r="P290" s="1">
        <v>8.85</v>
      </c>
      <c r="Q290" s="9">
        <f>Table1[[#This Row],[monthly_income]]*30%</f>
        <v>203100</v>
      </c>
      <c r="R290" s="1">
        <f>ROUNDUP(NPER(P290/100/12,-Q290,Table1[[#This Row],[Loan_Amount]]),0)</f>
        <v>49</v>
      </c>
      <c r="S290" s="1">
        <v>653</v>
      </c>
      <c r="T290" s="1" t="s">
        <v>20</v>
      </c>
      <c r="U290" s="1" t="str">
        <f>IF(Table1[[#This Row],[Repayment_Status]]="late","bad loan","good loan")</f>
        <v>good loan</v>
      </c>
      <c r="V290" s="1" t="str">
        <f>IF(Table1[[#This Row],[Repayment_Status]]="late","high","low")</f>
        <v>low</v>
      </c>
      <c r="W290" s="1">
        <f>(Table1[[#This Row],[monthly_EMI]]/Table1[[#This Row],[monthly_income]])*100</f>
        <v>30</v>
      </c>
      <c r="X290" s="7">
        <v>10372.09</v>
      </c>
    </row>
    <row r="291" spans="1:24" x14ac:dyDescent="0.25">
      <c r="A291" s="1" t="s">
        <v>486</v>
      </c>
      <c r="B291" s="2" t="s">
        <v>853</v>
      </c>
      <c r="C291" s="5">
        <v>42</v>
      </c>
      <c r="D291" s="1" t="s">
        <v>15</v>
      </c>
      <c r="E291" s="1" t="s">
        <v>33</v>
      </c>
      <c r="F291" s="1" t="s">
        <v>17</v>
      </c>
      <c r="G291" s="1">
        <f>YEAR(Table1[[#This Row],[Application_Date]])</f>
        <v>2025</v>
      </c>
      <c r="H291" s="1" t="str">
        <f>TEXT(Table1[[#This Row],[EMI_payment_date]],"mmmm")</f>
        <v>February</v>
      </c>
      <c r="I291" s="3">
        <v>45671</v>
      </c>
      <c r="J291" s="3">
        <f>EDATE(Table1[[#This Row],[Application_Date]],1)</f>
        <v>45702</v>
      </c>
      <c r="K291" s="9">
        <v>6096000</v>
      </c>
      <c r="L291" s="9">
        <f>Table1[[#This Row],[Annual_Income]]/12</f>
        <v>508000</v>
      </c>
      <c r="M291" s="9">
        <v>6296000</v>
      </c>
      <c r="N291" s="5">
        <f ca="1">DATEDIF(Table1[[#This Row],[EMI_payment_date]],TODAY(),"m")</f>
        <v>17</v>
      </c>
      <c r="O291" s="9">
        <f>18*Table1[[#This Row],[monthly_EMI]]</f>
        <v>2743200</v>
      </c>
      <c r="P291" s="1">
        <v>9.99</v>
      </c>
      <c r="Q291" s="9">
        <f>Table1[[#This Row],[monthly_income]]*30%</f>
        <v>152400</v>
      </c>
      <c r="R291" s="1">
        <f>ROUNDUP(NPER(P291/100/12,-Q291,Table1[[#This Row],[Loan_Amount]]),0)</f>
        <v>51</v>
      </c>
      <c r="S291" s="1">
        <v>735</v>
      </c>
      <c r="T291" s="1" t="s">
        <v>37</v>
      </c>
      <c r="U291" s="1" t="str">
        <f>IF(Table1[[#This Row],[Repayment_Status]]="late","bad loan","good loan")</f>
        <v>bad loan</v>
      </c>
      <c r="V291" s="1" t="str">
        <f>IF(Table1[[#This Row],[Repayment_Status]]="late","high","low")</f>
        <v>high</v>
      </c>
      <c r="W291" s="1">
        <f>(Table1[[#This Row],[monthly_EMI]]/Table1[[#This Row],[monthly_income]])*100</f>
        <v>30</v>
      </c>
      <c r="X291" s="7">
        <v>44892.54</v>
      </c>
    </row>
    <row r="292" spans="1:24" x14ac:dyDescent="0.25">
      <c r="A292" s="1" t="s">
        <v>210</v>
      </c>
      <c r="B292" s="2" t="s">
        <v>849</v>
      </c>
      <c r="C292" s="5">
        <v>51</v>
      </c>
      <c r="D292" s="1" t="s">
        <v>15</v>
      </c>
      <c r="E292" s="1" t="s">
        <v>16</v>
      </c>
      <c r="F292" s="1" t="s">
        <v>22</v>
      </c>
      <c r="G292" s="1">
        <f>YEAR(Table1[[#This Row],[Application_Date]])</f>
        <v>2025</v>
      </c>
      <c r="H292" s="1" t="str">
        <f>TEXT(Table1[[#This Row],[EMI_payment_date]],"mmmm")</f>
        <v>February</v>
      </c>
      <c r="I292" s="3">
        <v>45672</v>
      </c>
      <c r="J292" s="3">
        <f>EDATE(Table1[[#This Row],[Application_Date]],1)</f>
        <v>45703</v>
      </c>
      <c r="K292" s="9">
        <v>2784000</v>
      </c>
      <c r="L292" s="9">
        <f>Table1[[#This Row],[Annual_Income]]/12</f>
        <v>232000</v>
      </c>
      <c r="M292" s="9">
        <v>2984000</v>
      </c>
      <c r="N292" s="5">
        <f ca="1">DATEDIF(Table1[[#This Row],[EMI_payment_date]],TODAY(),"m")</f>
        <v>17</v>
      </c>
      <c r="O292" s="9">
        <f>18*Table1[[#This Row],[monthly_EMI]]</f>
        <v>1252800</v>
      </c>
      <c r="P292" s="1">
        <v>6.33</v>
      </c>
      <c r="Q292" s="9">
        <f>Table1[[#This Row],[monthly_income]]*30%</f>
        <v>69600</v>
      </c>
      <c r="R292" s="1">
        <f>ROUNDUP(NPER(P292/100/12,-Q292,Table1[[#This Row],[Loan_Amount]]),0)</f>
        <v>49</v>
      </c>
      <c r="S292" s="1">
        <v>795</v>
      </c>
      <c r="T292" s="1" t="s">
        <v>20</v>
      </c>
      <c r="U292" s="1" t="str">
        <f>IF(Table1[[#This Row],[Repayment_Status]]="late","bad loan","good loan")</f>
        <v>good loan</v>
      </c>
      <c r="V292" s="1" t="str">
        <f>IF(Table1[[#This Row],[Repayment_Status]]="late","high","low")</f>
        <v>low</v>
      </c>
      <c r="W292" s="1">
        <f>(Table1[[#This Row],[monthly_EMI]]/Table1[[#This Row],[monthly_income]])*100</f>
        <v>30</v>
      </c>
      <c r="X292" s="7">
        <v>5820.65</v>
      </c>
    </row>
    <row r="293" spans="1:24" x14ac:dyDescent="0.25">
      <c r="A293" s="1" t="s">
        <v>637</v>
      </c>
      <c r="B293" s="2" t="s">
        <v>807</v>
      </c>
      <c r="C293" s="5">
        <v>43</v>
      </c>
      <c r="D293" s="1" t="s">
        <v>15</v>
      </c>
      <c r="E293" s="1" t="s">
        <v>29</v>
      </c>
      <c r="F293" s="1" t="s">
        <v>19</v>
      </c>
      <c r="G293" s="1">
        <f>YEAR(Table1[[#This Row],[Application_Date]])</f>
        <v>2025</v>
      </c>
      <c r="H293" s="1" t="str">
        <f>TEXT(Table1[[#This Row],[EMI_payment_date]],"mmmm")</f>
        <v>February</v>
      </c>
      <c r="I293" s="3">
        <v>45673</v>
      </c>
      <c r="J293" s="3">
        <f>EDATE(Table1[[#This Row],[Application_Date]],1)</f>
        <v>45704</v>
      </c>
      <c r="K293" s="9">
        <v>7908000</v>
      </c>
      <c r="L293" s="9">
        <f>Table1[[#This Row],[Annual_Income]]/12</f>
        <v>659000</v>
      </c>
      <c r="M293" s="9">
        <v>8108000</v>
      </c>
      <c r="N293" s="5">
        <f ca="1">DATEDIF(Table1[[#This Row],[EMI_payment_date]],TODAY(),"m")</f>
        <v>17</v>
      </c>
      <c r="O293" s="9">
        <f>18*Table1[[#This Row],[monthly_EMI]]</f>
        <v>3558600</v>
      </c>
      <c r="P293" s="1">
        <v>5.85</v>
      </c>
      <c r="Q293" s="9">
        <f>Table1[[#This Row],[monthly_income]]*30%</f>
        <v>197700</v>
      </c>
      <c r="R293" s="1">
        <f>ROUNDUP(NPER(P293/100/12,-Q293,Table1[[#This Row],[Loan_Amount]]),0)</f>
        <v>46</v>
      </c>
      <c r="S293" s="1">
        <v>612</v>
      </c>
      <c r="T293" s="1" t="s">
        <v>20</v>
      </c>
      <c r="U293" s="1" t="str">
        <f>IF(Table1[[#This Row],[Repayment_Status]]="late","bad loan","good loan")</f>
        <v>good loan</v>
      </c>
      <c r="V293" s="1" t="str">
        <f>IF(Table1[[#This Row],[Repayment_Status]]="late","high","low")</f>
        <v>low</v>
      </c>
      <c r="W293" s="1">
        <f>(Table1[[#This Row],[monthly_EMI]]/Table1[[#This Row],[monthly_income]])*100</f>
        <v>30</v>
      </c>
      <c r="X293" s="7">
        <v>22663.46</v>
      </c>
    </row>
    <row r="294" spans="1:24" x14ac:dyDescent="0.25">
      <c r="A294" s="1" t="s">
        <v>611</v>
      </c>
      <c r="B294" s="2" t="s">
        <v>734</v>
      </c>
      <c r="C294" s="5">
        <v>32</v>
      </c>
      <c r="D294" s="1" t="s">
        <v>15</v>
      </c>
      <c r="E294" s="1" t="s">
        <v>24</v>
      </c>
      <c r="F294" s="1" t="s">
        <v>19</v>
      </c>
      <c r="G294" s="1">
        <f>YEAR(Table1[[#This Row],[Application_Date]])</f>
        <v>2025</v>
      </c>
      <c r="H294" s="1" t="str">
        <f>TEXT(Table1[[#This Row],[EMI_payment_date]],"mmmm")</f>
        <v>February</v>
      </c>
      <c r="I294" s="3">
        <v>45674</v>
      </c>
      <c r="J294" s="3">
        <f>EDATE(Table1[[#This Row],[Application_Date]],1)</f>
        <v>45705</v>
      </c>
      <c r="K294" s="9">
        <v>7596000</v>
      </c>
      <c r="L294" s="9">
        <f>Table1[[#This Row],[Annual_Income]]/12</f>
        <v>633000</v>
      </c>
      <c r="M294" s="9">
        <v>7796000</v>
      </c>
      <c r="N294" s="5">
        <f ca="1">DATEDIF(Table1[[#This Row],[EMI_payment_date]],TODAY(),"m")</f>
        <v>17</v>
      </c>
      <c r="O294" s="9">
        <f>18*Table1[[#This Row],[monthly_EMI]]</f>
        <v>3418200</v>
      </c>
      <c r="P294" s="1">
        <v>9.17</v>
      </c>
      <c r="Q294" s="9">
        <f>Table1[[#This Row],[monthly_income]]*30%</f>
        <v>189900</v>
      </c>
      <c r="R294" s="1">
        <f>ROUNDUP(NPER(P294/100/12,-Q294,Table1[[#This Row],[Loan_Amount]]),0)</f>
        <v>50</v>
      </c>
      <c r="S294" s="1">
        <v>694</v>
      </c>
      <c r="T294" s="1" t="s">
        <v>37</v>
      </c>
      <c r="U294" s="1" t="str">
        <f>IF(Table1[[#This Row],[Repayment_Status]]="late","bad loan","good loan")</f>
        <v>bad loan</v>
      </c>
      <c r="V294" s="1" t="str">
        <f>IF(Table1[[#This Row],[Repayment_Status]]="late","high","low")</f>
        <v>high</v>
      </c>
      <c r="W294" s="1">
        <f>(Table1[[#This Row],[monthly_EMI]]/Table1[[#This Row],[monthly_income]])*100</f>
        <v>30</v>
      </c>
      <c r="X294" s="7">
        <v>14974.04</v>
      </c>
    </row>
    <row r="295" spans="1:24" x14ac:dyDescent="0.25">
      <c r="A295" s="1" t="s">
        <v>43</v>
      </c>
      <c r="B295" s="2" t="s">
        <v>744</v>
      </c>
      <c r="C295" s="5">
        <v>30</v>
      </c>
      <c r="D295" s="1" t="s">
        <v>26</v>
      </c>
      <c r="E295" s="1" t="s">
        <v>29</v>
      </c>
      <c r="F295" s="1" t="s">
        <v>17</v>
      </c>
      <c r="G295" s="1">
        <f>YEAR(Table1[[#This Row],[Application_Date]])</f>
        <v>2025</v>
      </c>
      <c r="H295" s="1" t="str">
        <f>TEXT(Table1[[#This Row],[EMI_payment_date]],"mmmm")</f>
        <v>February</v>
      </c>
      <c r="I295" s="3">
        <v>45675</v>
      </c>
      <c r="J295" s="3">
        <f>EDATE(Table1[[#This Row],[Application_Date]],1)</f>
        <v>45706</v>
      </c>
      <c r="K295" s="9">
        <v>780000</v>
      </c>
      <c r="L295" s="9">
        <f>Table1[[#This Row],[Annual_Income]]/12</f>
        <v>65000</v>
      </c>
      <c r="M295" s="9">
        <v>980000</v>
      </c>
      <c r="N295" s="5">
        <f ca="1">DATEDIF(Table1[[#This Row],[EMI_payment_date]],TODAY(),"m")</f>
        <v>17</v>
      </c>
      <c r="O295" s="9">
        <f>18*Table1[[#This Row],[monthly_EMI]]</f>
        <v>351000</v>
      </c>
      <c r="P295" s="1">
        <v>7.79</v>
      </c>
      <c r="Q295" s="9">
        <f>Table1[[#This Row],[monthly_income]]*30%</f>
        <v>19500</v>
      </c>
      <c r="R295" s="1">
        <f>ROUNDUP(NPER(P295/100/12,-Q295,Table1[[#This Row],[Loan_Amount]]),0)</f>
        <v>62</v>
      </c>
      <c r="S295" s="1">
        <v>845</v>
      </c>
      <c r="T295" s="1" t="s">
        <v>37</v>
      </c>
      <c r="U295" s="1" t="str">
        <f>IF(Table1[[#This Row],[Repayment_Status]]="late","bad loan","good loan")</f>
        <v>bad loan</v>
      </c>
      <c r="V295" s="1" t="str">
        <f>IF(Table1[[#This Row],[Repayment_Status]]="late","high","low")</f>
        <v>high</v>
      </c>
      <c r="W295" s="1">
        <f>(Table1[[#This Row],[monthly_EMI]]/Table1[[#This Row],[monthly_income]])*100</f>
        <v>30</v>
      </c>
      <c r="X295" s="7">
        <v>26045.38</v>
      </c>
    </row>
    <row r="296" spans="1:24" x14ac:dyDescent="0.25">
      <c r="A296" s="1" t="s">
        <v>357</v>
      </c>
      <c r="B296" s="2" t="s">
        <v>821</v>
      </c>
      <c r="C296" s="5">
        <v>59</v>
      </c>
      <c r="D296" s="1" t="s">
        <v>26</v>
      </c>
      <c r="E296" s="1" t="s">
        <v>16</v>
      </c>
      <c r="F296" s="1" t="s">
        <v>22</v>
      </c>
      <c r="G296" s="1">
        <f>YEAR(Table1[[#This Row],[Application_Date]])</f>
        <v>2025</v>
      </c>
      <c r="H296" s="1" t="str">
        <f>TEXT(Table1[[#This Row],[EMI_payment_date]],"mmmm")</f>
        <v>February</v>
      </c>
      <c r="I296" s="3">
        <v>45676</v>
      </c>
      <c r="J296" s="3">
        <f>EDATE(Table1[[#This Row],[Application_Date]],1)</f>
        <v>45707</v>
      </c>
      <c r="K296" s="9">
        <v>4548000</v>
      </c>
      <c r="L296" s="9">
        <f>Table1[[#This Row],[Annual_Income]]/12</f>
        <v>379000</v>
      </c>
      <c r="M296" s="9">
        <v>4748000</v>
      </c>
      <c r="N296" s="5">
        <f ca="1">DATEDIF(Table1[[#This Row],[EMI_payment_date]],TODAY(),"m")</f>
        <v>17</v>
      </c>
      <c r="O296" s="9">
        <f>18*Table1[[#This Row],[monthly_EMI]]</f>
        <v>2046600</v>
      </c>
      <c r="P296" s="1">
        <v>8.34</v>
      </c>
      <c r="Q296" s="9">
        <f>Table1[[#This Row],[monthly_income]]*30%</f>
        <v>113700</v>
      </c>
      <c r="R296" s="1">
        <f>ROUNDUP(NPER(P296/100/12,-Q296,Table1[[#This Row],[Loan_Amount]]),0)</f>
        <v>50</v>
      </c>
      <c r="S296" s="1">
        <v>800</v>
      </c>
      <c r="T296" s="1" t="s">
        <v>20</v>
      </c>
      <c r="U296" s="1" t="str">
        <f>IF(Table1[[#This Row],[Repayment_Status]]="late","bad loan","good loan")</f>
        <v>good loan</v>
      </c>
      <c r="V296" s="1" t="str">
        <f>IF(Table1[[#This Row],[Repayment_Status]]="late","high","low")</f>
        <v>low</v>
      </c>
      <c r="W296" s="1">
        <f>(Table1[[#This Row],[monthly_EMI]]/Table1[[#This Row],[monthly_income]])*100</f>
        <v>30</v>
      </c>
      <c r="X296" s="7">
        <v>37248.36</v>
      </c>
    </row>
    <row r="297" spans="1:24" x14ac:dyDescent="0.25">
      <c r="A297" s="1" t="s">
        <v>183</v>
      </c>
      <c r="B297" s="2" t="s">
        <v>828</v>
      </c>
      <c r="C297" s="5">
        <v>48</v>
      </c>
      <c r="D297" s="1" t="s">
        <v>15</v>
      </c>
      <c r="E297" s="1" t="s">
        <v>24</v>
      </c>
      <c r="F297" s="1" t="s">
        <v>31</v>
      </c>
      <c r="G297" s="1">
        <f>YEAR(Table1[[#This Row],[Application_Date]])</f>
        <v>2025</v>
      </c>
      <c r="H297" s="1" t="str">
        <f>TEXT(Table1[[#This Row],[EMI_payment_date]],"mmmm")</f>
        <v>February</v>
      </c>
      <c r="I297" s="3">
        <v>45677</v>
      </c>
      <c r="J297" s="3">
        <f>EDATE(Table1[[#This Row],[Application_Date]],1)</f>
        <v>45708</v>
      </c>
      <c r="K297" s="9">
        <v>2460000</v>
      </c>
      <c r="L297" s="9">
        <f>Table1[[#This Row],[Annual_Income]]/12</f>
        <v>205000</v>
      </c>
      <c r="M297" s="9">
        <v>2660000</v>
      </c>
      <c r="N297" s="5">
        <f ca="1">DATEDIF(Table1[[#This Row],[EMI_payment_date]],TODAY(),"m")</f>
        <v>17</v>
      </c>
      <c r="O297" s="9">
        <f>18*Table1[[#This Row],[monthly_EMI]]</f>
        <v>1107000</v>
      </c>
      <c r="P297" s="1">
        <v>8.68</v>
      </c>
      <c r="Q297" s="9">
        <f>Table1[[#This Row],[monthly_income]]*30%</f>
        <v>61500</v>
      </c>
      <c r="R297" s="1">
        <f>ROUNDUP(NPER(P297/100/12,-Q297,Table1[[#This Row],[Loan_Amount]]),0)</f>
        <v>53</v>
      </c>
      <c r="S297" s="1">
        <v>738</v>
      </c>
      <c r="T297" s="1" t="s">
        <v>37</v>
      </c>
      <c r="U297" s="1" t="str">
        <f>IF(Table1[[#This Row],[Repayment_Status]]="late","bad loan","good loan")</f>
        <v>bad loan</v>
      </c>
      <c r="V297" s="1" t="str">
        <f>IF(Table1[[#This Row],[Repayment_Status]]="late","high","low")</f>
        <v>high</v>
      </c>
      <c r="W297" s="1">
        <f>(Table1[[#This Row],[monthly_EMI]]/Table1[[#This Row],[monthly_income]])*100</f>
        <v>30</v>
      </c>
      <c r="X297" s="7">
        <v>6758.54</v>
      </c>
    </row>
    <row r="298" spans="1:24" x14ac:dyDescent="0.25">
      <c r="A298" s="1" t="s">
        <v>505</v>
      </c>
      <c r="B298" s="2" t="s">
        <v>803</v>
      </c>
      <c r="C298" s="5">
        <v>33</v>
      </c>
      <c r="D298" s="1" t="s">
        <v>15</v>
      </c>
      <c r="E298" s="1" t="s">
        <v>29</v>
      </c>
      <c r="F298" s="1" t="s">
        <v>31</v>
      </c>
      <c r="G298" s="1">
        <f>YEAR(Table1[[#This Row],[Application_Date]])</f>
        <v>2025</v>
      </c>
      <c r="H298" s="1" t="str">
        <f>TEXT(Table1[[#This Row],[EMI_payment_date]],"mmmm")</f>
        <v>February</v>
      </c>
      <c r="I298" s="3">
        <v>45678</v>
      </c>
      <c r="J298" s="3">
        <f>EDATE(Table1[[#This Row],[Application_Date]],1)</f>
        <v>45709</v>
      </c>
      <c r="K298" s="9">
        <v>6324000</v>
      </c>
      <c r="L298" s="9">
        <f>Table1[[#This Row],[Annual_Income]]/12</f>
        <v>527000</v>
      </c>
      <c r="M298" s="9">
        <v>6524000</v>
      </c>
      <c r="N298" s="5">
        <f ca="1">DATEDIF(Table1[[#This Row],[EMI_payment_date]],TODAY(),"m")</f>
        <v>17</v>
      </c>
      <c r="O298" s="9">
        <f>18*Table1[[#This Row],[monthly_EMI]]</f>
        <v>2845800</v>
      </c>
      <c r="P298" s="1">
        <v>7.55</v>
      </c>
      <c r="Q298" s="9">
        <f>Table1[[#This Row],[monthly_income]]*30%</f>
        <v>158100</v>
      </c>
      <c r="R298" s="1">
        <f>ROUNDUP(NPER(P298/100/12,-Q298,Table1[[#This Row],[Loan_Amount]]),0)</f>
        <v>48</v>
      </c>
      <c r="S298" s="1">
        <v>669</v>
      </c>
      <c r="T298" s="1" t="s">
        <v>37</v>
      </c>
      <c r="U298" s="1" t="str">
        <f>IF(Table1[[#This Row],[Repayment_Status]]="late","bad loan","good loan")</f>
        <v>bad loan</v>
      </c>
      <c r="V298" s="1" t="str">
        <f>IF(Table1[[#This Row],[Repayment_Status]]="late","high","low")</f>
        <v>high</v>
      </c>
      <c r="W298" s="1">
        <f>(Table1[[#This Row],[monthly_EMI]]/Table1[[#This Row],[monthly_income]])*100</f>
        <v>30</v>
      </c>
      <c r="X298" s="7">
        <v>10932.11</v>
      </c>
    </row>
    <row r="299" spans="1:24" x14ac:dyDescent="0.25">
      <c r="A299" s="1" t="s">
        <v>642</v>
      </c>
      <c r="B299" s="2" t="s">
        <v>773</v>
      </c>
      <c r="C299" s="5">
        <v>36</v>
      </c>
      <c r="D299" s="1" t="s">
        <v>15</v>
      </c>
      <c r="E299" s="1" t="s">
        <v>16</v>
      </c>
      <c r="F299" s="1" t="s">
        <v>31</v>
      </c>
      <c r="G299" s="1">
        <f>YEAR(Table1[[#This Row],[Application_Date]])</f>
        <v>2025</v>
      </c>
      <c r="H299" s="1" t="str">
        <f>TEXT(Table1[[#This Row],[EMI_payment_date]],"mmmm")</f>
        <v>February</v>
      </c>
      <c r="I299" s="3">
        <v>45679</v>
      </c>
      <c r="J299" s="3">
        <f>EDATE(Table1[[#This Row],[Application_Date]],1)</f>
        <v>45710</v>
      </c>
      <c r="K299" s="9">
        <v>7968000</v>
      </c>
      <c r="L299" s="9">
        <f>Table1[[#This Row],[Annual_Income]]/12</f>
        <v>664000</v>
      </c>
      <c r="M299" s="9">
        <v>8168000</v>
      </c>
      <c r="N299" s="5">
        <f ca="1">DATEDIF(Table1[[#This Row],[EMI_payment_date]],TODAY(),"m")</f>
        <v>17</v>
      </c>
      <c r="O299" s="9">
        <f>18*Table1[[#This Row],[monthly_EMI]]</f>
        <v>3585600</v>
      </c>
      <c r="P299" s="1">
        <v>8.4499999999999993</v>
      </c>
      <c r="Q299" s="9">
        <f>Table1[[#This Row],[monthly_income]]*30%</f>
        <v>199200</v>
      </c>
      <c r="R299" s="1">
        <f>ROUNDUP(NPER(P299/100/12,-Q299,Table1[[#This Row],[Loan_Amount]]),0)</f>
        <v>49</v>
      </c>
      <c r="S299" s="1">
        <v>819</v>
      </c>
      <c r="T299" s="1" t="s">
        <v>37</v>
      </c>
      <c r="U299" s="1" t="str">
        <f>IF(Table1[[#This Row],[Repayment_Status]]="late","bad loan","good loan")</f>
        <v>bad loan</v>
      </c>
      <c r="V299" s="1" t="str">
        <f>IF(Table1[[#This Row],[Repayment_Status]]="late","high","low")</f>
        <v>high</v>
      </c>
      <c r="W299" s="1">
        <f>(Table1[[#This Row],[monthly_EMI]]/Table1[[#This Row],[monthly_income]])*100</f>
        <v>30</v>
      </c>
      <c r="X299" s="7">
        <v>27803.39</v>
      </c>
    </row>
    <row r="300" spans="1:24" x14ac:dyDescent="0.25">
      <c r="A300" s="1" t="s">
        <v>512</v>
      </c>
      <c r="B300" s="2" t="s">
        <v>873</v>
      </c>
      <c r="C300" s="5">
        <v>51</v>
      </c>
      <c r="D300" s="1" t="s">
        <v>15</v>
      </c>
      <c r="E300" s="1" t="s">
        <v>24</v>
      </c>
      <c r="F300" s="1" t="s">
        <v>31</v>
      </c>
      <c r="G300" s="1">
        <f>YEAR(Table1[[#This Row],[Application_Date]])</f>
        <v>2025</v>
      </c>
      <c r="H300" s="1" t="str">
        <f>TEXT(Table1[[#This Row],[EMI_payment_date]],"mmmm")</f>
        <v>February</v>
      </c>
      <c r="I300" s="3">
        <v>45680</v>
      </c>
      <c r="J300" s="3">
        <f>EDATE(Table1[[#This Row],[Application_Date]],1)</f>
        <v>45711</v>
      </c>
      <c r="K300" s="9">
        <v>6408000</v>
      </c>
      <c r="L300" s="9">
        <f>Table1[[#This Row],[Annual_Income]]/12</f>
        <v>534000</v>
      </c>
      <c r="M300" s="9">
        <v>6608000</v>
      </c>
      <c r="N300" s="5">
        <f ca="1">DATEDIF(Table1[[#This Row],[EMI_payment_date]],TODAY(),"m")</f>
        <v>17</v>
      </c>
      <c r="O300" s="9">
        <f>18*Table1[[#This Row],[monthly_EMI]]</f>
        <v>2883600</v>
      </c>
      <c r="P300" s="1">
        <v>7.14</v>
      </c>
      <c r="Q300" s="9">
        <f>Table1[[#This Row],[monthly_income]]*30%</f>
        <v>160200</v>
      </c>
      <c r="R300" s="1">
        <f>ROUNDUP(NPER(P300/100/12,-Q300,Table1[[#This Row],[Loan_Amount]]),0)</f>
        <v>48</v>
      </c>
      <c r="S300" s="1">
        <v>644</v>
      </c>
      <c r="T300" s="1" t="s">
        <v>37</v>
      </c>
      <c r="U300" s="1" t="str">
        <f>IF(Table1[[#This Row],[Repayment_Status]]="late","bad loan","good loan")</f>
        <v>bad loan</v>
      </c>
      <c r="V300" s="1" t="str">
        <f>IF(Table1[[#This Row],[Repayment_Status]]="late","high","low")</f>
        <v>high</v>
      </c>
      <c r="W300" s="1">
        <f>(Table1[[#This Row],[monthly_EMI]]/Table1[[#This Row],[monthly_income]])*100</f>
        <v>30</v>
      </c>
      <c r="X300" s="7">
        <v>18131.87</v>
      </c>
    </row>
    <row r="301" spans="1:24" x14ac:dyDescent="0.25">
      <c r="A301" s="1" t="s">
        <v>547</v>
      </c>
      <c r="B301" s="2" t="s">
        <v>745</v>
      </c>
      <c r="C301" s="5">
        <v>30</v>
      </c>
      <c r="D301" s="1" t="s">
        <v>26</v>
      </c>
      <c r="E301" s="1" t="s">
        <v>24</v>
      </c>
      <c r="F301" s="1" t="s">
        <v>22</v>
      </c>
      <c r="G301" s="1">
        <f>YEAR(Table1[[#This Row],[Application_Date]])</f>
        <v>2025</v>
      </c>
      <c r="H301" s="1" t="str">
        <f>TEXT(Table1[[#This Row],[EMI_payment_date]],"mmmm")</f>
        <v>February</v>
      </c>
      <c r="I301" s="3">
        <v>45681</v>
      </c>
      <c r="J301" s="3">
        <f>EDATE(Table1[[#This Row],[Application_Date]],1)</f>
        <v>45712</v>
      </c>
      <c r="K301" s="9">
        <v>6828000</v>
      </c>
      <c r="L301" s="9">
        <f>Table1[[#This Row],[Annual_Income]]/12</f>
        <v>569000</v>
      </c>
      <c r="M301" s="9">
        <v>7028000</v>
      </c>
      <c r="N301" s="5">
        <f ca="1">DATEDIF(Table1[[#This Row],[EMI_payment_date]],TODAY(),"m")</f>
        <v>17</v>
      </c>
      <c r="O301" s="9">
        <f>18*Table1[[#This Row],[monthly_EMI]]</f>
        <v>3072600</v>
      </c>
      <c r="P301" s="1">
        <v>7.24</v>
      </c>
      <c r="Q301" s="9">
        <f>Table1[[#This Row],[monthly_income]]*30%</f>
        <v>170700</v>
      </c>
      <c r="R301" s="1">
        <f>ROUNDUP(NPER(P301/100/12,-Q301,Table1[[#This Row],[Loan_Amount]]),0)</f>
        <v>48</v>
      </c>
      <c r="S301" s="1">
        <v>835</v>
      </c>
      <c r="T301" s="1" t="s">
        <v>20</v>
      </c>
      <c r="U301" s="1" t="str">
        <f>IF(Table1[[#This Row],[Repayment_Status]]="late","bad loan","good loan")</f>
        <v>good loan</v>
      </c>
      <c r="V301" s="1" t="str">
        <f>IF(Table1[[#This Row],[Repayment_Status]]="late","high","low")</f>
        <v>low</v>
      </c>
      <c r="W301" s="1">
        <f>(Table1[[#This Row],[monthly_EMI]]/Table1[[#This Row],[monthly_income]])*100</f>
        <v>30</v>
      </c>
      <c r="X301" s="7">
        <v>21400.93</v>
      </c>
    </row>
    <row r="302" spans="1:24" x14ac:dyDescent="0.25">
      <c r="A302" s="1" t="s">
        <v>310</v>
      </c>
      <c r="B302" s="2" t="s">
        <v>752</v>
      </c>
      <c r="C302" s="5">
        <v>50</v>
      </c>
      <c r="D302" s="1" t="s">
        <v>15</v>
      </c>
      <c r="E302" s="1" t="s">
        <v>33</v>
      </c>
      <c r="F302" s="1" t="s">
        <v>19</v>
      </c>
      <c r="G302" s="1">
        <f>YEAR(Table1[[#This Row],[Application_Date]])</f>
        <v>2025</v>
      </c>
      <c r="H302" s="1" t="str">
        <f>TEXT(Table1[[#This Row],[EMI_payment_date]],"mmmm")</f>
        <v>February</v>
      </c>
      <c r="I302" s="3">
        <v>45682</v>
      </c>
      <c r="J302" s="3">
        <f>EDATE(Table1[[#This Row],[Application_Date]],1)</f>
        <v>45713</v>
      </c>
      <c r="K302" s="9">
        <v>3984000</v>
      </c>
      <c r="L302" s="9">
        <f>Table1[[#This Row],[Annual_Income]]/12</f>
        <v>332000</v>
      </c>
      <c r="M302" s="9">
        <v>4184000</v>
      </c>
      <c r="N302" s="5">
        <f ca="1">DATEDIF(Table1[[#This Row],[EMI_payment_date]],TODAY(),"m")</f>
        <v>17</v>
      </c>
      <c r="O302" s="9">
        <f>18*Table1[[#This Row],[monthly_EMI]]</f>
        <v>1792800</v>
      </c>
      <c r="P302" s="1">
        <v>5.56</v>
      </c>
      <c r="Q302" s="9">
        <f>Table1[[#This Row],[monthly_income]]*30%</f>
        <v>99600</v>
      </c>
      <c r="R302" s="1">
        <f>ROUNDUP(NPER(P302/100/12,-Q302,Table1[[#This Row],[Loan_Amount]]),0)</f>
        <v>47</v>
      </c>
      <c r="S302" s="1">
        <v>675</v>
      </c>
      <c r="T302" s="1" t="s">
        <v>37</v>
      </c>
      <c r="U302" s="1" t="str">
        <f>IF(Table1[[#This Row],[Repayment_Status]]="late","bad loan","good loan")</f>
        <v>bad loan</v>
      </c>
      <c r="V302" s="1" t="str">
        <f>IF(Table1[[#This Row],[Repayment_Status]]="late","high","low")</f>
        <v>high</v>
      </c>
      <c r="W302" s="1">
        <f>(Table1[[#This Row],[monthly_EMI]]/Table1[[#This Row],[monthly_income]])*100</f>
        <v>30</v>
      </c>
      <c r="X302" s="7">
        <v>10008.81</v>
      </c>
    </row>
    <row r="303" spans="1:24" x14ac:dyDescent="0.25">
      <c r="A303" s="1" t="s">
        <v>228</v>
      </c>
      <c r="B303" s="2" t="s">
        <v>861</v>
      </c>
      <c r="C303" s="5">
        <v>28</v>
      </c>
      <c r="D303" s="1" t="s">
        <v>15</v>
      </c>
      <c r="E303" s="1" t="s">
        <v>33</v>
      </c>
      <c r="F303" s="1" t="s">
        <v>51</v>
      </c>
      <c r="G303" s="1">
        <f>YEAR(Table1[[#This Row],[Application_Date]])</f>
        <v>2025</v>
      </c>
      <c r="H303" s="1" t="str">
        <f>TEXT(Table1[[#This Row],[EMI_payment_date]],"mmmm")</f>
        <v>February</v>
      </c>
      <c r="I303" s="3">
        <v>45683</v>
      </c>
      <c r="J303" s="3">
        <f>EDATE(Table1[[#This Row],[Application_Date]],1)</f>
        <v>45714</v>
      </c>
      <c r="K303" s="9">
        <v>3000000</v>
      </c>
      <c r="L303" s="9">
        <f>Table1[[#This Row],[Annual_Income]]/12</f>
        <v>250000</v>
      </c>
      <c r="M303" s="9">
        <v>3200000</v>
      </c>
      <c r="N303" s="5">
        <f ca="1">DATEDIF(Table1[[#This Row],[EMI_payment_date]],TODAY(),"m")</f>
        <v>17</v>
      </c>
      <c r="O303" s="9">
        <f>18*Table1[[#This Row],[monthly_EMI]]</f>
        <v>1350000</v>
      </c>
      <c r="P303" s="1">
        <v>6.77</v>
      </c>
      <c r="Q303" s="9">
        <f>Table1[[#This Row],[monthly_income]]*30%</f>
        <v>75000</v>
      </c>
      <c r="R303" s="1">
        <f>ROUNDUP(NPER(P303/100/12,-Q303,Table1[[#This Row],[Loan_Amount]]),0)</f>
        <v>49</v>
      </c>
      <c r="S303" s="1">
        <v>737</v>
      </c>
      <c r="T303" s="1" t="s">
        <v>20</v>
      </c>
      <c r="U303" s="1" t="str">
        <f>IF(Table1[[#This Row],[Repayment_Status]]="late","bad loan","good loan")</f>
        <v>good loan</v>
      </c>
      <c r="V303" s="1" t="str">
        <f>IF(Table1[[#This Row],[Repayment_Status]]="late","high","low")</f>
        <v>low</v>
      </c>
      <c r="W303" s="1">
        <f>(Table1[[#This Row],[monthly_EMI]]/Table1[[#This Row],[monthly_income]])*100</f>
        <v>30</v>
      </c>
      <c r="X303" s="7">
        <v>16705.52</v>
      </c>
    </row>
    <row r="304" spans="1:24" x14ac:dyDescent="0.25">
      <c r="A304" s="1" t="s">
        <v>532</v>
      </c>
      <c r="B304" s="2" t="s">
        <v>912</v>
      </c>
      <c r="C304" s="5">
        <v>58</v>
      </c>
      <c r="D304" s="1" t="s">
        <v>26</v>
      </c>
      <c r="E304" s="1" t="s">
        <v>16</v>
      </c>
      <c r="F304" s="1" t="s">
        <v>19</v>
      </c>
      <c r="G304" s="1">
        <f>YEAR(Table1[[#This Row],[Application_Date]])</f>
        <v>2025</v>
      </c>
      <c r="H304" s="1" t="str">
        <f>TEXT(Table1[[#This Row],[EMI_payment_date]],"mmmm")</f>
        <v>February</v>
      </c>
      <c r="I304" s="3">
        <v>45684</v>
      </c>
      <c r="J304" s="3">
        <f>EDATE(Table1[[#This Row],[Application_Date]],1)</f>
        <v>45715</v>
      </c>
      <c r="K304" s="9">
        <v>6648000</v>
      </c>
      <c r="L304" s="9">
        <f>Table1[[#This Row],[Annual_Income]]/12</f>
        <v>554000</v>
      </c>
      <c r="M304" s="9">
        <v>6848000</v>
      </c>
      <c r="N304" s="5">
        <f ca="1">DATEDIF(Table1[[#This Row],[EMI_payment_date]],TODAY(),"m")</f>
        <v>17</v>
      </c>
      <c r="O304" s="9">
        <f>18*Table1[[#This Row],[monthly_EMI]]</f>
        <v>2991600</v>
      </c>
      <c r="P304" s="1">
        <v>8.81</v>
      </c>
      <c r="Q304" s="9">
        <f>Table1[[#This Row],[monthly_income]]*30%</f>
        <v>166200</v>
      </c>
      <c r="R304" s="1">
        <f>ROUNDUP(NPER(P304/100/12,-Q304,Table1[[#This Row],[Loan_Amount]]),0)</f>
        <v>50</v>
      </c>
      <c r="S304" s="1">
        <v>798</v>
      </c>
      <c r="T304" s="1" t="s">
        <v>20</v>
      </c>
      <c r="U304" s="1" t="str">
        <f>IF(Table1[[#This Row],[Repayment_Status]]="late","bad loan","good loan")</f>
        <v>good loan</v>
      </c>
      <c r="V304" s="1" t="str">
        <f>IF(Table1[[#This Row],[Repayment_Status]]="late","high","low")</f>
        <v>low</v>
      </c>
      <c r="W304" s="1">
        <f>(Table1[[#This Row],[monthly_EMI]]/Table1[[#This Row],[monthly_income]])*100</f>
        <v>30</v>
      </c>
      <c r="X304" s="7">
        <v>30988.66</v>
      </c>
    </row>
    <row r="305" spans="1:24" x14ac:dyDescent="0.25">
      <c r="A305" s="1" t="s">
        <v>565</v>
      </c>
      <c r="B305" s="2" t="s">
        <v>885</v>
      </c>
      <c r="C305" s="5">
        <v>35</v>
      </c>
      <c r="D305" s="1" t="s">
        <v>26</v>
      </c>
      <c r="E305" s="1" t="s">
        <v>33</v>
      </c>
      <c r="F305" s="1" t="s">
        <v>19</v>
      </c>
      <c r="G305" s="1">
        <f>YEAR(Table1[[#This Row],[Application_Date]])</f>
        <v>2025</v>
      </c>
      <c r="H305" s="1" t="str">
        <f>TEXT(Table1[[#This Row],[EMI_payment_date]],"mmmm")</f>
        <v>February</v>
      </c>
      <c r="I305" s="3">
        <v>45685</v>
      </c>
      <c r="J305" s="3">
        <f>EDATE(Table1[[#This Row],[Application_Date]],1)</f>
        <v>45716</v>
      </c>
      <c r="K305" s="9">
        <v>7044000</v>
      </c>
      <c r="L305" s="9">
        <f>Table1[[#This Row],[Annual_Income]]/12</f>
        <v>587000</v>
      </c>
      <c r="M305" s="9">
        <v>7244000</v>
      </c>
      <c r="N305" s="5">
        <f ca="1">DATEDIF(Table1[[#This Row],[EMI_payment_date]],TODAY(),"m")</f>
        <v>17</v>
      </c>
      <c r="O305" s="9">
        <f>18*Table1[[#This Row],[monthly_EMI]]</f>
        <v>3169800</v>
      </c>
      <c r="P305" s="1">
        <v>8.14</v>
      </c>
      <c r="Q305" s="9">
        <f>Table1[[#This Row],[monthly_income]]*30%</f>
        <v>176100</v>
      </c>
      <c r="R305" s="1">
        <f>ROUNDUP(NPER(P305/100/12,-Q305,Table1[[#This Row],[Loan_Amount]]),0)</f>
        <v>49</v>
      </c>
      <c r="S305" s="1">
        <v>848</v>
      </c>
      <c r="T305" s="1" t="s">
        <v>20</v>
      </c>
      <c r="U305" s="1" t="str">
        <f>IF(Table1[[#This Row],[Repayment_Status]]="late","bad loan","good loan")</f>
        <v>good loan</v>
      </c>
      <c r="V305" s="1" t="str">
        <f>IF(Table1[[#This Row],[Repayment_Status]]="late","high","low")</f>
        <v>low</v>
      </c>
      <c r="W305" s="1">
        <f>(Table1[[#This Row],[monthly_EMI]]/Table1[[#This Row],[monthly_income]])*100</f>
        <v>30</v>
      </c>
      <c r="X305" s="7">
        <v>9214.01</v>
      </c>
    </row>
    <row r="306" spans="1:24" x14ac:dyDescent="0.25">
      <c r="A306" s="1" t="s">
        <v>368</v>
      </c>
      <c r="B306" s="2" t="s">
        <v>758</v>
      </c>
      <c r="C306" s="5">
        <v>50</v>
      </c>
      <c r="D306" s="1" t="s">
        <v>15</v>
      </c>
      <c r="E306" s="1" t="s">
        <v>24</v>
      </c>
      <c r="F306" s="1" t="s">
        <v>31</v>
      </c>
      <c r="G306" s="1">
        <f>YEAR(Table1[[#This Row],[Application_Date]])</f>
        <v>2025</v>
      </c>
      <c r="H306" s="1" t="str">
        <f>TEXT(Table1[[#This Row],[EMI_payment_date]],"mmmm")</f>
        <v>February</v>
      </c>
      <c r="I306" s="3">
        <v>45686</v>
      </c>
      <c r="J306" s="3">
        <f>EDATE(Table1[[#This Row],[Application_Date]],1)</f>
        <v>45716</v>
      </c>
      <c r="K306" s="9">
        <v>4680000</v>
      </c>
      <c r="L306" s="9">
        <f>Table1[[#This Row],[Annual_Income]]/12</f>
        <v>390000</v>
      </c>
      <c r="M306" s="9">
        <v>4880000</v>
      </c>
      <c r="N306" s="5">
        <f ca="1">DATEDIF(Table1[[#This Row],[EMI_payment_date]],TODAY(),"m")</f>
        <v>17</v>
      </c>
      <c r="O306" s="9">
        <f>18*Table1[[#This Row],[monthly_EMI]]</f>
        <v>2106000</v>
      </c>
      <c r="P306" s="1">
        <v>6.98</v>
      </c>
      <c r="Q306" s="9">
        <f>Table1[[#This Row],[monthly_income]]*30%</f>
        <v>117000</v>
      </c>
      <c r="R306" s="1">
        <f>ROUNDUP(NPER(P306/100/12,-Q306,Table1[[#This Row],[Loan_Amount]]),0)</f>
        <v>48</v>
      </c>
      <c r="S306" s="1">
        <v>718</v>
      </c>
      <c r="T306" s="1" t="s">
        <v>20</v>
      </c>
      <c r="U306" s="1" t="str">
        <f>IF(Table1[[#This Row],[Repayment_Status]]="late","bad loan","good loan")</f>
        <v>good loan</v>
      </c>
      <c r="V306" s="1" t="str">
        <f>IF(Table1[[#This Row],[Repayment_Status]]="late","high","low")</f>
        <v>low</v>
      </c>
      <c r="W306" s="1">
        <f>(Table1[[#This Row],[monthly_EMI]]/Table1[[#This Row],[monthly_income]])*100</f>
        <v>30</v>
      </c>
      <c r="X306" s="7">
        <v>17348.89</v>
      </c>
    </row>
    <row r="307" spans="1:24" x14ac:dyDescent="0.25">
      <c r="A307" s="1" t="s">
        <v>110</v>
      </c>
      <c r="B307" s="2" t="s">
        <v>738</v>
      </c>
      <c r="C307" s="5">
        <v>44</v>
      </c>
      <c r="D307" s="1" t="s">
        <v>15</v>
      </c>
      <c r="E307" s="1" t="s">
        <v>29</v>
      </c>
      <c r="F307" s="1" t="s">
        <v>17</v>
      </c>
      <c r="G307" s="1">
        <f>YEAR(Table1[[#This Row],[Application_Date]])</f>
        <v>2025</v>
      </c>
      <c r="H307" s="1" t="str">
        <f>TEXT(Table1[[#This Row],[EMI_payment_date]],"mmmm")</f>
        <v>February</v>
      </c>
      <c r="I307" s="3">
        <v>45687</v>
      </c>
      <c r="J307" s="3">
        <f>EDATE(Table1[[#This Row],[Application_Date]],1)</f>
        <v>45716</v>
      </c>
      <c r="K307" s="9">
        <v>1584000</v>
      </c>
      <c r="L307" s="9">
        <f>Table1[[#This Row],[Annual_Income]]/12</f>
        <v>132000</v>
      </c>
      <c r="M307" s="9">
        <v>1784000</v>
      </c>
      <c r="N307" s="5">
        <f ca="1">DATEDIF(Table1[[#This Row],[EMI_payment_date]],TODAY(),"m")</f>
        <v>17</v>
      </c>
      <c r="O307" s="9">
        <f>18*Table1[[#This Row],[monthly_EMI]]</f>
        <v>712800</v>
      </c>
      <c r="P307" s="1">
        <v>7.92</v>
      </c>
      <c r="Q307" s="9">
        <f>Table1[[#This Row],[monthly_income]]*30%</f>
        <v>39600</v>
      </c>
      <c r="R307" s="1">
        <f>ROUNDUP(NPER(P307/100/12,-Q307,Table1[[#This Row],[Loan_Amount]]),0)</f>
        <v>54</v>
      </c>
      <c r="S307" s="1">
        <v>646</v>
      </c>
      <c r="T307" s="1" t="s">
        <v>20</v>
      </c>
      <c r="U307" s="1" t="str">
        <f>IF(Table1[[#This Row],[Repayment_Status]]="late","bad loan","good loan")</f>
        <v>good loan</v>
      </c>
      <c r="V307" s="1" t="str">
        <f>IF(Table1[[#This Row],[Repayment_Status]]="late","high","low")</f>
        <v>low</v>
      </c>
      <c r="W307" s="1">
        <f>(Table1[[#This Row],[monthly_EMI]]/Table1[[#This Row],[monthly_income]])*100</f>
        <v>30</v>
      </c>
      <c r="X307" s="7">
        <v>8335.17</v>
      </c>
    </row>
    <row r="308" spans="1:24" x14ac:dyDescent="0.25">
      <c r="A308" s="1" t="s">
        <v>369</v>
      </c>
      <c r="B308" s="2" t="s">
        <v>888</v>
      </c>
      <c r="C308" s="5">
        <v>26</v>
      </c>
      <c r="D308" s="1" t="s">
        <v>26</v>
      </c>
      <c r="E308" s="1" t="s">
        <v>29</v>
      </c>
      <c r="F308" s="1" t="s">
        <v>22</v>
      </c>
      <c r="G308" s="1">
        <f>YEAR(Table1[[#This Row],[Application_Date]])</f>
        <v>2025</v>
      </c>
      <c r="H308" s="1" t="str">
        <f>TEXT(Table1[[#This Row],[EMI_payment_date]],"mmmm")</f>
        <v>February</v>
      </c>
      <c r="I308" s="3">
        <v>45688</v>
      </c>
      <c r="J308" s="3">
        <f>EDATE(Table1[[#This Row],[Application_Date]],1)</f>
        <v>45716</v>
      </c>
      <c r="K308" s="9">
        <v>4692000</v>
      </c>
      <c r="L308" s="9">
        <f>Table1[[#This Row],[Annual_Income]]/12</f>
        <v>391000</v>
      </c>
      <c r="M308" s="9">
        <v>4892000</v>
      </c>
      <c r="N308" s="5">
        <f ca="1">DATEDIF(Table1[[#This Row],[EMI_payment_date]],TODAY(),"m")</f>
        <v>17</v>
      </c>
      <c r="O308" s="9">
        <f>18*Table1[[#This Row],[monthly_EMI]]</f>
        <v>2111400</v>
      </c>
      <c r="P308" s="1">
        <v>7.63</v>
      </c>
      <c r="Q308" s="9">
        <f>Table1[[#This Row],[monthly_income]]*30%</f>
        <v>117300</v>
      </c>
      <c r="R308" s="1">
        <f>ROUNDUP(NPER(P308/100/12,-Q308,Table1[[#This Row],[Loan_Amount]]),0)</f>
        <v>49</v>
      </c>
      <c r="S308" s="1">
        <v>643</v>
      </c>
      <c r="T308" s="1" t="s">
        <v>20</v>
      </c>
      <c r="U308" s="1" t="str">
        <f>IF(Table1[[#This Row],[Repayment_Status]]="late","bad loan","good loan")</f>
        <v>good loan</v>
      </c>
      <c r="V308" s="1" t="str">
        <f>IF(Table1[[#This Row],[Repayment_Status]]="late","high","low")</f>
        <v>low</v>
      </c>
      <c r="W308" s="1">
        <f>(Table1[[#This Row],[monthly_EMI]]/Table1[[#This Row],[monthly_income]])*100</f>
        <v>30</v>
      </c>
      <c r="X308" s="7">
        <v>15758.99</v>
      </c>
    </row>
    <row r="309" spans="1:24" x14ac:dyDescent="0.25">
      <c r="A309" s="1" t="s">
        <v>643</v>
      </c>
      <c r="B309" s="2" t="s">
        <v>805</v>
      </c>
      <c r="C309" s="5">
        <v>49</v>
      </c>
      <c r="D309" s="1" t="s">
        <v>26</v>
      </c>
      <c r="E309" s="1" t="s">
        <v>33</v>
      </c>
      <c r="F309" s="1" t="s">
        <v>31</v>
      </c>
      <c r="G309" s="1">
        <f>YEAR(Table1[[#This Row],[Application_Date]])</f>
        <v>2025</v>
      </c>
      <c r="H309" s="1" t="str">
        <f>TEXT(Table1[[#This Row],[EMI_payment_date]],"mmmm")</f>
        <v>March</v>
      </c>
      <c r="I309" s="3">
        <v>45689</v>
      </c>
      <c r="J309" s="3">
        <f>EDATE(Table1[[#This Row],[Application_Date]],1)</f>
        <v>45717</v>
      </c>
      <c r="K309" s="9">
        <v>7980000</v>
      </c>
      <c r="L309" s="9">
        <f>Table1[[#This Row],[Annual_Income]]/12</f>
        <v>665000</v>
      </c>
      <c r="M309" s="9">
        <v>8180000</v>
      </c>
      <c r="N309" s="5">
        <f ca="1">DATEDIF(Table1[[#This Row],[EMI_payment_date]],TODAY(),"m")</f>
        <v>16</v>
      </c>
      <c r="O309" s="9">
        <f>17*Table1[[#This Row],[monthly_EMI]]</f>
        <v>3391500</v>
      </c>
      <c r="P309" s="1">
        <v>5.44</v>
      </c>
      <c r="Q309" s="9">
        <f>Table1[[#This Row],[monthly_income]]*30%</f>
        <v>199500</v>
      </c>
      <c r="R309" s="1">
        <f>ROUNDUP(NPER(P309/100/12,-Q309,Table1[[#This Row],[Loan_Amount]]),0)</f>
        <v>46</v>
      </c>
      <c r="S309" s="1">
        <v>691</v>
      </c>
      <c r="T309" s="1" t="s">
        <v>37</v>
      </c>
      <c r="U309" s="1" t="str">
        <f>IF(Table1[[#This Row],[Repayment_Status]]="late","bad loan","good loan")</f>
        <v>bad loan</v>
      </c>
      <c r="V309" s="1" t="str">
        <f>IF(Table1[[#This Row],[Repayment_Status]]="late","high","low")</f>
        <v>high</v>
      </c>
      <c r="W309" s="1">
        <f>(Table1[[#This Row],[monthly_EMI]]/Table1[[#This Row],[monthly_income]])*100</f>
        <v>30</v>
      </c>
      <c r="X309" s="7">
        <v>7801.69</v>
      </c>
    </row>
    <row r="310" spans="1:24" x14ac:dyDescent="0.25">
      <c r="A310" s="1" t="s">
        <v>64</v>
      </c>
      <c r="B310" s="2" t="s">
        <v>763</v>
      </c>
      <c r="C310" s="5">
        <v>34</v>
      </c>
      <c r="D310" s="1" t="s">
        <v>26</v>
      </c>
      <c r="E310" s="1" t="s">
        <v>16</v>
      </c>
      <c r="F310" s="1" t="s">
        <v>19</v>
      </c>
      <c r="G310" s="1">
        <f>YEAR(Table1[[#This Row],[Application_Date]])</f>
        <v>2025</v>
      </c>
      <c r="H310" s="1" t="str">
        <f>TEXT(Table1[[#This Row],[EMI_payment_date]],"mmmm")</f>
        <v>March</v>
      </c>
      <c r="I310" s="3">
        <v>45690</v>
      </c>
      <c r="J310" s="3">
        <f>EDATE(Table1[[#This Row],[Application_Date]],1)</f>
        <v>45718</v>
      </c>
      <c r="K310" s="9">
        <v>1020000</v>
      </c>
      <c r="L310" s="9">
        <f>Table1[[#This Row],[Annual_Income]]/12</f>
        <v>85000</v>
      </c>
      <c r="M310" s="9">
        <v>1220000</v>
      </c>
      <c r="N310" s="5">
        <f ca="1">DATEDIF(Table1[[#This Row],[EMI_payment_date]],TODAY(),"m")</f>
        <v>16</v>
      </c>
      <c r="O310" s="9">
        <f>17*Table1[[#This Row],[monthly_EMI]]</f>
        <v>433500</v>
      </c>
      <c r="P310" s="1">
        <v>5.25</v>
      </c>
      <c r="Q310" s="9">
        <f>Table1[[#This Row],[monthly_income]]*30%</f>
        <v>25500</v>
      </c>
      <c r="R310" s="1">
        <f>ROUNDUP(NPER(P310/100/12,-Q310,Table1[[#This Row],[Loan_Amount]]),0)</f>
        <v>54</v>
      </c>
      <c r="S310" s="1">
        <v>824</v>
      </c>
      <c r="T310" s="1" t="s">
        <v>20</v>
      </c>
      <c r="U310" s="1" t="str">
        <f>IF(Table1[[#This Row],[Repayment_Status]]="late","bad loan","good loan")</f>
        <v>good loan</v>
      </c>
      <c r="V310" s="1" t="str">
        <f>IF(Table1[[#This Row],[Repayment_Status]]="late","high","low")</f>
        <v>low</v>
      </c>
      <c r="W310" s="1">
        <f>(Table1[[#This Row],[monthly_EMI]]/Table1[[#This Row],[monthly_income]])*100</f>
        <v>30</v>
      </c>
      <c r="X310" s="7">
        <v>11730.26</v>
      </c>
    </row>
    <row r="311" spans="1:24" x14ac:dyDescent="0.25">
      <c r="A311" s="1" t="s">
        <v>338</v>
      </c>
      <c r="B311" s="2" t="s">
        <v>817</v>
      </c>
      <c r="C311" s="5">
        <v>26</v>
      </c>
      <c r="D311" s="1" t="s">
        <v>26</v>
      </c>
      <c r="E311" s="1" t="s">
        <v>24</v>
      </c>
      <c r="F311" s="1" t="s">
        <v>22</v>
      </c>
      <c r="G311" s="1">
        <f>YEAR(Table1[[#This Row],[Application_Date]])</f>
        <v>2025</v>
      </c>
      <c r="H311" s="1" t="str">
        <f>TEXT(Table1[[#This Row],[EMI_payment_date]],"mmmm")</f>
        <v>March</v>
      </c>
      <c r="I311" s="3">
        <v>45691</v>
      </c>
      <c r="J311" s="3">
        <f>EDATE(Table1[[#This Row],[Application_Date]],1)</f>
        <v>45719</v>
      </c>
      <c r="K311" s="9">
        <v>4320000</v>
      </c>
      <c r="L311" s="9">
        <f>Table1[[#This Row],[Annual_Income]]/12</f>
        <v>360000</v>
      </c>
      <c r="M311" s="9">
        <v>4520000</v>
      </c>
      <c r="N311" s="5">
        <f ca="1">DATEDIF(Table1[[#This Row],[EMI_payment_date]],TODAY(),"m")</f>
        <v>16</v>
      </c>
      <c r="O311" s="9">
        <f>17*Table1[[#This Row],[monthly_EMI]]</f>
        <v>1836000</v>
      </c>
      <c r="P311" s="1">
        <v>7.4</v>
      </c>
      <c r="Q311" s="9">
        <f>Table1[[#This Row],[monthly_income]]*30%</f>
        <v>108000</v>
      </c>
      <c r="R311" s="1">
        <f>ROUNDUP(NPER(P311/100/12,-Q311,Table1[[#This Row],[Loan_Amount]]),0)</f>
        <v>49</v>
      </c>
      <c r="S311" s="1">
        <v>697</v>
      </c>
      <c r="T311" s="1" t="s">
        <v>20</v>
      </c>
      <c r="U311" s="1" t="str">
        <f>IF(Table1[[#This Row],[Repayment_Status]]="late","bad loan","good loan")</f>
        <v>good loan</v>
      </c>
      <c r="V311" s="1" t="str">
        <f>IF(Table1[[#This Row],[Repayment_Status]]="late","high","low")</f>
        <v>low</v>
      </c>
      <c r="W311" s="1">
        <f>(Table1[[#This Row],[monthly_EMI]]/Table1[[#This Row],[monthly_income]])*100</f>
        <v>30</v>
      </c>
      <c r="X311" s="7">
        <v>22415.41</v>
      </c>
    </row>
    <row r="312" spans="1:24" x14ac:dyDescent="0.25">
      <c r="A312" s="1" t="s">
        <v>257</v>
      </c>
      <c r="B312" s="2" t="s">
        <v>817</v>
      </c>
      <c r="C312" s="5">
        <v>54</v>
      </c>
      <c r="D312" s="1" t="s">
        <v>26</v>
      </c>
      <c r="E312" s="1" t="s">
        <v>16</v>
      </c>
      <c r="F312" s="1" t="s">
        <v>51</v>
      </c>
      <c r="G312" s="1">
        <f>YEAR(Table1[[#This Row],[Application_Date]])</f>
        <v>2025</v>
      </c>
      <c r="H312" s="1" t="str">
        <f>TEXT(Table1[[#This Row],[EMI_payment_date]],"mmmm")</f>
        <v>March</v>
      </c>
      <c r="I312" s="3">
        <v>45692</v>
      </c>
      <c r="J312" s="3">
        <f>EDATE(Table1[[#This Row],[Application_Date]],1)</f>
        <v>45720</v>
      </c>
      <c r="K312" s="9">
        <v>3348000</v>
      </c>
      <c r="L312" s="9">
        <f>Table1[[#This Row],[Annual_Income]]/12</f>
        <v>279000</v>
      </c>
      <c r="M312" s="9">
        <v>3548000</v>
      </c>
      <c r="N312" s="5">
        <f ca="1">DATEDIF(Table1[[#This Row],[EMI_payment_date]],TODAY(),"m")</f>
        <v>16</v>
      </c>
      <c r="O312" s="9">
        <f>17*Table1[[#This Row],[monthly_EMI]]</f>
        <v>1422900</v>
      </c>
      <c r="P312" s="1">
        <v>9.49</v>
      </c>
      <c r="Q312" s="9">
        <f>Table1[[#This Row],[monthly_income]]*30%</f>
        <v>83700</v>
      </c>
      <c r="R312" s="1">
        <f>ROUNDUP(NPER(P312/100/12,-Q312,Table1[[#This Row],[Loan_Amount]]),0)</f>
        <v>52</v>
      </c>
      <c r="S312" s="1">
        <v>833</v>
      </c>
      <c r="T312" s="1" t="s">
        <v>37</v>
      </c>
      <c r="U312" s="1" t="str">
        <f>IF(Table1[[#This Row],[Repayment_Status]]="late","bad loan","good loan")</f>
        <v>bad loan</v>
      </c>
      <c r="V312" s="1" t="str">
        <f>IF(Table1[[#This Row],[Repayment_Status]]="late","high","low")</f>
        <v>high</v>
      </c>
      <c r="W312" s="1">
        <f>(Table1[[#This Row],[monthly_EMI]]/Table1[[#This Row],[monthly_income]])*100</f>
        <v>30</v>
      </c>
      <c r="X312" s="7">
        <v>35253.339999999997</v>
      </c>
    </row>
    <row r="313" spans="1:24" x14ac:dyDescent="0.25">
      <c r="A313" s="1" t="s">
        <v>278</v>
      </c>
      <c r="B313" s="2" t="s">
        <v>852</v>
      </c>
      <c r="C313" s="5">
        <v>47</v>
      </c>
      <c r="D313" s="1" t="s">
        <v>26</v>
      </c>
      <c r="E313" s="1" t="s">
        <v>33</v>
      </c>
      <c r="F313" s="1" t="s">
        <v>17</v>
      </c>
      <c r="G313" s="1">
        <f>YEAR(Table1[[#This Row],[Application_Date]])</f>
        <v>2025</v>
      </c>
      <c r="H313" s="1" t="str">
        <f>TEXT(Table1[[#This Row],[EMI_payment_date]],"mmmm")</f>
        <v>March</v>
      </c>
      <c r="I313" s="3">
        <v>45693</v>
      </c>
      <c r="J313" s="3">
        <f>EDATE(Table1[[#This Row],[Application_Date]],1)</f>
        <v>45721</v>
      </c>
      <c r="K313" s="9">
        <v>3600000</v>
      </c>
      <c r="L313" s="9">
        <f>Table1[[#This Row],[Annual_Income]]/12</f>
        <v>300000</v>
      </c>
      <c r="M313" s="9">
        <v>3800000</v>
      </c>
      <c r="N313" s="5">
        <f ca="1">DATEDIF(Table1[[#This Row],[EMI_payment_date]],TODAY(),"m")</f>
        <v>16</v>
      </c>
      <c r="O313" s="9">
        <f>17*Table1[[#This Row],[monthly_EMI]]</f>
        <v>1530000</v>
      </c>
      <c r="P313" s="1">
        <v>5.03</v>
      </c>
      <c r="Q313" s="9">
        <f>Table1[[#This Row],[monthly_income]]*30%</f>
        <v>90000</v>
      </c>
      <c r="R313" s="1">
        <f>ROUNDUP(NPER(P313/100/12,-Q313,Table1[[#This Row],[Loan_Amount]]),0)</f>
        <v>47</v>
      </c>
      <c r="S313" s="1">
        <v>627</v>
      </c>
      <c r="T313" s="1" t="s">
        <v>37</v>
      </c>
      <c r="U313" s="1" t="str">
        <f>IF(Table1[[#This Row],[Repayment_Status]]="late","bad loan","good loan")</f>
        <v>bad loan</v>
      </c>
      <c r="V313" s="1" t="str">
        <f>IF(Table1[[#This Row],[Repayment_Status]]="late","high","low")</f>
        <v>high</v>
      </c>
      <c r="W313" s="1">
        <f>(Table1[[#This Row],[monthly_EMI]]/Table1[[#This Row],[monthly_income]])*100</f>
        <v>30</v>
      </c>
      <c r="X313" s="7">
        <v>20796.79</v>
      </c>
    </row>
    <row r="314" spans="1:24" x14ac:dyDescent="0.25">
      <c r="A314" s="1" t="s">
        <v>61</v>
      </c>
      <c r="B314" s="2" t="s">
        <v>760</v>
      </c>
      <c r="C314" s="5">
        <v>34</v>
      </c>
      <c r="D314" s="1" t="s">
        <v>15</v>
      </c>
      <c r="E314" s="1" t="s">
        <v>33</v>
      </c>
      <c r="F314" s="1" t="s">
        <v>19</v>
      </c>
      <c r="G314" s="1">
        <f>YEAR(Table1[[#This Row],[Application_Date]])</f>
        <v>2025</v>
      </c>
      <c r="H314" s="1" t="str">
        <f>TEXT(Table1[[#This Row],[EMI_payment_date]],"mmmm")</f>
        <v>March</v>
      </c>
      <c r="I314" s="3">
        <v>45694</v>
      </c>
      <c r="J314" s="3">
        <f>EDATE(Table1[[#This Row],[Application_Date]],1)</f>
        <v>45722</v>
      </c>
      <c r="K314" s="9">
        <v>984000</v>
      </c>
      <c r="L314" s="9">
        <f>Table1[[#This Row],[Annual_Income]]/12</f>
        <v>82000</v>
      </c>
      <c r="M314" s="9">
        <v>1184000</v>
      </c>
      <c r="N314" s="5">
        <f ca="1">DATEDIF(Table1[[#This Row],[EMI_payment_date]],TODAY(),"m")</f>
        <v>16</v>
      </c>
      <c r="O314" s="9">
        <f>17*Table1[[#This Row],[monthly_EMI]]</f>
        <v>418200</v>
      </c>
      <c r="P314" s="1">
        <v>5.88</v>
      </c>
      <c r="Q314" s="9">
        <f>Table1[[#This Row],[monthly_income]]*30%</f>
        <v>24600</v>
      </c>
      <c r="R314" s="1">
        <f>ROUNDUP(NPER(P314/100/12,-Q314,Table1[[#This Row],[Loan_Amount]]),0)</f>
        <v>56</v>
      </c>
      <c r="S314" s="1">
        <v>766</v>
      </c>
      <c r="T314" s="1" t="s">
        <v>20</v>
      </c>
      <c r="U314" s="1" t="str">
        <f>IF(Table1[[#This Row],[Repayment_Status]]="late","bad loan","good loan")</f>
        <v>good loan</v>
      </c>
      <c r="V314" s="1" t="str">
        <f>IF(Table1[[#This Row],[Repayment_Status]]="late","high","low")</f>
        <v>low</v>
      </c>
      <c r="W314" s="1">
        <f>(Table1[[#This Row],[monthly_EMI]]/Table1[[#This Row],[monthly_income]])*100</f>
        <v>30</v>
      </c>
      <c r="X314" s="7">
        <v>24958.11</v>
      </c>
    </row>
    <row r="315" spans="1:24" x14ac:dyDescent="0.25">
      <c r="A315" s="1" t="s">
        <v>83</v>
      </c>
      <c r="B315" s="2" t="s">
        <v>731</v>
      </c>
      <c r="C315" s="5">
        <v>36</v>
      </c>
      <c r="D315" s="1" t="s">
        <v>15</v>
      </c>
      <c r="E315" s="1" t="s">
        <v>24</v>
      </c>
      <c r="F315" s="1" t="s">
        <v>51</v>
      </c>
      <c r="G315" s="1">
        <f>YEAR(Table1[[#This Row],[Application_Date]])</f>
        <v>2025</v>
      </c>
      <c r="H315" s="1" t="str">
        <f>TEXT(Table1[[#This Row],[EMI_payment_date]],"mmmm")</f>
        <v>March</v>
      </c>
      <c r="I315" s="3">
        <v>45695</v>
      </c>
      <c r="J315" s="3">
        <f>EDATE(Table1[[#This Row],[Application_Date]],1)</f>
        <v>45723</v>
      </c>
      <c r="K315" s="9">
        <v>1248000</v>
      </c>
      <c r="L315" s="9">
        <f>Table1[[#This Row],[Annual_Income]]/12</f>
        <v>104000</v>
      </c>
      <c r="M315" s="9">
        <v>1448000</v>
      </c>
      <c r="N315" s="5">
        <f ca="1">DATEDIF(Table1[[#This Row],[EMI_payment_date]],TODAY(),"m")</f>
        <v>16</v>
      </c>
      <c r="O315" s="9">
        <f>17*Table1[[#This Row],[monthly_EMI]]</f>
        <v>530400</v>
      </c>
      <c r="P315" s="1">
        <v>6.1</v>
      </c>
      <c r="Q315" s="9">
        <f>Table1[[#This Row],[monthly_income]]*30%</f>
        <v>31200</v>
      </c>
      <c r="R315" s="1">
        <f>ROUNDUP(NPER(P315/100/12,-Q315,Table1[[#This Row],[Loan_Amount]]),0)</f>
        <v>54</v>
      </c>
      <c r="S315" s="1">
        <v>752</v>
      </c>
      <c r="T315" s="1" t="s">
        <v>20</v>
      </c>
      <c r="U315" s="1" t="str">
        <f>IF(Table1[[#This Row],[Repayment_Status]]="late","bad loan","good loan")</f>
        <v>good loan</v>
      </c>
      <c r="V315" s="1" t="str">
        <f>IF(Table1[[#This Row],[Repayment_Status]]="late","high","low")</f>
        <v>low</v>
      </c>
      <c r="W315" s="1">
        <f>(Table1[[#This Row],[monthly_EMI]]/Table1[[#This Row],[monthly_income]])*100</f>
        <v>30</v>
      </c>
      <c r="X315" s="7">
        <v>17189.009999999998</v>
      </c>
    </row>
    <row r="316" spans="1:24" x14ac:dyDescent="0.25">
      <c r="A316" s="1" t="s">
        <v>483</v>
      </c>
      <c r="B316" s="2" t="s">
        <v>879</v>
      </c>
      <c r="C316" s="5">
        <v>28</v>
      </c>
      <c r="D316" s="1" t="s">
        <v>15</v>
      </c>
      <c r="E316" s="1" t="s">
        <v>33</v>
      </c>
      <c r="F316" s="1" t="s">
        <v>51</v>
      </c>
      <c r="G316" s="1">
        <f>YEAR(Table1[[#This Row],[Application_Date]])</f>
        <v>2025</v>
      </c>
      <c r="H316" s="1" t="str">
        <f>TEXT(Table1[[#This Row],[EMI_payment_date]],"mmmm")</f>
        <v>March</v>
      </c>
      <c r="I316" s="3">
        <v>45696</v>
      </c>
      <c r="J316" s="3">
        <f>EDATE(Table1[[#This Row],[Application_Date]],1)</f>
        <v>45724</v>
      </c>
      <c r="K316" s="9">
        <v>6060000</v>
      </c>
      <c r="L316" s="9">
        <f>Table1[[#This Row],[Annual_Income]]/12</f>
        <v>505000</v>
      </c>
      <c r="M316" s="9">
        <v>6260000</v>
      </c>
      <c r="N316" s="5">
        <f ca="1">DATEDIF(Table1[[#This Row],[EMI_payment_date]],TODAY(),"m")</f>
        <v>16</v>
      </c>
      <c r="O316" s="9">
        <f>17*Table1[[#This Row],[monthly_EMI]]</f>
        <v>2575500</v>
      </c>
      <c r="P316" s="1">
        <v>7.4</v>
      </c>
      <c r="Q316" s="9">
        <f>Table1[[#This Row],[monthly_income]]*30%</f>
        <v>151500</v>
      </c>
      <c r="R316" s="1">
        <f>ROUNDUP(NPER(P316/100/12,-Q316,Table1[[#This Row],[Loan_Amount]]),0)</f>
        <v>48</v>
      </c>
      <c r="S316" s="1">
        <v>600</v>
      </c>
      <c r="T316" s="1" t="s">
        <v>20</v>
      </c>
      <c r="U316" s="1" t="str">
        <f>IF(Table1[[#This Row],[Repayment_Status]]="late","bad loan","good loan")</f>
        <v>good loan</v>
      </c>
      <c r="V316" s="1" t="str">
        <f>IF(Table1[[#This Row],[Repayment_Status]]="late","high","low")</f>
        <v>low</v>
      </c>
      <c r="W316" s="1">
        <f>(Table1[[#This Row],[monthly_EMI]]/Table1[[#This Row],[monthly_income]])*100</f>
        <v>30</v>
      </c>
      <c r="X316" s="7">
        <v>12480.07</v>
      </c>
    </row>
    <row r="317" spans="1:24" x14ac:dyDescent="0.25">
      <c r="A317" s="1" t="s">
        <v>172</v>
      </c>
      <c r="B317" s="2" t="s">
        <v>831</v>
      </c>
      <c r="C317" s="5">
        <v>32</v>
      </c>
      <c r="D317" s="1" t="s">
        <v>26</v>
      </c>
      <c r="E317" s="1" t="s">
        <v>29</v>
      </c>
      <c r="F317" s="1" t="s">
        <v>22</v>
      </c>
      <c r="G317" s="1">
        <f>YEAR(Table1[[#This Row],[Application_Date]])</f>
        <v>2025</v>
      </c>
      <c r="H317" s="1" t="str">
        <f>TEXT(Table1[[#This Row],[EMI_payment_date]],"mmmm")</f>
        <v>March</v>
      </c>
      <c r="I317" s="3">
        <v>45697</v>
      </c>
      <c r="J317" s="3">
        <f>EDATE(Table1[[#This Row],[Application_Date]],1)</f>
        <v>45725</v>
      </c>
      <c r="K317" s="9">
        <v>2328000</v>
      </c>
      <c r="L317" s="9">
        <f>Table1[[#This Row],[Annual_Income]]/12</f>
        <v>194000</v>
      </c>
      <c r="M317" s="9">
        <v>2528000</v>
      </c>
      <c r="N317" s="5">
        <f ca="1">DATEDIF(Table1[[#This Row],[EMI_payment_date]],TODAY(),"m")</f>
        <v>16</v>
      </c>
      <c r="O317" s="9">
        <f>17*Table1[[#This Row],[monthly_EMI]]</f>
        <v>989400</v>
      </c>
      <c r="P317" s="1">
        <v>8.93</v>
      </c>
      <c r="Q317" s="9">
        <f>Table1[[#This Row],[monthly_income]]*30%</f>
        <v>58200</v>
      </c>
      <c r="R317" s="1">
        <f>ROUNDUP(NPER(P317/100/12,-Q317,Table1[[#This Row],[Loan_Amount]]),0)</f>
        <v>53</v>
      </c>
      <c r="S317" s="1">
        <v>667</v>
      </c>
      <c r="T317" s="1" t="s">
        <v>20</v>
      </c>
      <c r="U317" s="1" t="str">
        <f>IF(Table1[[#This Row],[Repayment_Status]]="late","bad loan","good loan")</f>
        <v>good loan</v>
      </c>
      <c r="V317" s="1" t="str">
        <f>IF(Table1[[#This Row],[Repayment_Status]]="late","high","low")</f>
        <v>low</v>
      </c>
      <c r="W317" s="1">
        <f>(Table1[[#This Row],[monthly_EMI]]/Table1[[#This Row],[monthly_income]])*100</f>
        <v>30</v>
      </c>
      <c r="X317" s="7">
        <v>12155.55</v>
      </c>
    </row>
    <row r="318" spans="1:24" x14ac:dyDescent="0.25">
      <c r="A318" s="1" t="s">
        <v>145</v>
      </c>
      <c r="B318" s="2" t="s">
        <v>797</v>
      </c>
      <c r="C318" s="5">
        <v>47</v>
      </c>
      <c r="D318" s="1" t="s">
        <v>15</v>
      </c>
      <c r="E318" s="1" t="s">
        <v>36</v>
      </c>
      <c r="F318" s="1" t="s">
        <v>22</v>
      </c>
      <c r="G318" s="1">
        <f>YEAR(Table1[[#This Row],[Application_Date]])</f>
        <v>2025</v>
      </c>
      <c r="H318" s="1" t="str">
        <f>TEXT(Table1[[#This Row],[EMI_payment_date]],"mmmm")</f>
        <v>March</v>
      </c>
      <c r="I318" s="3">
        <v>45698</v>
      </c>
      <c r="J318" s="3">
        <f>EDATE(Table1[[#This Row],[Application_Date]],1)</f>
        <v>45726</v>
      </c>
      <c r="K318" s="9">
        <v>2004000</v>
      </c>
      <c r="L318" s="9">
        <f>Table1[[#This Row],[Annual_Income]]/12</f>
        <v>167000</v>
      </c>
      <c r="M318" s="9">
        <v>2204000</v>
      </c>
      <c r="N318" s="5">
        <f ca="1">DATEDIF(Table1[[#This Row],[EMI_payment_date]],TODAY(),"m")</f>
        <v>16</v>
      </c>
      <c r="O318" s="9">
        <f>17*Table1[[#This Row],[monthly_EMI]]</f>
        <v>851700</v>
      </c>
      <c r="P318" s="1">
        <v>8.8699999999999992</v>
      </c>
      <c r="Q318" s="9">
        <f>Table1[[#This Row],[monthly_income]]*30%</f>
        <v>50100</v>
      </c>
      <c r="R318" s="1">
        <f>ROUNDUP(NPER(P318/100/12,-Q318,Table1[[#This Row],[Loan_Amount]]),0)</f>
        <v>54</v>
      </c>
      <c r="S318" s="1">
        <v>753</v>
      </c>
      <c r="T318" s="1" t="s">
        <v>20</v>
      </c>
      <c r="U318" s="1" t="str">
        <f>IF(Table1[[#This Row],[Repayment_Status]]="late","bad loan","good loan")</f>
        <v>good loan</v>
      </c>
      <c r="V318" s="1" t="str">
        <f>IF(Table1[[#This Row],[Repayment_Status]]="late","high","low")</f>
        <v>low</v>
      </c>
      <c r="W318" s="1">
        <f>(Table1[[#This Row],[monthly_EMI]]/Table1[[#This Row],[monthly_income]])*100</f>
        <v>30</v>
      </c>
      <c r="X318" s="7">
        <v>23174.84</v>
      </c>
    </row>
    <row r="319" spans="1:24" x14ac:dyDescent="0.25">
      <c r="A319" s="1" t="s">
        <v>196</v>
      </c>
      <c r="B319" s="2" t="s">
        <v>742</v>
      </c>
      <c r="C319" s="5">
        <v>47</v>
      </c>
      <c r="D319" s="1" t="s">
        <v>26</v>
      </c>
      <c r="E319" s="1" t="s">
        <v>33</v>
      </c>
      <c r="F319" s="1" t="s">
        <v>22</v>
      </c>
      <c r="G319" s="1">
        <f>YEAR(Table1[[#This Row],[Application_Date]])</f>
        <v>2025</v>
      </c>
      <c r="H319" s="1" t="str">
        <f>TEXT(Table1[[#This Row],[EMI_payment_date]],"mmmm")</f>
        <v>March</v>
      </c>
      <c r="I319" s="3">
        <v>45699</v>
      </c>
      <c r="J319" s="3">
        <f>EDATE(Table1[[#This Row],[Application_Date]],1)</f>
        <v>45727</v>
      </c>
      <c r="K319" s="9">
        <v>2616000</v>
      </c>
      <c r="L319" s="9">
        <f>Table1[[#This Row],[Annual_Income]]/12</f>
        <v>218000</v>
      </c>
      <c r="M319" s="9">
        <v>2816000</v>
      </c>
      <c r="N319" s="5">
        <f ca="1">DATEDIF(Table1[[#This Row],[EMI_payment_date]],TODAY(),"m")</f>
        <v>16</v>
      </c>
      <c r="O319" s="9">
        <f>17*Table1[[#This Row],[monthly_EMI]]</f>
        <v>1111800</v>
      </c>
      <c r="P319" s="1">
        <v>8.8800000000000008</v>
      </c>
      <c r="Q319" s="9">
        <f>Table1[[#This Row],[monthly_income]]*30%</f>
        <v>65400</v>
      </c>
      <c r="R319" s="1">
        <f>ROUNDUP(NPER(P319/100/12,-Q319,Table1[[#This Row],[Loan_Amount]]),0)</f>
        <v>53</v>
      </c>
      <c r="S319" s="1">
        <v>838</v>
      </c>
      <c r="T319" s="1" t="s">
        <v>37</v>
      </c>
      <c r="U319" s="1" t="str">
        <f>IF(Table1[[#This Row],[Repayment_Status]]="late","bad loan","good loan")</f>
        <v>bad loan</v>
      </c>
      <c r="V319" s="1" t="str">
        <f>IF(Table1[[#This Row],[Repayment_Status]]="late","high","low")</f>
        <v>high</v>
      </c>
      <c r="W319" s="1">
        <f>(Table1[[#This Row],[monthly_EMI]]/Table1[[#This Row],[monthly_income]])*100</f>
        <v>30</v>
      </c>
      <c r="X319" s="7">
        <v>26786.29</v>
      </c>
    </row>
    <row r="320" spans="1:24" x14ac:dyDescent="0.25">
      <c r="A320" s="1" t="s">
        <v>364</v>
      </c>
      <c r="B320" s="2" t="s">
        <v>883</v>
      </c>
      <c r="C320" s="5">
        <v>49</v>
      </c>
      <c r="D320" s="1" t="s">
        <v>26</v>
      </c>
      <c r="E320" s="1" t="s">
        <v>27</v>
      </c>
      <c r="F320" s="1" t="s">
        <v>17</v>
      </c>
      <c r="G320" s="1">
        <f>YEAR(Table1[[#This Row],[Application_Date]])</f>
        <v>2025</v>
      </c>
      <c r="H320" s="1" t="str">
        <f>TEXT(Table1[[#This Row],[EMI_payment_date]],"mmmm")</f>
        <v>March</v>
      </c>
      <c r="I320" s="3">
        <v>45700</v>
      </c>
      <c r="J320" s="3">
        <f>EDATE(Table1[[#This Row],[Application_Date]],1)</f>
        <v>45728</v>
      </c>
      <c r="K320" s="9">
        <v>4632000</v>
      </c>
      <c r="L320" s="9">
        <f>Table1[[#This Row],[Annual_Income]]/12</f>
        <v>386000</v>
      </c>
      <c r="M320" s="9">
        <v>4832000</v>
      </c>
      <c r="N320" s="5">
        <f ca="1">DATEDIF(Table1[[#This Row],[EMI_payment_date]],TODAY(),"m")</f>
        <v>16</v>
      </c>
      <c r="O320" s="9">
        <f>17*Table1[[#This Row],[monthly_EMI]]</f>
        <v>1968600</v>
      </c>
      <c r="P320" s="1">
        <v>8.82</v>
      </c>
      <c r="Q320" s="9">
        <f>Table1[[#This Row],[monthly_income]]*30%</f>
        <v>115800</v>
      </c>
      <c r="R320" s="1">
        <f>ROUNDUP(NPER(P320/100/12,-Q320,Table1[[#This Row],[Loan_Amount]]),0)</f>
        <v>51</v>
      </c>
      <c r="S320" s="1">
        <v>813</v>
      </c>
      <c r="T320" s="1" t="s">
        <v>37</v>
      </c>
      <c r="U320" s="1" t="str">
        <f>IF(Table1[[#This Row],[Repayment_Status]]="late","bad loan","good loan")</f>
        <v>bad loan</v>
      </c>
      <c r="V320" s="1" t="str">
        <f>IF(Table1[[#This Row],[Repayment_Status]]="late","high","low")</f>
        <v>high</v>
      </c>
      <c r="W320" s="1">
        <f>(Table1[[#This Row],[monthly_EMI]]/Table1[[#This Row],[monthly_income]])*100</f>
        <v>30</v>
      </c>
      <c r="X320" s="7">
        <v>36994.959999999999</v>
      </c>
    </row>
    <row r="321" spans="1:24" x14ac:dyDescent="0.25">
      <c r="A321" s="1" t="s">
        <v>503</v>
      </c>
      <c r="B321" s="2" t="s">
        <v>909</v>
      </c>
      <c r="C321" s="5">
        <v>47</v>
      </c>
      <c r="D321" s="1" t="s">
        <v>26</v>
      </c>
      <c r="E321" s="1" t="s">
        <v>24</v>
      </c>
      <c r="F321" s="1" t="s">
        <v>22</v>
      </c>
      <c r="G321" s="1">
        <f>YEAR(Table1[[#This Row],[Application_Date]])</f>
        <v>2025</v>
      </c>
      <c r="H321" s="1" t="str">
        <f>TEXT(Table1[[#This Row],[EMI_payment_date]],"mmmm")</f>
        <v>March</v>
      </c>
      <c r="I321" s="3">
        <v>45701</v>
      </c>
      <c r="J321" s="3">
        <f>EDATE(Table1[[#This Row],[Application_Date]],1)</f>
        <v>45729</v>
      </c>
      <c r="K321" s="9">
        <v>6300000</v>
      </c>
      <c r="L321" s="9">
        <f>Table1[[#This Row],[Annual_Income]]/12</f>
        <v>525000</v>
      </c>
      <c r="M321" s="9">
        <v>6500000</v>
      </c>
      <c r="N321" s="5">
        <f ca="1">DATEDIF(Table1[[#This Row],[EMI_payment_date]],TODAY(),"m")</f>
        <v>16</v>
      </c>
      <c r="O321" s="9">
        <f>17*Table1[[#This Row],[monthly_EMI]]</f>
        <v>2677500</v>
      </c>
      <c r="P321" s="1">
        <v>6.43</v>
      </c>
      <c r="Q321" s="9">
        <f>Table1[[#This Row],[monthly_income]]*30%</f>
        <v>157500</v>
      </c>
      <c r="R321" s="1">
        <f>ROUNDUP(NPER(P321/100/12,-Q321,Table1[[#This Row],[Loan_Amount]]),0)</f>
        <v>47</v>
      </c>
      <c r="S321" s="1">
        <v>622</v>
      </c>
      <c r="T321" s="1" t="s">
        <v>37</v>
      </c>
      <c r="U321" s="1" t="str">
        <f>IF(Table1[[#This Row],[Repayment_Status]]="late","bad loan","good loan")</f>
        <v>bad loan</v>
      </c>
      <c r="V321" s="1" t="str">
        <f>IF(Table1[[#This Row],[Repayment_Status]]="late","high","low")</f>
        <v>high</v>
      </c>
      <c r="W321" s="1">
        <f>(Table1[[#This Row],[monthly_EMI]]/Table1[[#This Row],[monthly_income]])*100</f>
        <v>30</v>
      </c>
      <c r="X321" s="7">
        <v>28850.84</v>
      </c>
    </row>
    <row r="322" spans="1:24" x14ac:dyDescent="0.25">
      <c r="A322" s="1" t="s">
        <v>606</v>
      </c>
      <c r="B322" s="2" t="s">
        <v>771</v>
      </c>
      <c r="C322" s="5">
        <v>36</v>
      </c>
      <c r="D322" s="1" t="s">
        <v>26</v>
      </c>
      <c r="E322" s="1" t="s">
        <v>36</v>
      </c>
      <c r="F322" s="1" t="s">
        <v>19</v>
      </c>
      <c r="G322" s="1">
        <f>YEAR(Table1[[#This Row],[Application_Date]])</f>
        <v>2025</v>
      </c>
      <c r="H322" s="1" t="str">
        <f>TEXT(Table1[[#This Row],[EMI_payment_date]],"mmmm")</f>
        <v>March</v>
      </c>
      <c r="I322" s="3">
        <v>45702</v>
      </c>
      <c r="J322" s="3">
        <f>EDATE(Table1[[#This Row],[Application_Date]],1)</f>
        <v>45730</v>
      </c>
      <c r="K322" s="9">
        <v>7536000</v>
      </c>
      <c r="L322" s="9">
        <f>Table1[[#This Row],[Annual_Income]]/12</f>
        <v>628000</v>
      </c>
      <c r="M322" s="9">
        <v>7736000</v>
      </c>
      <c r="N322" s="5">
        <f ca="1">DATEDIF(Table1[[#This Row],[EMI_payment_date]],TODAY(),"m")</f>
        <v>16</v>
      </c>
      <c r="O322" s="9">
        <f>17*Table1[[#This Row],[monthly_EMI]]</f>
        <v>3202800</v>
      </c>
      <c r="P322" s="1">
        <v>8.8000000000000007</v>
      </c>
      <c r="Q322" s="9">
        <f>Table1[[#This Row],[monthly_income]]*30%</f>
        <v>188400</v>
      </c>
      <c r="R322" s="1">
        <f>ROUNDUP(NPER(P322/100/12,-Q322,Table1[[#This Row],[Loan_Amount]]),0)</f>
        <v>50</v>
      </c>
      <c r="S322" s="1">
        <v>607</v>
      </c>
      <c r="T322" s="1" t="s">
        <v>37</v>
      </c>
      <c r="U322" s="1" t="str">
        <f>IF(Table1[[#This Row],[Repayment_Status]]="late","bad loan","good loan")</f>
        <v>bad loan</v>
      </c>
      <c r="V322" s="1" t="str">
        <f>IF(Table1[[#This Row],[Repayment_Status]]="late","high","low")</f>
        <v>high</v>
      </c>
      <c r="W322" s="1">
        <f>(Table1[[#This Row],[monthly_EMI]]/Table1[[#This Row],[monthly_income]])*100</f>
        <v>30</v>
      </c>
      <c r="X322" s="7">
        <v>31230.74</v>
      </c>
    </row>
    <row r="323" spans="1:24" x14ac:dyDescent="0.25">
      <c r="A323" s="1" t="s">
        <v>613</v>
      </c>
      <c r="B323" s="2" t="s">
        <v>750</v>
      </c>
      <c r="C323" s="5">
        <v>40</v>
      </c>
      <c r="D323" s="1" t="s">
        <v>26</v>
      </c>
      <c r="E323" s="1" t="s">
        <v>16</v>
      </c>
      <c r="F323" s="1" t="s">
        <v>31</v>
      </c>
      <c r="G323" s="1">
        <f>YEAR(Table1[[#This Row],[Application_Date]])</f>
        <v>2025</v>
      </c>
      <c r="H323" s="1" t="str">
        <f>TEXT(Table1[[#This Row],[EMI_payment_date]],"mmmm")</f>
        <v>March</v>
      </c>
      <c r="I323" s="3">
        <v>45703</v>
      </c>
      <c r="J323" s="3">
        <f>EDATE(Table1[[#This Row],[Application_Date]],1)</f>
        <v>45731</v>
      </c>
      <c r="K323" s="9">
        <v>7620000</v>
      </c>
      <c r="L323" s="9">
        <f>Table1[[#This Row],[Annual_Income]]/12</f>
        <v>635000</v>
      </c>
      <c r="M323" s="9">
        <v>7820000</v>
      </c>
      <c r="N323" s="5">
        <f ca="1">DATEDIF(Table1[[#This Row],[EMI_payment_date]],TODAY(),"m")</f>
        <v>16</v>
      </c>
      <c r="O323" s="9">
        <f>17*Table1[[#This Row],[monthly_EMI]]</f>
        <v>3238500</v>
      </c>
      <c r="P323" s="1">
        <v>8.48</v>
      </c>
      <c r="Q323" s="9">
        <f>Table1[[#This Row],[monthly_income]]*30%</f>
        <v>190500</v>
      </c>
      <c r="R323" s="1">
        <f>ROUNDUP(NPER(P323/100/12,-Q323,Table1[[#This Row],[Loan_Amount]]),0)</f>
        <v>49</v>
      </c>
      <c r="S323" s="1">
        <v>608</v>
      </c>
      <c r="T323" s="1" t="s">
        <v>37</v>
      </c>
      <c r="U323" s="1" t="str">
        <f>IF(Table1[[#This Row],[Repayment_Status]]="late","bad loan","good loan")</f>
        <v>bad loan</v>
      </c>
      <c r="V323" s="1" t="str">
        <f>IF(Table1[[#This Row],[Repayment_Status]]="late","high","low")</f>
        <v>high</v>
      </c>
      <c r="W323" s="1">
        <f>(Table1[[#This Row],[monthly_EMI]]/Table1[[#This Row],[monthly_income]])*100</f>
        <v>30</v>
      </c>
      <c r="X323" s="7">
        <v>13665.69</v>
      </c>
    </row>
    <row r="324" spans="1:24" x14ac:dyDescent="0.25">
      <c r="A324" s="1" t="s">
        <v>48</v>
      </c>
      <c r="B324" s="2" t="s">
        <v>736</v>
      </c>
      <c r="C324" s="5">
        <v>25</v>
      </c>
      <c r="D324" s="1" t="s">
        <v>26</v>
      </c>
      <c r="E324" s="1" t="s">
        <v>33</v>
      </c>
      <c r="F324" s="1" t="s">
        <v>31</v>
      </c>
      <c r="G324" s="1">
        <f>YEAR(Table1[[#This Row],[Application_Date]])</f>
        <v>2025</v>
      </c>
      <c r="H324" s="1" t="str">
        <f>TEXT(Table1[[#This Row],[EMI_payment_date]],"mmmm")</f>
        <v>March</v>
      </c>
      <c r="I324" s="3">
        <v>45704</v>
      </c>
      <c r="J324" s="3">
        <f>EDATE(Table1[[#This Row],[Application_Date]],1)</f>
        <v>45732</v>
      </c>
      <c r="K324" s="9">
        <v>840000</v>
      </c>
      <c r="L324" s="9">
        <f>Table1[[#This Row],[Annual_Income]]/12</f>
        <v>70000</v>
      </c>
      <c r="M324" s="9">
        <v>1040000</v>
      </c>
      <c r="N324" s="5">
        <f ca="1">DATEDIF(Table1[[#This Row],[EMI_payment_date]],TODAY(),"m")</f>
        <v>16</v>
      </c>
      <c r="O324" s="9">
        <f>17*Table1[[#This Row],[monthly_EMI]]</f>
        <v>357000</v>
      </c>
      <c r="P324" s="1">
        <v>9.09</v>
      </c>
      <c r="Q324" s="9">
        <f>Table1[[#This Row],[monthly_income]]*30%</f>
        <v>21000</v>
      </c>
      <c r="R324" s="1">
        <f>ROUNDUP(NPER(P324/100/12,-Q324,Table1[[#This Row],[Loan_Amount]]),0)</f>
        <v>63</v>
      </c>
      <c r="S324" s="1">
        <v>733</v>
      </c>
      <c r="T324" s="1" t="s">
        <v>20</v>
      </c>
      <c r="U324" s="1" t="str">
        <f>IF(Table1[[#This Row],[Repayment_Status]]="late","bad loan","good loan")</f>
        <v>good loan</v>
      </c>
      <c r="V324" s="1" t="str">
        <f>IF(Table1[[#This Row],[Repayment_Status]]="late","high","low")</f>
        <v>low</v>
      </c>
      <c r="W324" s="1">
        <f>(Table1[[#This Row],[monthly_EMI]]/Table1[[#This Row],[monthly_income]])*100</f>
        <v>30</v>
      </c>
      <c r="X324" s="7">
        <v>25015.03</v>
      </c>
    </row>
    <row r="325" spans="1:24" x14ac:dyDescent="0.25">
      <c r="A325" s="1" t="s">
        <v>124</v>
      </c>
      <c r="B325" s="2" t="s">
        <v>750</v>
      </c>
      <c r="C325" s="5">
        <v>58</v>
      </c>
      <c r="D325" s="1" t="s">
        <v>15</v>
      </c>
      <c r="E325" s="1" t="s">
        <v>27</v>
      </c>
      <c r="F325" s="1" t="s">
        <v>31</v>
      </c>
      <c r="G325" s="1">
        <f>YEAR(Table1[[#This Row],[Application_Date]])</f>
        <v>2025</v>
      </c>
      <c r="H325" s="1" t="str">
        <f>TEXT(Table1[[#This Row],[EMI_payment_date]],"mmmm")</f>
        <v>March</v>
      </c>
      <c r="I325" s="3">
        <v>45705</v>
      </c>
      <c r="J325" s="3">
        <f>EDATE(Table1[[#This Row],[Application_Date]],1)</f>
        <v>45733</v>
      </c>
      <c r="K325" s="9">
        <v>1752000</v>
      </c>
      <c r="L325" s="9">
        <f>Table1[[#This Row],[Annual_Income]]/12</f>
        <v>146000</v>
      </c>
      <c r="M325" s="9">
        <v>1952000</v>
      </c>
      <c r="N325" s="5">
        <f ca="1">DATEDIF(Table1[[#This Row],[EMI_payment_date]],TODAY(),"m")</f>
        <v>16</v>
      </c>
      <c r="O325" s="9">
        <f>17*Table1[[#This Row],[monthly_EMI]]</f>
        <v>744600</v>
      </c>
      <c r="P325" s="1">
        <v>9.81</v>
      </c>
      <c r="Q325" s="9">
        <f>Table1[[#This Row],[monthly_income]]*30%</f>
        <v>43800</v>
      </c>
      <c r="R325" s="1">
        <f>ROUNDUP(NPER(P325/100/12,-Q325,Table1[[#This Row],[Loan_Amount]]),0)</f>
        <v>56</v>
      </c>
      <c r="S325" s="1">
        <v>726</v>
      </c>
      <c r="T325" s="1" t="s">
        <v>20</v>
      </c>
      <c r="U325" s="1" t="str">
        <f>IF(Table1[[#This Row],[Repayment_Status]]="late","bad loan","good loan")</f>
        <v>good loan</v>
      </c>
      <c r="V325" s="1" t="str">
        <f>IF(Table1[[#This Row],[Repayment_Status]]="late","high","low")</f>
        <v>low</v>
      </c>
      <c r="W325" s="1">
        <f>(Table1[[#This Row],[monthly_EMI]]/Table1[[#This Row],[monthly_income]])*100</f>
        <v>30</v>
      </c>
      <c r="X325" s="7">
        <v>39784.53</v>
      </c>
    </row>
    <row r="326" spans="1:24" x14ac:dyDescent="0.25">
      <c r="A326" s="1" t="s">
        <v>88</v>
      </c>
      <c r="B326" s="2" t="s">
        <v>782</v>
      </c>
      <c r="C326" s="5">
        <v>33</v>
      </c>
      <c r="D326" s="1" t="s">
        <v>26</v>
      </c>
      <c r="E326" s="1" t="s">
        <v>29</v>
      </c>
      <c r="F326" s="1" t="s">
        <v>31</v>
      </c>
      <c r="G326" s="1">
        <f>YEAR(Table1[[#This Row],[Application_Date]])</f>
        <v>2025</v>
      </c>
      <c r="H326" s="1" t="str">
        <f>TEXT(Table1[[#This Row],[EMI_payment_date]],"mmmm")</f>
        <v>March</v>
      </c>
      <c r="I326" s="3">
        <v>45706</v>
      </c>
      <c r="J326" s="3">
        <f>EDATE(Table1[[#This Row],[Application_Date]],1)</f>
        <v>45734</v>
      </c>
      <c r="K326" s="9">
        <v>1308000</v>
      </c>
      <c r="L326" s="9">
        <f>Table1[[#This Row],[Annual_Income]]/12</f>
        <v>109000</v>
      </c>
      <c r="M326" s="9">
        <v>1508000</v>
      </c>
      <c r="N326" s="5">
        <f ca="1">DATEDIF(Table1[[#This Row],[EMI_payment_date]],TODAY(),"m")</f>
        <v>16</v>
      </c>
      <c r="O326" s="9">
        <f>17*Table1[[#This Row],[monthly_EMI]]</f>
        <v>555900</v>
      </c>
      <c r="P326" s="1">
        <v>5.67</v>
      </c>
      <c r="Q326" s="9">
        <f>Table1[[#This Row],[monthly_income]]*30%</f>
        <v>32700</v>
      </c>
      <c r="R326" s="1">
        <f>ROUNDUP(NPER(P326/100/12,-Q326,Table1[[#This Row],[Loan_Amount]]),0)</f>
        <v>53</v>
      </c>
      <c r="S326" s="1">
        <v>826</v>
      </c>
      <c r="T326" s="1" t="s">
        <v>37</v>
      </c>
      <c r="U326" s="1" t="str">
        <f>IF(Table1[[#This Row],[Repayment_Status]]="late","bad loan","good loan")</f>
        <v>bad loan</v>
      </c>
      <c r="V326" s="1" t="str">
        <f>IF(Table1[[#This Row],[Repayment_Status]]="late","high","low")</f>
        <v>high</v>
      </c>
      <c r="W326" s="1">
        <f>(Table1[[#This Row],[monthly_EMI]]/Table1[[#This Row],[monthly_income]])*100</f>
        <v>30</v>
      </c>
      <c r="X326" s="7">
        <v>18059.38</v>
      </c>
    </row>
    <row r="327" spans="1:24" x14ac:dyDescent="0.25">
      <c r="A327" s="1" t="s">
        <v>492</v>
      </c>
      <c r="B327" s="2" t="s">
        <v>879</v>
      </c>
      <c r="C327" s="5">
        <v>51</v>
      </c>
      <c r="D327" s="1" t="s">
        <v>26</v>
      </c>
      <c r="E327" s="1" t="s">
        <v>16</v>
      </c>
      <c r="F327" s="1" t="s">
        <v>51</v>
      </c>
      <c r="G327" s="1">
        <f>YEAR(Table1[[#This Row],[Application_Date]])</f>
        <v>2025</v>
      </c>
      <c r="H327" s="1" t="str">
        <f>TEXT(Table1[[#This Row],[EMI_payment_date]],"mmmm")</f>
        <v>March</v>
      </c>
      <c r="I327" s="3">
        <v>45707</v>
      </c>
      <c r="J327" s="3">
        <f>EDATE(Table1[[#This Row],[Application_Date]],1)</f>
        <v>45735</v>
      </c>
      <c r="K327" s="9">
        <v>6168000</v>
      </c>
      <c r="L327" s="9">
        <f>Table1[[#This Row],[Annual_Income]]/12</f>
        <v>514000</v>
      </c>
      <c r="M327" s="9">
        <v>6368000</v>
      </c>
      <c r="N327" s="5">
        <f ca="1">DATEDIF(Table1[[#This Row],[EMI_payment_date]],TODAY(),"m")</f>
        <v>16</v>
      </c>
      <c r="O327" s="9">
        <f>17*Table1[[#This Row],[monthly_EMI]]</f>
        <v>2621400</v>
      </c>
      <c r="P327" s="1">
        <v>5.35</v>
      </c>
      <c r="Q327" s="9">
        <f>Table1[[#This Row],[monthly_income]]*30%</f>
        <v>154200</v>
      </c>
      <c r="R327" s="1">
        <f>ROUNDUP(NPER(P327/100/12,-Q327,Table1[[#This Row],[Loan_Amount]]),0)</f>
        <v>46</v>
      </c>
      <c r="S327" s="1">
        <v>812</v>
      </c>
      <c r="T327" s="1" t="s">
        <v>37</v>
      </c>
      <c r="U327" s="1" t="str">
        <f>IF(Table1[[#This Row],[Repayment_Status]]="late","bad loan","good loan")</f>
        <v>bad loan</v>
      </c>
      <c r="V327" s="1" t="str">
        <f>IF(Table1[[#This Row],[Repayment_Status]]="late","high","low")</f>
        <v>high</v>
      </c>
      <c r="W327" s="1">
        <f>(Table1[[#This Row],[monthly_EMI]]/Table1[[#This Row],[monthly_income]])*100</f>
        <v>30</v>
      </c>
      <c r="X327" s="7">
        <v>22140.400000000001</v>
      </c>
    </row>
    <row r="328" spans="1:24" x14ac:dyDescent="0.25">
      <c r="A328" s="1" t="s">
        <v>245</v>
      </c>
      <c r="B328" s="2" t="s">
        <v>777</v>
      </c>
      <c r="C328" s="5">
        <v>42</v>
      </c>
      <c r="D328" s="1" t="s">
        <v>26</v>
      </c>
      <c r="E328" s="1" t="s">
        <v>16</v>
      </c>
      <c r="F328" s="1" t="s">
        <v>17</v>
      </c>
      <c r="G328" s="1">
        <f>YEAR(Table1[[#This Row],[Application_Date]])</f>
        <v>2025</v>
      </c>
      <c r="H328" s="1" t="str">
        <f>TEXT(Table1[[#This Row],[EMI_payment_date]],"mmmm")</f>
        <v>March</v>
      </c>
      <c r="I328" s="3">
        <v>45708</v>
      </c>
      <c r="J328" s="3">
        <f>EDATE(Table1[[#This Row],[Application_Date]],1)</f>
        <v>45736</v>
      </c>
      <c r="K328" s="9">
        <v>3204000</v>
      </c>
      <c r="L328" s="9">
        <f>Table1[[#This Row],[Annual_Income]]/12</f>
        <v>267000</v>
      </c>
      <c r="M328" s="9">
        <v>3404000</v>
      </c>
      <c r="N328" s="5">
        <f ca="1">DATEDIF(Table1[[#This Row],[EMI_payment_date]],TODAY(),"m")</f>
        <v>16</v>
      </c>
      <c r="O328" s="9">
        <f>17*Table1[[#This Row],[monthly_EMI]]</f>
        <v>1361700</v>
      </c>
      <c r="P328" s="1">
        <v>5.79</v>
      </c>
      <c r="Q328" s="9">
        <f>Table1[[#This Row],[monthly_income]]*30%</f>
        <v>80100</v>
      </c>
      <c r="R328" s="1">
        <f>ROUNDUP(NPER(P328/100/12,-Q328,Table1[[#This Row],[Loan_Amount]]),0)</f>
        <v>48</v>
      </c>
      <c r="S328" s="1">
        <v>700</v>
      </c>
      <c r="T328" s="1" t="s">
        <v>20</v>
      </c>
      <c r="U328" s="1" t="str">
        <f>IF(Table1[[#This Row],[Repayment_Status]]="late","bad loan","good loan")</f>
        <v>good loan</v>
      </c>
      <c r="V328" s="1" t="str">
        <f>IF(Table1[[#This Row],[Repayment_Status]]="late","high","low")</f>
        <v>low</v>
      </c>
      <c r="W328" s="1">
        <f>(Table1[[#This Row],[monthly_EMI]]/Table1[[#This Row],[monthly_income]])*100</f>
        <v>30</v>
      </c>
      <c r="X328" s="7">
        <v>18982.23</v>
      </c>
    </row>
    <row r="329" spans="1:24" x14ac:dyDescent="0.25">
      <c r="A329" s="1" t="s">
        <v>315</v>
      </c>
      <c r="B329" s="2" t="s">
        <v>759</v>
      </c>
      <c r="C329" s="5">
        <v>36</v>
      </c>
      <c r="D329" s="1" t="s">
        <v>26</v>
      </c>
      <c r="E329" s="1" t="s">
        <v>16</v>
      </c>
      <c r="F329" s="1" t="s">
        <v>31</v>
      </c>
      <c r="G329" s="1">
        <f>YEAR(Table1[[#This Row],[Application_Date]])</f>
        <v>2025</v>
      </c>
      <c r="H329" s="1" t="str">
        <f>TEXT(Table1[[#This Row],[EMI_payment_date]],"mmmm")</f>
        <v>March</v>
      </c>
      <c r="I329" s="3">
        <v>45709</v>
      </c>
      <c r="J329" s="3">
        <f>EDATE(Table1[[#This Row],[Application_Date]],1)</f>
        <v>45737</v>
      </c>
      <c r="K329" s="9">
        <v>4044000</v>
      </c>
      <c r="L329" s="9">
        <f>Table1[[#This Row],[Annual_Income]]/12</f>
        <v>337000</v>
      </c>
      <c r="M329" s="9">
        <v>4244000</v>
      </c>
      <c r="N329" s="5">
        <f ca="1">DATEDIF(Table1[[#This Row],[EMI_payment_date]],TODAY(),"m")</f>
        <v>16</v>
      </c>
      <c r="O329" s="9">
        <f>17*Table1[[#This Row],[monthly_EMI]]</f>
        <v>1718700</v>
      </c>
      <c r="P329" s="1">
        <v>7.31</v>
      </c>
      <c r="Q329" s="9">
        <f>Table1[[#This Row],[monthly_income]]*30%</f>
        <v>101100</v>
      </c>
      <c r="R329" s="1">
        <f>ROUNDUP(NPER(P329/100/12,-Q329,Table1[[#This Row],[Loan_Amount]]),0)</f>
        <v>49</v>
      </c>
      <c r="S329" s="1">
        <v>843</v>
      </c>
      <c r="T329" s="1" t="s">
        <v>20</v>
      </c>
      <c r="U329" s="1" t="str">
        <f>IF(Table1[[#This Row],[Repayment_Status]]="late","bad loan","good loan")</f>
        <v>good loan</v>
      </c>
      <c r="V329" s="1" t="str">
        <f>IF(Table1[[#This Row],[Repayment_Status]]="late","high","low")</f>
        <v>low</v>
      </c>
      <c r="W329" s="1">
        <f>(Table1[[#This Row],[monthly_EMI]]/Table1[[#This Row],[monthly_income]])*100</f>
        <v>30</v>
      </c>
      <c r="X329" s="7">
        <v>25070.11</v>
      </c>
    </row>
    <row r="330" spans="1:24" x14ac:dyDescent="0.25">
      <c r="A330" s="1" t="s">
        <v>580</v>
      </c>
      <c r="B330" s="2" t="s">
        <v>859</v>
      </c>
      <c r="C330" s="5">
        <v>24</v>
      </c>
      <c r="D330" s="1" t="s">
        <v>26</v>
      </c>
      <c r="E330" s="1" t="s">
        <v>24</v>
      </c>
      <c r="F330" s="1" t="s">
        <v>31</v>
      </c>
      <c r="G330" s="1">
        <f>YEAR(Table1[[#This Row],[Application_Date]])</f>
        <v>2025</v>
      </c>
      <c r="H330" s="1" t="str">
        <f>TEXT(Table1[[#This Row],[EMI_payment_date]],"mmmm")</f>
        <v>March</v>
      </c>
      <c r="I330" s="3">
        <v>45710</v>
      </c>
      <c r="J330" s="3">
        <f>EDATE(Table1[[#This Row],[Application_Date]],1)</f>
        <v>45738</v>
      </c>
      <c r="K330" s="9">
        <v>7224000</v>
      </c>
      <c r="L330" s="9">
        <f>Table1[[#This Row],[Annual_Income]]/12</f>
        <v>602000</v>
      </c>
      <c r="M330" s="9">
        <v>7424000</v>
      </c>
      <c r="N330" s="5">
        <f ca="1">DATEDIF(Table1[[#This Row],[EMI_payment_date]],TODAY(),"m")</f>
        <v>16</v>
      </c>
      <c r="O330" s="9">
        <f>17*Table1[[#This Row],[monthly_EMI]]</f>
        <v>3070200</v>
      </c>
      <c r="P330" s="1">
        <v>5.09</v>
      </c>
      <c r="Q330" s="9">
        <f>Table1[[#This Row],[monthly_income]]*30%</f>
        <v>180600</v>
      </c>
      <c r="R330" s="1">
        <f>ROUNDUP(NPER(P330/100/12,-Q330,Table1[[#This Row],[Loan_Amount]]),0)</f>
        <v>46</v>
      </c>
      <c r="S330" s="1">
        <v>608</v>
      </c>
      <c r="T330" s="1" t="s">
        <v>20</v>
      </c>
      <c r="U330" s="1" t="str">
        <f>IF(Table1[[#This Row],[Repayment_Status]]="late","bad loan","good loan")</f>
        <v>good loan</v>
      </c>
      <c r="V330" s="1" t="str">
        <f>IF(Table1[[#This Row],[Repayment_Status]]="late","high","low")</f>
        <v>low</v>
      </c>
      <c r="W330" s="1">
        <f>(Table1[[#This Row],[monthly_EMI]]/Table1[[#This Row],[monthly_income]])*100</f>
        <v>30</v>
      </c>
      <c r="X330" s="7">
        <v>12918.64</v>
      </c>
    </row>
    <row r="331" spans="1:24" x14ac:dyDescent="0.25">
      <c r="A331" s="1" t="s">
        <v>344</v>
      </c>
      <c r="B331" s="2" t="s">
        <v>769</v>
      </c>
      <c r="C331" s="5">
        <v>22</v>
      </c>
      <c r="D331" s="1" t="s">
        <v>26</v>
      </c>
      <c r="E331" s="1" t="s">
        <v>29</v>
      </c>
      <c r="F331" s="1" t="s">
        <v>31</v>
      </c>
      <c r="G331" s="1">
        <f>YEAR(Table1[[#This Row],[Application_Date]])</f>
        <v>2025</v>
      </c>
      <c r="H331" s="1" t="str">
        <f>TEXT(Table1[[#This Row],[EMI_payment_date]],"mmmm")</f>
        <v>March</v>
      </c>
      <c r="I331" s="3">
        <v>45711</v>
      </c>
      <c r="J331" s="3">
        <f>EDATE(Table1[[#This Row],[Application_Date]],1)</f>
        <v>45739</v>
      </c>
      <c r="K331" s="9">
        <v>4392000</v>
      </c>
      <c r="L331" s="9">
        <f>Table1[[#This Row],[Annual_Income]]/12</f>
        <v>366000</v>
      </c>
      <c r="M331" s="9">
        <v>4592000</v>
      </c>
      <c r="N331" s="5">
        <f ca="1">DATEDIF(Table1[[#This Row],[EMI_payment_date]],TODAY(),"m")</f>
        <v>16</v>
      </c>
      <c r="O331" s="9">
        <f>17*Table1[[#This Row],[monthly_EMI]]</f>
        <v>1866600</v>
      </c>
      <c r="P331" s="1">
        <v>8.36</v>
      </c>
      <c r="Q331" s="9">
        <f>Table1[[#This Row],[monthly_income]]*30%</f>
        <v>109800</v>
      </c>
      <c r="R331" s="1">
        <f>ROUNDUP(NPER(P331/100/12,-Q331,Table1[[#This Row],[Loan_Amount]]),0)</f>
        <v>50</v>
      </c>
      <c r="S331" s="1">
        <v>671</v>
      </c>
      <c r="T331" s="1" t="s">
        <v>37</v>
      </c>
      <c r="U331" s="1" t="str">
        <f>IF(Table1[[#This Row],[Repayment_Status]]="late","bad loan","good loan")</f>
        <v>bad loan</v>
      </c>
      <c r="V331" s="1" t="str">
        <f>IF(Table1[[#This Row],[Repayment_Status]]="late","high","low")</f>
        <v>high</v>
      </c>
      <c r="W331" s="1">
        <f>(Table1[[#This Row],[monthly_EMI]]/Table1[[#This Row],[monthly_income]])*100</f>
        <v>30</v>
      </c>
      <c r="X331" s="7">
        <v>30275.62</v>
      </c>
    </row>
    <row r="332" spans="1:24" x14ac:dyDescent="0.25">
      <c r="A332" s="1" t="s">
        <v>233</v>
      </c>
      <c r="B332" s="2" t="s">
        <v>863</v>
      </c>
      <c r="C332" s="5">
        <v>43</v>
      </c>
      <c r="D332" s="1" t="s">
        <v>26</v>
      </c>
      <c r="E332" s="1" t="s">
        <v>33</v>
      </c>
      <c r="F332" s="1" t="s">
        <v>17</v>
      </c>
      <c r="G332" s="1">
        <f>YEAR(Table1[[#This Row],[Application_Date]])</f>
        <v>2025</v>
      </c>
      <c r="H332" s="1" t="str">
        <f>TEXT(Table1[[#This Row],[EMI_payment_date]],"mmmm")</f>
        <v>March</v>
      </c>
      <c r="I332" s="3">
        <v>45712</v>
      </c>
      <c r="J332" s="3">
        <f>EDATE(Table1[[#This Row],[Application_Date]],1)</f>
        <v>45740</v>
      </c>
      <c r="K332" s="9">
        <v>3060000</v>
      </c>
      <c r="L332" s="9">
        <f>Table1[[#This Row],[Annual_Income]]/12</f>
        <v>255000</v>
      </c>
      <c r="M332" s="9">
        <v>3260000</v>
      </c>
      <c r="N332" s="5">
        <f ca="1">DATEDIF(Table1[[#This Row],[EMI_payment_date]],TODAY(),"m")</f>
        <v>16</v>
      </c>
      <c r="O332" s="9">
        <f>17*Table1[[#This Row],[monthly_EMI]]</f>
        <v>1300500</v>
      </c>
      <c r="P332" s="1">
        <v>8.08</v>
      </c>
      <c r="Q332" s="9">
        <f>Table1[[#This Row],[monthly_income]]*30%</f>
        <v>76500</v>
      </c>
      <c r="R332" s="1">
        <f>ROUNDUP(NPER(P332/100/12,-Q332,Table1[[#This Row],[Loan_Amount]]),0)</f>
        <v>51</v>
      </c>
      <c r="S332" s="1">
        <v>707</v>
      </c>
      <c r="T332" s="1" t="s">
        <v>20</v>
      </c>
      <c r="U332" s="1" t="str">
        <f>IF(Table1[[#This Row],[Repayment_Status]]="late","bad loan","good loan")</f>
        <v>good loan</v>
      </c>
      <c r="V332" s="1" t="str">
        <f>IF(Table1[[#This Row],[Repayment_Status]]="late","high","low")</f>
        <v>low</v>
      </c>
      <c r="W332" s="1">
        <f>(Table1[[#This Row],[monthly_EMI]]/Table1[[#This Row],[monthly_income]])*100</f>
        <v>30</v>
      </c>
      <c r="X332" s="7">
        <v>30166.89</v>
      </c>
    </row>
    <row r="333" spans="1:24" x14ac:dyDescent="0.25">
      <c r="A333" s="1" t="s">
        <v>406</v>
      </c>
      <c r="B333" s="2" t="s">
        <v>898</v>
      </c>
      <c r="C333" s="5">
        <v>24</v>
      </c>
      <c r="D333" s="1" t="s">
        <v>15</v>
      </c>
      <c r="E333" s="1" t="s">
        <v>24</v>
      </c>
      <c r="F333" s="1" t="s">
        <v>22</v>
      </c>
      <c r="G333" s="1">
        <f>YEAR(Table1[[#This Row],[Application_Date]])</f>
        <v>2025</v>
      </c>
      <c r="H333" s="1" t="str">
        <f>TEXT(Table1[[#This Row],[EMI_payment_date]],"mmmm")</f>
        <v>March</v>
      </c>
      <c r="I333" s="3">
        <v>45713</v>
      </c>
      <c r="J333" s="3">
        <f>EDATE(Table1[[#This Row],[Application_Date]],1)</f>
        <v>45741</v>
      </c>
      <c r="K333" s="9">
        <v>5136000</v>
      </c>
      <c r="L333" s="9">
        <f>Table1[[#This Row],[Annual_Income]]/12</f>
        <v>428000</v>
      </c>
      <c r="M333" s="9">
        <v>5336000</v>
      </c>
      <c r="N333" s="5">
        <f ca="1">DATEDIF(Table1[[#This Row],[EMI_payment_date]],TODAY(),"m")</f>
        <v>16</v>
      </c>
      <c r="O333" s="9">
        <f>17*Table1[[#This Row],[monthly_EMI]]</f>
        <v>2182800</v>
      </c>
      <c r="P333" s="1">
        <v>9.5399999999999991</v>
      </c>
      <c r="Q333" s="9">
        <f>Table1[[#This Row],[monthly_income]]*30%</f>
        <v>128400</v>
      </c>
      <c r="R333" s="1">
        <f>ROUNDUP(NPER(P333/100/12,-Q333,Table1[[#This Row],[Loan_Amount]]),0)</f>
        <v>51</v>
      </c>
      <c r="S333" s="1">
        <v>702</v>
      </c>
      <c r="T333" s="1" t="s">
        <v>20</v>
      </c>
      <c r="U333" s="1" t="str">
        <f>IF(Table1[[#This Row],[Repayment_Status]]="late","bad loan","good loan")</f>
        <v>good loan</v>
      </c>
      <c r="V333" s="1" t="str">
        <f>IF(Table1[[#This Row],[Repayment_Status]]="late","high","low")</f>
        <v>low</v>
      </c>
      <c r="W333" s="1">
        <f>(Table1[[#This Row],[monthly_EMI]]/Table1[[#This Row],[monthly_income]])*100</f>
        <v>30</v>
      </c>
      <c r="X333" s="7">
        <v>22804.42</v>
      </c>
    </row>
    <row r="334" spans="1:24" x14ac:dyDescent="0.25">
      <c r="A334" s="1" t="s">
        <v>99</v>
      </c>
      <c r="B334" s="2" t="s">
        <v>788</v>
      </c>
      <c r="C334" s="5">
        <v>38</v>
      </c>
      <c r="D334" s="1" t="s">
        <v>26</v>
      </c>
      <c r="E334" s="1" t="s">
        <v>27</v>
      </c>
      <c r="F334" s="1" t="s">
        <v>31</v>
      </c>
      <c r="G334" s="1">
        <f>YEAR(Table1[[#This Row],[Application_Date]])</f>
        <v>2025</v>
      </c>
      <c r="H334" s="1" t="str">
        <f>TEXT(Table1[[#This Row],[EMI_payment_date]],"mmmm")</f>
        <v>March</v>
      </c>
      <c r="I334" s="3">
        <v>45714</v>
      </c>
      <c r="J334" s="3">
        <f>EDATE(Table1[[#This Row],[Application_Date]],1)</f>
        <v>45742</v>
      </c>
      <c r="K334" s="9">
        <v>1440000</v>
      </c>
      <c r="L334" s="9">
        <f>Table1[[#This Row],[Annual_Income]]/12</f>
        <v>120000</v>
      </c>
      <c r="M334" s="9">
        <v>1640000</v>
      </c>
      <c r="N334" s="5">
        <f ca="1">DATEDIF(Table1[[#This Row],[EMI_payment_date]],TODAY(),"m")</f>
        <v>16</v>
      </c>
      <c r="O334" s="9">
        <f>17*Table1[[#This Row],[monthly_EMI]]</f>
        <v>612000</v>
      </c>
      <c r="P334" s="1">
        <v>5.82</v>
      </c>
      <c r="Q334" s="9">
        <f>Table1[[#This Row],[monthly_income]]*30%</f>
        <v>36000</v>
      </c>
      <c r="R334" s="1">
        <f>ROUNDUP(NPER(P334/100/12,-Q334,Table1[[#This Row],[Loan_Amount]]),0)</f>
        <v>52</v>
      </c>
      <c r="S334" s="1">
        <v>737</v>
      </c>
      <c r="T334" s="1" t="s">
        <v>37</v>
      </c>
      <c r="U334" s="1" t="str">
        <f>IF(Table1[[#This Row],[Repayment_Status]]="late","bad loan","good loan")</f>
        <v>bad loan</v>
      </c>
      <c r="V334" s="1" t="str">
        <f>IF(Table1[[#This Row],[Repayment_Status]]="late","high","low")</f>
        <v>high</v>
      </c>
      <c r="W334" s="1">
        <f>(Table1[[#This Row],[monthly_EMI]]/Table1[[#This Row],[monthly_income]])*100</f>
        <v>30</v>
      </c>
      <c r="X334" s="7">
        <v>11853.42</v>
      </c>
    </row>
    <row r="335" spans="1:24" x14ac:dyDescent="0.25">
      <c r="A335" s="1" t="s">
        <v>271</v>
      </c>
      <c r="B335" s="2" t="s">
        <v>762</v>
      </c>
      <c r="C335" s="5">
        <v>26</v>
      </c>
      <c r="D335" s="1" t="s">
        <v>15</v>
      </c>
      <c r="E335" s="1" t="s">
        <v>29</v>
      </c>
      <c r="F335" s="1" t="s">
        <v>17</v>
      </c>
      <c r="G335" s="1">
        <f>YEAR(Table1[[#This Row],[Application_Date]])</f>
        <v>2025</v>
      </c>
      <c r="H335" s="1" t="str">
        <f>TEXT(Table1[[#This Row],[EMI_payment_date]],"mmmm")</f>
        <v>March</v>
      </c>
      <c r="I335" s="3">
        <v>45715</v>
      </c>
      <c r="J335" s="3">
        <f>EDATE(Table1[[#This Row],[Application_Date]],1)</f>
        <v>45743</v>
      </c>
      <c r="K335" s="9">
        <v>3516000</v>
      </c>
      <c r="L335" s="9">
        <f>Table1[[#This Row],[Annual_Income]]/12</f>
        <v>293000</v>
      </c>
      <c r="M335" s="9">
        <v>3716000</v>
      </c>
      <c r="N335" s="5">
        <f ca="1">DATEDIF(Table1[[#This Row],[EMI_payment_date]],TODAY(),"m")</f>
        <v>16</v>
      </c>
      <c r="O335" s="9">
        <f>17*Table1[[#This Row],[monthly_EMI]]</f>
        <v>1494300</v>
      </c>
      <c r="P335" s="1">
        <v>6.49</v>
      </c>
      <c r="Q335" s="9">
        <f>Table1[[#This Row],[monthly_income]]*30%</f>
        <v>87900</v>
      </c>
      <c r="R335" s="1">
        <f>ROUNDUP(NPER(P335/100/12,-Q335,Table1[[#This Row],[Loan_Amount]]),0)</f>
        <v>49</v>
      </c>
      <c r="S335" s="1">
        <v>620</v>
      </c>
      <c r="T335" s="1" t="s">
        <v>37</v>
      </c>
      <c r="U335" s="1" t="str">
        <f>IF(Table1[[#This Row],[Repayment_Status]]="late","bad loan","good loan")</f>
        <v>bad loan</v>
      </c>
      <c r="V335" s="1" t="str">
        <f>IF(Table1[[#This Row],[Repayment_Status]]="late","high","low")</f>
        <v>high</v>
      </c>
      <c r="W335" s="1">
        <f>(Table1[[#This Row],[monthly_EMI]]/Table1[[#This Row],[monthly_income]])*100</f>
        <v>30</v>
      </c>
      <c r="X335" s="7">
        <v>11676.92</v>
      </c>
    </row>
    <row r="336" spans="1:24" x14ac:dyDescent="0.25">
      <c r="A336" s="1" t="s">
        <v>658</v>
      </c>
      <c r="B336" s="2" t="s">
        <v>856</v>
      </c>
      <c r="C336" s="5">
        <v>29</v>
      </c>
      <c r="D336" s="1" t="s">
        <v>15</v>
      </c>
      <c r="E336" s="1" t="s">
        <v>27</v>
      </c>
      <c r="F336" s="1" t="s">
        <v>22</v>
      </c>
      <c r="G336" s="1">
        <f>YEAR(Table1[[#This Row],[Application_Date]])</f>
        <v>2025</v>
      </c>
      <c r="H336" s="1" t="str">
        <f>TEXT(Table1[[#This Row],[EMI_payment_date]],"mmmm")</f>
        <v>March</v>
      </c>
      <c r="I336" s="3">
        <v>45716</v>
      </c>
      <c r="J336" s="3">
        <f>EDATE(Table1[[#This Row],[Application_Date]],1)</f>
        <v>45744</v>
      </c>
      <c r="K336" s="9">
        <v>8160000</v>
      </c>
      <c r="L336" s="9">
        <f>Table1[[#This Row],[Annual_Income]]/12</f>
        <v>680000</v>
      </c>
      <c r="M336" s="9">
        <v>8360000</v>
      </c>
      <c r="N336" s="5">
        <f ca="1">DATEDIF(Table1[[#This Row],[EMI_payment_date]],TODAY(),"m")</f>
        <v>16</v>
      </c>
      <c r="O336" s="9">
        <f>17*Table1[[#This Row],[monthly_EMI]]</f>
        <v>3468000</v>
      </c>
      <c r="P336" s="1">
        <v>6.29</v>
      </c>
      <c r="Q336" s="9">
        <f>Table1[[#This Row],[monthly_income]]*30%</f>
        <v>204000</v>
      </c>
      <c r="R336" s="1">
        <f>ROUNDUP(NPER(P336/100/12,-Q336,Table1[[#This Row],[Loan_Amount]]),0)</f>
        <v>47</v>
      </c>
      <c r="S336" s="1">
        <v>778</v>
      </c>
      <c r="T336" s="1" t="s">
        <v>37</v>
      </c>
      <c r="U336" s="1" t="str">
        <f>IF(Table1[[#This Row],[Repayment_Status]]="late","bad loan","good loan")</f>
        <v>bad loan</v>
      </c>
      <c r="V336" s="1" t="str">
        <f>IF(Table1[[#This Row],[Repayment_Status]]="late","high","low")</f>
        <v>high</v>
      </c>
      <c r="W336" s="1">
        <f>(Table1[[#This Row],[monthly_EMI]]/Table1[[#This Row],[monthly_income]])*100</f>
        <v>30</v>
      </c>
      <c r="X336" s="7">
        <v>15860.44</v>
      </c>
    </row>
    <row r="337" spans="1:24" x14ac:dyDescent="0.25">
      <c r="A337" s="1" t="s">
        <v>254</v>
      </c>
      <c r="B337" s="2" t="s">
        <v>802</v>
      </c>
      <c r="C337" s="5">
        <v>52</v>
      </c>
      <c r="D337" s="1" t="s">
        <v>15</v>
      </c>
      <c r="E337" s="1" t="s">
        <v>33</v>
      </c>
      <c r="F337" s="1" t="s">
        <v>17</v>
      </c>
      <c r="G337" s="1">
        <f>YEAR(Table1[[#This Row],[Application_Date]])</f>
        <v>2025</v>
      </c>
      <c r="H337" s="1" t="str">
        <f>TEXT(Table1[[#This Row],[EMI_payment_date]],"mmmm")</f>
        <v>April</v>
      </c>
      <c r="I337" s="3">
        <v>45717</v>
      </c>
      <c r="J337" s="3">
        <f>EDATE(Table1[[#This Row],[Application_Date]],1)</f>
        <v>45748</v>
      </c>
      <c r="K337" s="9">
        <v>3312000</v>
      </c>
      <c r="L337" s="9">
        <f>Table1[[#This Row],[Annual_Income]]/12</f>
        <v>276000</v>
      </c>
      <c r="M337" s="9">
        <v>3512000</v>
      </c>
      <c r="N337" s="5">
        <f ca="1">DATEDIF(Table1[[#This Row],[EMI_payment_date]],TODAY(),"m")</f>
        <v>15</v>
      </c>
      <c r="O337" s="9">
        <f>16*Table1[[#This Row],[monthly_EMI]]</f>
        <v>1324800</v>
      </c>
      <c r="P337" s="1">
        <v>9.1199999999999992</v>
      </c>
      <c r="Q337" s="9">
        <f>Table1[[#This Row],[monthly_income]]*30%</f>
        <v>82800</v>
      </c>
      <c r="R337" s="1">
        <f>ROUNDUP(NPER(P337/100/12,-Q337,Table1[[#This Row],[Loan_Amount]]),0)</f>
        <v>52</v>
      </c>
      <c r="S337" s="1">
        <v>781</v>
      </c>
      <c r="T337" s="1" t="s">
        <v>37</v>
      </c>
      <c r="U337" s="1" t="str">
        <f>IF(Table1[[#This Row],[Repayment_Status]]="late","bad loan","good loan")</f>
        <v>bad loan</v>
      </c>
      <c r="V337" s="1" t="str">
        <f>IF(Table1[[#This Row],[Repayment_Status]]="late","high","low")</f>
        <v>high</v>
      </c>
      <c r="W337" s="1">
        <f>(Table1[[#This Row],[monthly_EMI]]/Table1[[#This Row],[monthly_income]])*100</f>
        <v>30</v>
      </c>
      <c r="X337" s="7">
        <v>17824.84</v>
      </c>
    </row>
    <row r="338" spans="1:24" x14ac:dyDescent="0.25">
      <c r="A338" s="1" t="s">
        <v>152</v>
      </c>
      <c r="B338" s="2" t="s">
        <v>824</v>
      </c>
      <c r="C338" s="5">
        <v>53</v>
      </c>
      <c r="D338" s="1" t="s">
        <v>26</v>
      </c>
      <c r="E338" s="1" t="s">
        <v>36</v>
      </c>
      <c r="F338" s="1" t="s">
        <v>17</v>
      </c>
      <c r="G338" s="1">
        <f>YEAR(Table1[[#This Row],[Application_Date]])</f>
        <v>2025</v>
      </c>
      <c r="H338" s="1" t="str">
        <f>TEXT(Table1[[#This Row],[EMI_payment_date]],"mmmm")</f>
        <v>April</v>
      </c>
      <c r="I338" s="3">
        <v>45718</v>
      </c>
      <c r="J338" s="3">
        <f>EDATE(Table1[[#This Row],[Application_Date]],1)</f>
        <v>45749</v>
      </c>
      <c r="K338" s="9">
        <v>2088000</v>
      </c>
      <c r="L338" s="9">
        <f>Table1[[#This Row],[Annual_Income]]/12</f>
        <v>174000</v>
      </c>
      <c r="M338" s="9">
        <v>2288000</v>
      </c>
      <c r="N338" s="5">
        <f ca="1">DATEDIF(Table1[[#This Row],[EMI_payment_date]],TODAY(),"m")</f>
        <v>15</v>
      </c>
      <c r="O338" s="9">
        <f>16*Table1[[#This Row],[monthly_EMI]]</f>
        <v>835200</v>
      </c>
      <c r="P338" s="1">
        <v>5.2</v>
      </c>
      <c r="Q338" s="9">
        <f>Table1[[#This Row],[monthly_income]]*30%</f>
        <v>52200</v>
      </c>
      <c r="R338" s="1">
        <f>ROUNDUP(NPER(P338/100/12,-Q338,Table1[[#This Row],[Loan_Amount]]),0)</f>
        <v>49</v>
      </c>
      <c r="S338" s="1">
        <v>738</v>
      </c>
      <c r="T338" s="1" t="s">
        <v>20</v>
      </c>
      <c r="U338" s="1" t="str">
        <f>IF(Table1[[#This Row],[Repayment_Status]]="late","bad loan","good loan")</f>
        <v>good loan</v>
      </c>
      <c r="V338" s="1" t="str">
        <f>IF(Table1[[#This Row],[Repayment_Status]]="late","high","low")</f>
        <v>low</v>
      </c>
      <c r="W338" s="1">
        <f>(Table1[[#This Row],[monthly_EMI]]/Table1[[#This Row],[monthly_income]])*100</f>
        <v>30</v>
      </c>
      <c r="X338" s="7">
        <v>9212.18</v>
      </c>
    </row>
    <row r="339" spans="1:24" x14ac:dyDescent="0.25">
      <c r="A339" s="1" t="s">
        <v>185</v>
      </c>
      <c r="B339" s="2" t="s">
        <v>838</v>
      </c>
      <c r="C339" s="5">
        <v>51</v>
      </c>
      <c r="D339" s="1" t="s">
        <v>26</v>
      </c>
      <c r="E339" s="1" t="s">
        <v>16</v>
      </c>
      <c r="F339" s="1" t="s">
        <v>17</v>
      </c>
      <c r="G339" s="1">
        <f>YEAR(Table1[[#This Row],[Application_Date]])</f>
        <v>2025</v>
      </c>
      <c r="H339" s="1" t="str">
        <f>TEXT(Table1[[#This Row],[EMI_payment_date]],"mmmm")</f>
        <v>April</v>
      </c>
      <c r="I339" s="3">
        <v>45719</v>
      </c>
      <c r="J339" s="3">
        <f>EDATE(Table1[[#This Row],[Application_Date]],1)</f>
        <v>45750</v>
      </c>
      <c r="K339" s="9">
        <v>2484000</v>
      </c>
      <c r="L339" s="9">
        <f>Table1[[#This Row],[Annual_Income]]/12</f>
        <v>207000</v>
      </c>
      <c r="M339" s="9">
        <v>2684000</v>
      </c>
      <c r="N339" s="5">
        <f ca="1">DATEDIF(Table1[[#This Row],[EMI_payment_date]],TODAY(),"m")</f>
        <v>15</v>
      </c>
      <c r="O339" s="9">
        <f>16*Table1[[#This Row],[monthly_EMI]]</f>
        <v>993600</v>
      </c>
      <c r="P339" s="1">
        <v>7.3</v>
      </c>
      <c r="Q339" s="9">
        <f>Table1[[#This Row],[monthly_income]]*30%</f>
        <v>62100</v>
      </c>
      <c r="R339" s="1">
        <f>ROUNDUP(NPER(P339/100/12,-Q339,Table1[[#This Row],[Loan_Amount]]),0)</f>
        <v>51</v>
      </c>
      <c r="S339" s="1">
        <v>812</v>
      </c>
      <c r="T339" s="1" t="s">
        <v>20</v>
      </c>
      <c r="U339" s="1" t="str">
        <f>IF(Table1[[#This Row],[Repayment_Status]]="late","bad loan","good loan")</f>
        <v>good loan</v>
      </c>
      <c r="V339" s="1" t="str">
        <f>IF(Table1[[#This Row],[Repayment_Status]]="late","high","low")</f>
        <v>low</v>
      </c>
      <c r="W339" s="1">
        <f>(Table1[[#This Row],[monthly_EMI]]/Table1[[#This Row],[monthly_income]])*100</f>
        <v>30</v>
      </c>
      <c r="X339" s="7">
        <v>13958.11</v>
      </c>
    </row>
    <row r="340" spans="1:24" x14ac:dyDescent="0.25">
      <c r="A340" s="1" t="s">
        <v>363</v>
      </c>
      <c r="B340" s="2" t="s">
        <v>777</v>
      </c>
      <c r="C340" s="5">
        <v>42</v>
      </c>
      <c r="D340" s="1" t="s">
        <v>15</v>
      </c>
      <c r="E340" s="1" t="s">
        <v>29</v>
      </c>
      <c r="F340" s="1" t="s">
        <v>51</v>
      </c>
      <c r="G340" s="1">
        <f>YEAR(Table1[[#This Row],[Application_Date]])</f>
        <v>2025</v>
      </c>
      <c r="H340" s="1" t="str">
        <f>TEXT(Table1[[#This Row],[EMI_payment_date]],"mmmm")</f>
        <v>April</v>
      </c>
      <c r="I340" s="3">
        <v>45720</v>
      </c>
      <c r="J340" s="3">
        <f>EDATE(Table1[[#This Row],[Application_Date]],1)</f>
        <v>45751</v>
      </c>
      <c r="K340" s="9">
        <v>4620000</v>
      </c>
      <c r="L340" s="9">
        <f>Table1[[#This Row],[Annual_Income]]/12</f>
        <v>385000</v>
      </c>
      <c r="M340" s="9">
        <v>4820000</v>
      </c>
      <c r="N340" s="5">
        <f ca="1">DATEDIF(Table1[[#This Row],[EMI_payment_date]],TODAY(),"m")</f>
        <v>15</v>
      </c>
      <c r="O340" s="9">
        <f>16*Table1[[#This Row],[monthly_EMI]]</f>
        <v>1848000</v>
      </c>
      <c r="P340" s="1">
        <v>9.83</v>
      </c>
      <c r="Q340" s="9">
        <f>Table1[[#This Row],[monthly_income]]*30%</f>
        <v>115500</v>
      </c>
      <c r="R340" s="1">
        <f>ROUNDUP(NPER(P340/100/12,-Q340,Table1[[#This Row],[Loan_Amount]]),0)</f>
        <v>52</v>
      </c>
      <c r="S340" s="1">
        <v>663</v>
      </c>
      <c r="T340" s="1" t="s">
        <v>20</v>
      </c>
      <c r="U340" s="1" t="str">
        <f>IF(Table1[[#This Row],[Repayment_Status]]="late","bad loan","good loan")</f>
        <v>good loan</v>
      </c>
      <c r="V340" s="1" t="str">
        <f>IF(Table1[[#This Row],[Repayment_Status]]="late","high","low")</f>
        <v>low</v>
      </c>
      <c r="W340" s="1">
        <f>(Table1[[#This Row],[monthly_EMI]]/Table1[[#This Row],[monthly_income]])*100</f>
        <v>30</v>
      </c>
      <c r="X340" s="7">
        <v>18274.849999999999</v>
      </c>
    </row>
    <row r="341" spans="1:24" x14ac:dyDescent="0.25">
      <c r="A341" s="1" t="s">
        <v>569</v>
      </c>
      <c r="B341" s="2" t="s">
        <v>765</v>
      </c>
      <c r="C341" s="5">
        <v>50</v>
      </c>
      <c r="D341" s="1" t="s">
        <v>15</v>
      </c>
      <c r="E341" s="1" t="s">
        <v>16</v>
      </c>
      <c r="F341" s="1" t="s">
        <v>31</v>
      </c>
      <c r="G341" s="1">
        <f>YEAR(Table1[[#This Row],[Application_Date]])</f>
        <v>2025</v>
      </c>
      <c r="H341" s="1" t="str">
        <f>TEXT(Table1[[#This Row],[EMI_payment_date]],"mmmm")</f>
        <v>April</v>
      </c>
      <c r="I341" s="3">
        <v>45721</v>
      </c>
      <c r="J341" s="3">
        <f>EDATE(Table1[[#This Row],[Application_Date]],1)</f>
        <v>45752</v>
      </c>
      <c r="K341" s="9">
        <v>7092000</v>
      </c>
      <c r="L341" s="9">
        <f>Table1[[#This Row],[Annual_Income]]/12</f>
        <v>591000</v>
      </c>
      <c r="M341" s="9">
        <v>7292000</v>
      </c>
      <c r="N341" s="5">
        <f ca="1">DATEDIF(Table1[[#This Row],[EMI_payment_date]],TODAY(),"m")</f>
        <v>15</v>
      </c>
      <c r="O341" s="9">
        <f>16*Table1[[#This Row],[monthly_EMI]]</f>
        <v>2836800</v>
      </c>
      <c r="P341" s="1">
        <v>9.1</v>
      </c>
      <c r="Q341" s="9">
        <f>Table1[[#This Row],[monthly_income]]*30%</f>
        <v>177300</v>
      </c>
      <c r="R341" s="1">
        <f>ROUNDUP(NPER(P341/100/12,-Q341,Table1[[#This Row],[Loan_Amount]]),0)</f>
        <v>50</v>
      </c>
      <c r="S341" s="1">
        <v>756</v>
      </c>
      <c r="T341" s="1" t="s">
        <v>20</v>
      </c>
      <c r="U341" s="1" t="str">
        <f>IF(Table1[[#This Row],[Repayment_Status]]="late","bad loan","good loan")</f>
        <v>good loan</v>
      </c>
      <c r="V341" s="1" t="str">
        <f>IF(Table1[[#This Row],[Repayment_Status]]="late","high","low")</f>
        <v>low</v>
      </c>
      <c r="W341" s="1">
        <f>(Table1[[#This Row],[monthly_EMI]]/Table1[[#This Row],[monthly_income]])*100</f>
        <v>30</v>
      </c>
      <c r="X341" s="7">
        <v>44255.05</v>
      </c>
    </row>
    <row r="342" spans="1:24" x14ac:dyDescent="0.25">
      <c r="A342" s="1" t="s">
        <v>477</v>
      </c>
      <c r="B342" s="2" t="s">
        <v>811</v>
      </c>
      <c r="C342" s="5">
        <v>49</v>
      </c>
      <c r="D342" s="1" t="s">
        <v>15</v>
      </c>
      <c r="E342" s="1" t="s">
        <v>29</v>
      </c>
      <c r="F342" s="1" t="s">
        <v>31</v>
      </c>
      <c r="G342" s="1">
        <f>YEAR(Table1[[#This Row],[Application_Date]])</f>
        <v>2025</v>
      </c>
      <c r="H342" s="1" t="str">
        <f>TEXT(Table1[[#This Row],[EMI_payment_date]],"mmmm")</f>
        <v>April</v>
      </c>
      <c r="I342" s="3">
        <v>45722</v>
      </c>
      <c r="J342" s="3">
        <f>EDATE(Table1[[#This Row],[Application_Date]],1)</f>
        <v>45753</v>
      </c>
      <c r="K342" s="9">
        <v>5988000</v>
      </c>
      <c r="L342" s="9">
        <f>Table1[[#This Row],[Annual_Income]]/12</f>
        <v>499000</v>
      </c>
      <c r="M342" s="9">
        <v>6188000</v>
      </c>
      <c r="N342" s="5">
        <f ca="1">DATEDIF(Table1[[#This Row],[EMI_payment_date]],TODAY(),"m")</f>
        <v>15</v>
      </c>
      <c r="O342" s="9">
        <f>16*Table1[[#This Row],[monthly_EMI]]</f>
        <v>2395200</v>
      </c>
      <c r="P342" s="1">
        <v>9.67</v>
      </c>
      <c r="Q342" s="9">
        <f>Table1[[#This Row],[monthly_income]]*30%</f>
        <v>149700</v>
      </c>
      <c r="R342" s="1">
        <f>ROUNDUP(NPER(P342/100/12,-Q342,Table1[[#This Row],[Loan_Amount]]),0)</f>
        <v>51</v>
      </c>
      <c r="S342" s="1">
        <v>775</v>
      </c>
      <c r="T342" s="1" t="s">
        <v>37</v>
      </c>
      <c r="U342" s="1" t="str">
        <f>IF(Table1[[#This Row],[Repayment_Status]]="late","bad loan","good loan")</f>
        <v>bad loan</v>
      </c>
      <c r="V342" s="1" t="str">
        <f>IF(Table1[[#This Row],[Repayment_Status]]="late","high","low")</f>
        <v>high</v>
      </c>
      <c r="W342" s="1">
        <f>(Table1[[#This Row],[monthly_EMI]]/Table1[[#This Row],[monthly_income]])*100</f>
        <v>30</v>
      </c>
      <c r="X342" s="7">
        <v>24534.59</v>
      </c>
    </row>
    <row r="343" spans="1:24" x14ac:dyDescent="0.25">
      <c r="A343" s="1" t="s">
        <v>236</v>
      </c>
      <c r="B343" s="2" t="s">
        <v>864</v>
      </c>
      <c r="C343" s="5">
        <v>30</v>
      </c>
      <c r="D343" s="1" t="s">
        <v>26</v>
      </c>
      <c r="E343" s="1" t="s">
        <v>29</v>
      </c>
      <c r="F343" s="1" t="s">
        <v>51</v>
      </c>
      <c r="G343" s="1">
        <f>YEAR(Table1[[#This Row],[Application_Date]])</f>
        <v>2025</v>
      </c>
      <c r="H343" s="1" t="str">
        <f>TEXT(Table1[[#This Row],[EMI_payment_date]],"mmmm")</f>
        <v>April</v>
      </c>
      <c r="I343" s="3">
        <v>45723</v>
      </c>
      <c r="J343" s="3">
        <f>EDATE(Table1[[#This Row],[Application_Date]],1)</f>
        <v>45754</v>
      </c>
      <c r="K343" s="9">
        <v>3096000</v>
      </c>
      <c r="L343" s="9">
        <f>Table1[[#This Row],[Annual_Income]]/12</f>
        <v>258000</v>
      </c>
      <c r="M343" s="9">
        <v>3296000</v>
      </c>
      <c r="N343" s="5">
        <f ca="1">DATEDIF(Table1[[#This Row],[EMI_payment_date]],TODAY(),"m")</f>
        <v>15</v>
      </c>
      <c r="O343" s="9">
        <f>16*Table1[[#This Row],[monthly_EMI]]</f>
        <v>1238400</v>
      </c>
      <c r="P343" s="1">
        <v>9.1199999999999992</v>
      </c>
      <c r="Q343" s="9">
        <f>Table1[[#This Row],[monthly_income]]*30%</f>
        <v>77400</v>
      </c>
      <c r="R343" s="1">
        <f>ROUNDUP(NPER(P343/100/12,-Q343,Table1[[#This Row],[Loan_Amount]]),0)</f>
        <v>52</v>
      </c>
      <c r="S343" s="1">
        <v>764</v>
      </c>
      <c r="T343" s="1" t="s">
        <v>37</v>
      </c>
      <c r="U343" s="1" t="str">
        <f>IF(Table1[[#This Row],[Repayment_Status]]="late","bad loan","good loan")</f>
        <v>bad loan</v>
      </c>
      <c r="V343" s="1" t="str">
        <f>IF(Table1[[#This Row],[Repayment_Status]]="late","high","low")</f>
        <v>high</v>
      </c>
      <c r="W343" s="1">
        <f>(Table1[[#This Row],[monthly_EMI]]/Table1[[#This Row],[monthly_income]])*100</f>
        <v>30</v>
      </c>
      <c r="X343" s="7">
        <v>19418.599999999999</v>
      </c>
    </row>
    <row r="344" spans="1:24" x14ac:dyDescent="0.25">
      <c r="A344" s="1" t="s">
        <v>727</v>
      </c>
      <c r="B344" s="2" t="s">
        <v>731</v>
      </c>
      <c r="C344" s="5">
        <v>47</v>
      </c>
      <c r="D344" s="1" t="s">
        <v>26</v>
      </c>
      <c r="E344" s="1" t="s">
        <v>16</v>
      </c>
      <c r="F344" s="1" t="s">
        <v>31</v>
      </c>
      <c r="G344" s="1">
        <f>YEAR(Table1[[#This Row],[Application_Date]])</f>
        <v>2025</v>
      </c>
      <c r="H344" s="1" t="str">
        <f>TEXT(Table1[[#This Row],[EMI_payment_date]],"mmmm")</f>
        <v>April</v>
      </c>
      <c r="I344" s="3">
        <v>45724</v>
      </c>
      <c r="J344" s="3">
        <f>EDATE(Table1[[#This Row],[Application_Date]],1)</f>
        <v>45755</v>
      </c>
      <c r="K344" s="9">
        <v>8988000</v>
      </c>
      <c r="L344" s="9">
        <f>Table1[[#This Row],[Annual_Income]]/12</f>
        <v>749000</v>
      </c>
      <c r="M344" s="9">
        <v>9188000</v>
      </c>
      <c r="N344" s="5">
        <f ca="1">DATEDIF(Table1[[#This Row],[EMI_payment_date]],TODAY(),"m")</f>
        <v>15</v>
      </c>
      <c r="O344" s="9">
        <f>16*Table1[[#This Row],[monthly_EMI]]</f>
        <v>3595200</v>
      </c>
      <c r="P344" s="1">
        <v>9.92</v>
      </c>
      <c r="Q344" s="9">
        <f>Table1[[#This Row],[monthly_income]]*30%</f>
        <v>224700</v>
      </c>
      <c r="R344" s="1">
        <f>ROUNDUP(NPER(P344/100/12,-Q344,Table1[[#This Row],[Loan_Amount]]),0)</f>
        <v>51</v>
      </c>
      <c r="S344" s="1">
        <v>638</v>
      </c>
      <c r="T344" s="1" t="s">
        <v>20</v>
      </c>
      <c r="U344" s="1" t="str">
        <f>IF(Table1[[#This Row],[Repayment_Status]]="late","bad loan","good loan")</f>
        <v>good loan</v>
      </c>
      <c r="V344" s="1" t="str">
        <f>IF(Table1[[#This Row],[Repayment_Status]]="late","high","low")</f>
        <v>low</v>
      </c>
      <c r="W344" s="1">
        <f>(Table1[[#This Row],[monthly_EMI]]/Table1[[#This Row],[monthly_income]])*100</f>
        <v>30</v>
      </c>
      <c r="X344" s="7">
        <v>20401.43</v>
      </c>
    </row>
    <row r="345" spans="1:24" x14ac:dyDescent="0.25">
      <c r="A345" s="1" t="s">
        <v>132</v>
      </c>
      <c r="B345" s="2" t="s">
        <v>766</v>
      </c>
      <c r="C345" s="5">
        <v>33</v>
      </c>
      <c r="D345" s="1" t="s">
        <v>15</v>
      </c>
      <c r="E345" s="1" t="s">
        <v>36</v>
      </c>
      <c r="F345" s="1" t="s">
        <v>51</v>
      </c>
      <c r="G345" s="1">
        <f>YEAR(Table1[[#This Row],[Application_Date]])</f>
        <v>2025</v>
      </c>
      <c r="H345" s="1" t="str">
        <f>TEXT(Table1[[#This Row],[EMI_payment_date]],"mmmm")</f>
        <v>April</v>
      </c>
      <c r="I345" s="3">
        <v>45725</v>
      </c>
      <c r="J345" s="3">
        <f>EDATE(Table1[[#This Row],[Application_Date]],1)</f>
        <v>45756</v>
      </c>
      <c r="K345" s="9">
        <v>1848000</v>
      </c>
      <c r="L345" s="9">
        <f>Table1[[#This Row],[Annual_Income]]/12</f>
        <v>154000</v>
      </c>
      <c r="M345" s="9">
        <v>2048000</v>
      </c>
      <c r="N345" s="5">
        <f ca="1">DATEDIF(Table1[[#This Row],[EMI_payment_date]],TODAY(),"m")</f>
        <v>15</v>
      </c>
      <c r="O345" s="9">
        <f>16*Table1[[#This Row],[monthly_EMI]]</f>
        <v>739200</v>
      </c>
      <c r="P345" s="1">
        <v>9.94</v>
      </c>
      <c r="Q345" s="9">
        <f>Table1[[#This Row],[monthly_income]]*30%</f>
        <v>46200</v>
      </c>
      <c r="R345" s="1">
        <f>ROUNDUP(NPER(P345/100/12,-Q345,Table1[[#This Row],[Loan_Amount]]),0)</f>
        <v>56</v>
      </c>
      <c r="S345" s="1">
        <v>624</v>
      </c>
      <c r="T345" s="1" t="s">
        <v>37</v>
      </c>
      <c r="U345" s="1" t="str">
        <f>IF(Table1[[#This Row],[Repayment_Status]]="late","bad loan","good loan")</f>
        <v>bad loan</v>
      </c>
      <c r="V345" s="1" t="str">
        <f>IF(Table1[[#This Row],[Repayment_Status]]="late","high","low")</f>
        <v>high</v>
      </c>
      <c r="W345" s="1">
        <f>(Table1[[#This Row],[monthly_EMI]]/Table1[[#This Row],[monthly_income]])*100</f>
        <v>30</v>
      </c>
      <c r="X345" s="7">
        <v>21085.09</v>
      </c>
    </row>
    <row r="346" spans="1:24" x14ac:dyDescent="0.25">
      <c r="A346" s="1" t="s">
        <v>327</v>
      </c>
      <c r="B346" s="2" t="s">
        <v>765</v>
      </c>
      <c r="C346" s="5">
        <v>40</v>
      </c>
      <c r="D346" s="1" t="s">
        <v>15</v>
      </c>
      <c r="E346" s="1" t="s">
        <v>29</v>
      </c>
      <c r="F346" s="1" t="s">
        <v>51</v>
      </c>
      <c r="G346" s="1">
        <f>YEAR(Table1[[#This Row],[Application_Date]])</f>
        <v>2025</v>
      </c>
      <c r="H346" s="1" t="str">
        <f>TEXT(Table1[[#This Row],[EMI_payment_date]],"mmmm")</f>
        <v>April</v>
      </c>
      <c r="I346" s="3">
        <v>45726</v>
      </c>
      <c r="J346" s="3">
        <f>EDATE(Table1[[#This Row],[Application_Date]],1)</f>
        <v>45757</v>
      </c>
      <c r="K346" s="9">
        <v>4188000</v>
      </c>
      <c r="L346" s="9">
        <f>Table1[[#This Row],[Annual_Income]]/12</f>
        <v>349000</v>
      </c>
      <c r="M346" s="9">
        <v>4388000</v>
      </c>
      <c r="N346" s="5">
        <f ca="1">DATEDIF(Table1[[#This Row],[EMI_payment_date]],TODAY(),"m")</f>
        <v>15</v>
      </c>
      <c r="O346" s="9">
        <f>16*Table1[[#This Row],[monthly_EMI]]</f>
        <v>1675200</v>
      </c>
      <c r="P346" s="1">
        <v>7.65</v>
      </c>
      <c r="Q346" s="9">
        <f>Table1[[#This Row],[monthly_income]]*30%</f>
        <v>104700</v>
      </c>
      <c r="R346" s="1">
        <f>ROUNDUP(NPER(P346/100/12,-Q346,Table1[[#This Row],[Loan_Amount]]),0)</f>
        <v>49</v>
      </c>
      <c r="S346" s="1">
        <v>765</v>
      </c>
      <c r="T346" s="1" t="s">
        <v>37</v>
      </c>
      <c r="U346" s="1" t="str">
        <f>IF(Table1[[#This Row],[Repayment_Status]]="late","bad loan","good loan")</f>
        <v>bad loan</v>
      </c>
      <c r="V346" s="1" t="str">
        <f>IF(Table1[[#This Row],[Repayment_Status]]="late","high","low")</f>
        <v>high</v>
      </c>
      <c r="W346" s="1">
        <f>(Table1[[#This Row],[monthly_EMI]]/Table1[[#This Row],[monthly_income]])*100</f>
        <v>30</v>
      </c>
      <c r="X346" s="7">
        <v>9212.74</v>
      </c>
    </row>
    <row r="347" spans="1:24" x14ac:dyDescent="0.25">
      <c r="A347" s="1" t="s">
        <v>609</v>
      </c>
      <c r="B347" s="2" t="s">
        <v>792</v>
      </c>
      <c r="C347" s="5">
        <v>59</v>
      </c>
      <c r="D347" s="1" t="s">
        <v>15</v>
      </c>
      <c r="E347" s="1" t="s">
        <v>27</v>
      </c>
      <c r="F347" s="1" t="s">
        <v>22</v>
      </c>
      <c r="G347" s="1">
        <f>YEAR(Table1[[#This Row],[Application_Date]])</f>
        <v>2025</v>
      </c>
      <c r="H347" s="1" t="str">
        <f>TEXT(Table1[[#This Row],[EMI_payment_date]],"mmmm")</f>
        <v>April</v>
      </c>
      <c r="I347" s="3">
        <v>45727</v>
      </c>
      <c r="J347" s="3">
        <f>EDATE(Table1[[#This Row],[Application_Date]],1)</f>
        <v>45758</v>
      </c>
      <c r="K347" s="9">
        <v>7572000</v>
      </c>
      <c r="L347" s="9">
        <f>Table1[[#This Row],[Annual_Income]]/12</f>
        <v>631000</v>
      </c>
      <c r="M347" s="9">
        <v>7772000</v>
      </c>
      <c r="N347" s="5">
        <f ca="1">DATEDIF(Table1[[#This Row],[EMI_payment_date]],TODAY(),"m")</f>
        <v>15</v>
      </c>
      <c r="O347" s="9">
        <f>16*Table1[[#This Row],[monthly_EMI]]</f>
        <v>3028800</v>
      </c>
      <c r="P347" s="1">
        <v>9.16</v>
      </c>
      <c r="Q347" s="9">
        <f>Table1[[#This Row],[monthly_income]]*30%</f>
        <v>189300</v>
      </c>
      <c r="R347" s="1">
        <f>ROUNDUP(NPER(P347/100/12,-Q347,Table1[[#This Row],[Loan_Amount]]),0)</f>
        <v>50</v>
      </c>
      <c r="S347" s="1">
        <v>794</v>
      </c>
      <c r="T347" s="1" t="s">
        <v>20</v>
      </c>
      <c r="U347" s="1" t="str">
        <f>IF(Table1[[#This Row],[Repayment_Status]]="late","bad loan","good loan")</f>
        <v>good loan</v>
      </c>
      <c r="V347" s="1" t="str">
        <f>IF(Table1[[#This Row],[Repayment_Status]]="late","high","low")</f>
        <v>low</v>
      </c>
      <c r="W347" s="1">
        <f>(Table1[[#This Row],[monthly_EMI]]/Table1[[#This Row],[monthly_income]])*100</f>
        <v>30</v>
      </c>
      <c r="X347" s="7">
        <v>19796.52</v>
      </c>
    </row>
    <row r="348" spans="1:24" x14ac:dyDescent="0.25">
      <c r="A348" s="1" t="s">
        <v>634</v>
      </c>
      <c r="B348" s="2" t="s">
        <v>767</v>
      </c>
      <c r="C348" s="5">
        <v>25</v>
      </c>
      <c r="D348" s="1" t="s">
        <v>15</v>
      </c>
      <c r="E348" s="1" t="s">
        <v>27</v>
      </c>
      <c r="F348" s="1" t="s">
        <v>31</v>
      </c>
      <c r="G348" s="1">
        <f>YEAR(Table1[[#This Row],[Application_Date]])</f>
        <v>2025</v>
      </c>
      <c r="H348" s="1" t="str">
        <f>TEXT(Table1[[#This Row],[EMI_payment_date]],"mmmm")</f>
        <v>April</v>
      </c>
      <c r="I348" s="3">
        <v>45728</v>
      </c>
      <c r="J348" s="3">
        <f>EDATE(Table1[[#This Row],[Application_Date]],1)</f>
        <v>45759</v>
      </c>
      <c r="K348" s="9">
        <v>7872000</v>
      </c>
      <c r="L348" s="9">
        <f>Table1[[#This Row],[Annual_Income]]/12</f>
        <v>656000</v>
      </c>
      <c r="M348" s="9">
        <v>8072000</v>
      </c>
      <c r="N348" s="5">
        <f ca="1">DATEDIF(Table1[[#This Row],[EMI_payment_date]],TODAY(),"m")</f>
        <v>15</v>
      </c>
      <c r="O348" s="9">
        <f>16*Table1[[#This Row],[monthly_EMI]]</f>
        <v>3148800</v>
      </c>
      <c r="P348" s="1">
        <v>8.86</v>
      </c>
      <c r="Q348" s="9">
        <f>Table1[[#This Row],[monthly_income]]*30%</f>
        <v>196800</v>
      </c>
      <c r="R348" s="1">
        <f>ROUNDUP(NPER(P348/100/12,-Q348,Table1[[#This Row],[Loan_Amount]]),0)</f>
        <v>50</v>
      </c>
      <c r="S348" s="1">
        <v>741</v>
      </c>
      <c r="T348" s="1" t="s">
        <v>20</v>
      </c>
      <c r="U348" s="1" t="str">
        <f>IF(Table1[[#This Row],[Repayment_Status]]="late","bad loan","good loan")</f>
        <v>good loan</v>
      </c>
      <c r="V348" s="1" t="str">
        <f>IF(Table1[[#This Row],[Repayment_Status]]="late","high","low")</f>
        <v>low</v>
      </c>
      <c r="W348" s="1">
        <f>(Table1[[#This Row],[monthly_EMI]]/Table1[[#This Row],[monthly_income]])*100</f>
        <v>30</v>
      </c>
      <c r="X348" s="7">
        <v>36110.6</v>
      </c>
    </row>
    <row r="349" spans="1:24" x14ac:dyDescent="0.25">
      <c r="A349" s="1" t="s">
        <v>329</v>
      </c>
      <c r="B349" s="2" t="s">
        <v>780</v>
      </c>
      <c r="C349" s="5">
        <v>40</v>
      </c>
      <c r="D349" s="1" t="s">
        <v>15</v>
      </c>
      <c r="E349" s="1" t="s">
        <v>29</v>
      </c>
      <c r="F349" s="1" t="s">
        <v>22</v>
      </c>
      <c r="G349" s="1">
        <f>YEAR(Table1[[#This Row],[Application_Date]])</f>
        <v>2025</v>
      </c>
      <c r="H349" s="1" t="str">
        <f>TEXT(Table1[[#This Row],[EMI_payment_date]],"mmmm")</f>
        <v>April</v>
      </c>
      <c r="I349" s="3">
        <v>45729</v>
      </c>
      <c r="J349" s="3">
        <f>EDATE(Table1[[#This Row],[Application_Date]],1)</f>
        <v>45760</v>
      </c>
      <c r="K349" s="9">
        <v>4212000</v>
      </c>
      <c r="L349" s="9">
        <f>Table1[[#This Row],[Annual_Income]]/12</f>
        <v>351000</v>
      </c>
      <c r="M349" s="9">
        <v>4412000</v>
      </c>
      <c r="N349" s="5">
        <f ca="1">DATEDIF(Table1[[#This Row],[EMI_payment_date]],TODAY(),"m")</f>
        <v>15</v>
      </c>
      <c r="O349" s="9">
        <f>16*Table1[[#This Row],[monthly_EMI]]</f>
        <v>1684800</v>
      </c>
      <c r="P349" s="1">
        <v>5.41</v>
      </c>
      <c r="Q349" s="9">
        <f>Table1[[#This Row],[monthly_income]]*30%</f>
        <v>105300</v>
      </c>
      <c r="R349" s="1">
        <f>ROUNDUP(NPER(P349/100/12,-Q349,Table1[[#This Row],[Loan_Amount]]),0)</f>
        <v>47</v>
      </c>
      <c r="S349" s="1">
        <v>752</v>
      </c>
      <c r="T349" s="1" t="s">
        <v>20</v>
      </c>
      <c r="U349" s="1" t="str">
        <f>IF(Table1[[#This Row],[Repayment_Status]]="late","bad loan","good loan")</f>
        <v>good loan</v>
      </c>
      <c r="V349" s="1" t="str">
        <f>IF(Table1[[#This Row],[Repayment_Status]]="late","high","low")</f>
        <v>low</v>
      </c>
      <c r="W349" s="1">
        <f>(Table1[[#This Row],[monthly_EMI]]/Table1[[#This Row],[monthly_income]])*100</f>
        <v>30</v>
      </c>
      <c r="X349" s="7">
        <v>10714.45</v>
      </c>
    </row>
    <row r="350" spans="1:24" x14ac:dyDescent="0.25">
      <c r="A350" s="1" t="s">
        <v>645</v>
      </c>
      <c r="B350" s="2" t="s">
        <v>880</v>
      </c>
      <c r="C350" s="5">
        <v>48</v>
      </c>
      <c r="D350" s="1" t="s">
        <v>15</v>
      </c>
      <c r="E350" s="1" t="s">
        <v>16</v>
      </c>
      <c r="F350" s="1" t="s">
        <v>51</v>
      </c>
      <c r="G350" s="1">
        <f>YEAR(Table1[[#This Row],[Application_Date]])</f>
        <v>2025</v>
      </c>
      <c r="H350" s="1" t="str">
        <f>TEXT(Table1[[#This Row],[EMI_payment_date]],"mmmm")</f>
        <v>April</v>
      </c>
      <c r="I350" s="3">
        <v>45730</v>
      </c>
      <c r="J350" s="3">
        <f>EDATE(Table1[[#This Row],[Application_Date]],1)</f>
        <v>45761</v>
      </c>
      <c r="K350" s="9">
        <v>8004000</v>
      </c>
      <c r="L350" s="9">
        <f>Table1[[#This Row],[Annual_Income]]/12</f>
        <v>667000</v>
      </c>
      <c r="M350" s="9">
        <v>8204000</v>
      </c>
      <c r="N350" s="5">
        <f ca="1">DATEDIF(Table1[[#This Row],[EMI_payment_date]],TODAY(),"m")</f>
        <v>15</v>
      </c>
      <c r="O350" s="9">
        <f>16*Table1[[#This Row],[monthly_EMI]]</f>
        <v>3201600</v>
      </c>
      <c r="P350" s="1">
        <v>5.87</v>
      </c>
      <c r="Q350" s="9">
        <f>Table1[[#This Row],[monthly_income]]*30%</f>
        <v>200100</v>
      </c>
      <c r="R350" s="1">
        <f>ROUNDUP(NPER(P350/100/12,-Q350,Table1[[#This Row],[Loan_Amount]]),0)</f>
        <v>46</v>
      </c>
      <c r="S350" s="1">
        <v>626</v>
      </c>
      <c r="T350" s="1" t="s">
        <v>20</v>
      </c>
      <c r="U350" s="1" t="str">
        <f>IF(Table1[[#This Row],[Repayment_Status]]="late","bad loan","good loan")</f>
        <v>good loan</v>
      </c>
      <c r="V350" s="1" t="str">
        <f>IF(Table1[[#This Row],[Repayment_Status]]="late","high","low")</f>
        <v>low</v>
      </c>
      <c r="W350" s="1">
        <f>(Table1[[#This Row],[monthly_EMI]]/Table1[[#This Row],[monthly_income]])*100</f>
        <v>30</v>
      </c>
      <c r="X350" s="7">
        <v>23016.87</v>
      </c>
    </row>
    <row r="351" spans="1:24" x14ac:dyDescent="0.25">
      <c r="A351" s="1" t="s">
        <v>542</v>
      </c>
      <c r="B351" s="2" t="s">
        <v>731</v>
      </c>
      <c r="C351" s="5">
        <v>22</v>
      </c>
      <c r="D351" s="1" t="s">
        <v>26</v>
      </c>
      <c r="E351" s="1" t="s">
        <v>16</v>
      </c>
      <c r="F351" s="1" t="s">
        <v>51</v>
      </c>
      <c r="G351" s="1">
        <f>YEAR(Table1[[#This Row],[Application_Date]])</f>
        <v>2025</v>
      </c>
      <c r="H351" s="1" t="str">
        <f>TEXT(Table1[[#This Row],[EMI_payment_date]],"mmmm")</f>
        <v>April</v>
      </c>
      <c r="I351" s="3">
        <v>45731</v>
      </c>
      <c r="J351" s="3">
        <f>EDATE(Table1[[#This Row],[Application_Date]],1)</f>
        <v>45762</v>
      </c>
      <c r="K351" s="9">
        <v>6768000</v>
      </c>
      <c r="L351" s="9">
        <f>Table1[[#This Row],[Annual_Income]]/12</f>
        <v>564000</v>
      </c>
      <c r="M351" s="9">
        <v>6968000</v>
      </c>
      <c r="N351" s="5">
        <f ca="1">DATEDIF(Table1[[#This Row],[EMI_payment_date]],TODAY(),"m")</f>
        <v>15</v>
      </c>
      <c r="O351" s="9">
        <f>16*Table1[[#This Row],[monthly_EMI]]</f>
        <v>2707200</v>
      </c>
      <c r="P351" s="1">
        <v>8.16</v>
      </c>
      <c r="Q351" s="9">
        <f>Table1[[#This Row],[monthly_income]]*30%</f>
        <v>169200</v>
      </c>
      <c r="R351" s="1">
        <f>ROUNDUP(NPER(P351/100/12,-Q351,Table1[[#This Row],[Loan_Amount]]),0)</f>
        <v>49</v>
      </c>
      <c r="S351" s="1">
        <v>809</v>
      </c>
      <c r="T351" s="1" t="s">
        <v>20</v>
      </c>
      <c r="U351" s="1" t="str">
        <f>IF(Table1[[#This Row],[Repayment_Status]]="late","bad loan","good loan")</f>
        <v>good loan</v>
      </c>
      <c r="V351" s="1" t="str">
        <f>IF(Table1[[#This Row],[Repayment_Status]]="late","high","low")</f>
        <v>low</v>
      </c>
      <c r="W351" s="1">
        <f>(Table1[[#This Row],[monthly_EMI]]/Table1[[#This Row],[monthly_income]])*100</f>
        <v>30</v>
      </c>
      <c r="X351" s="7">
        <v>31954.02</v>
      </c>
    </row>
    <row r="352" spans="1:24" x14ac:dyDescent="0.25">
      <c r="A352" s="1" t="s">
        <v>582</v>
      </c>
      <c r="B352" s="2" t="s">
        <v>872</v>
      </c>
      <c r="C352" s="5">
        <v>50</v>
      </c>
      <c r="D352" s="1" t="s">
        <v>15</v>
      </c>
      <c r="E352" s="1" t="s">
        <v>24</v>
      </c>
      <c r="F352" s="1" t="s">
        <v>31</v>
      </c>
      <c r="G352" s="1">
        <f>YEAR(Table1[[#This Row],[Application_Date]])</f>
        <v>2025</v>
      </c>
      <c r="H352" s="1" t="str">
        <f>TEXT(Table1[[#This Row],[EMI_payment_date]],"mmmm")</f>
        <v>April</v>
      </c>
      <c r="I352" s="3">
        <v>45732</v>
      </c>
      <c r="J352" s="3">
        <f>EDATE(Table1[[#This Row],[Application_Date]],1)</f>
        <v>45763</v>
      </c>
      <c r="K352" s="9">
        <v>7248000</v>
      </c>
      <c r="L352" s="9">
        <f>Table1[[#This Row],[Annual_Income]]/12</f>
        <v>604000</v>
      </c>
      <c r="M352" s="9">
        <v>7448000</v>
      </c>
      <c r="N352" s="5">
        <f ca="1">DATEDIF(Table1[[#This Row],[EMI_payment_date]],TODAY(),"m")</f>
        <v>15</v>
      </c>
      <c r="O352" s="9">
        <f>16*Table1[[#This Row],[monthly_EMI]]</f>
        <v>2899200</v>
      </c>
      <c r="P352" s="1">
        <v>8.2200000000000006</v>
      </c>
      <c r="Q352" s="9">
        <f>Table1[[#This Row],[monthly_income]]*30%</f>
        <v>181200</v>
      </c>
      <c r="R352" s="1">
        <f>ROUNDUP(NPER(P352/100/12,-Q352,Table1[[#This Row],[Loan_Amount]]),0)</f>
        <v>49</v>
      </c>
      <c r="S352" s="1">
        <v>782</v>
      </c>
      <c r="T352" s="1" t="s">
        <v>20</v>
      </c>
      <c r="U352" s="1" t="str">
        <f>IF(Table1[[#This Row],[Repayment_Status]]="late","bad loan","good loan")</f>
        <v>good loan</v>
      </c>
      <c r="V352" s="1" t="str">
        <f>IF(Table1[[#This Row],[Repayment_Status]]="late","high","low")</f>
        <v>low</v>
      </c>
      <c r="W352" s="1">
        <f>(Table1[[#This Row],[monthly_EMI]]/Table1[[#This Row],[monthly_income]])*100</f>
        <v>30</v>
      </c>
      <c r="X352" s="7">
        <v>30344.2</v>
      </c>
    </row>
    <row r="353" spans="1:24" x14ac:dyDescent="0.25">
      <c r="A353" s="1" t="s">
        <v>107</v>
      </c>
      <c r="B353" s="2" t="s">
        <v>796</v>
      </c>
      <c r="C353" s="5">
        <v>29</v>
      </c>
      <c r="D353" s="1" t="s">
        <v>15</v>
      </c>
      <c r="E353" s="1" t="s">
        <v>36</v>
      </c>
      <c r="F353" s="1" t="s">
        <v>51</v>
      </c>
      <c r="G353" s="1">
        <f>YEAR(Table1[[#This Row],[Application_Date]])</f>
        <v>2025</v>
      </c>
      <c r="H353" s="1" t="str">
        <f>TEXT(Table1[[#This Row],[EMI_payment_date]],"mmmm")</f>
        <v>April</v>
      </c>
      <c r="I353" s="3">
        <v>45733</v>
      </c>
      <c r="J353" s="3">
        <f>EDATE(Table1[[#This Row],[Application_Date]],1)</f>
        <v>45764</v>
      </c>
      <c r="K353" s="9">
        <v>1548000</v>
      </c>
      <c r="L353" s="9">
        <f>Table1[[#This Row],[Annual_Income]]/12</f>
        <v>129000</v>
      </c>
      <c r="M353" s="9">
        <v>1748000</v>
      </c>
      <c r="N353" s="5">
        <f ca="1">DATEDIF(Table1[[#This Row],[EMI_payment_date]],TODAY(),"m")</f>
        <v>15</v>
      </c>
      <c r="O353" s="9">
        <f>16*Table1[[#This Row],[monthly_EMI]]</f>
        <v>619200</v>
      </c>
      <c r="P353" s="1">
        <v>5.98</v>
      </c>
      <c r="Q353" s="9">
        <f>Table1[[#This Row],[monthly_income]]*30%</f>
        <v>38700</v>
      </c>
      <c r="R353" s="1">
        <f>ROUNDUP(NPER(P353/100/12,-Q353,Table1[[#This Row],[Loan_Amount]]),0)</f>
        <v>52</v>
      </c>
      <c r="S353" s="1">
        <v>611</v>
      </c>
      <c r="T353" s="1" t="s">
        <v>20</v>
      </c>
      <c r="U353" s="1" t="str">
        <f>IF(Table1[[#This Row],[Repayment_Status]]="late","bad loan","good loan")</f>
        <v>good loan</v>
      </c>
      <c r="V353" s="1" t="str">
        <f>IF(Table1[[#This Row],[Repayment_Status]]="late","high","low")</f>
        <v>low</v>
      </c>
      <c r="W353" s="1">
        <f>(Table1[[#This Row],[monthly_EMI]]/Table1[[#This Row],[monthly_income]])*100</f>
        <v>30</v>
      </c>
      <c r="X353" s="7">
        <v>18068.900000000001</v>
      </c>
    </row>
    <row r="354" spans="1:24" x14ac:dyDescent="0.25">
      <c r="A354" s="1" t="s">
        <v>253</v>
      </c>
      <c r="B354" s="2" t="s">
        <v>871</v>
      </c>
      <c r="C354" s="5">
        <v>42</v>
      </c>
      <c r="D354" s="1" t="s">
        <v>26</v>
      </c>
      <c r="E354" s="1" t="s">
        <v>33</v>
      </c>
      <c r="F354" s="1" t="s">
        <v>22</v>
      </c>
      <c r="G354" s="1">
        <f>YEAR(Table1[[#This Row],[Application_Date]])</f>
        <v>2025</v>
      </c>
      <c r="H354" s="1" t="str">
        <f>TEXT(Table1[[#This Row],[EMI_payment_date]],"mmmm")</f>
        <v>April</v>
      </c>
      <c r="I354" s="3">
        <v>45734</v>
      </c>
      <c r="J354" s="3">
        <f>EDATE(Table1[[#This Row],[Application_Date]],1)</f>
        <v>45765</v>
      </c>
      <c r="K354" s="9">
        <v>3300000</v>
      </c>
      <c r="L354" s="9">
        <f>Table1[[#This Row],[Annual_Income]]/12</f>
        <v>275000</v>
      </c>
      <c r="M354" s="9">
        <v>3500000</v>
      </c>
      <c r="N354" s="5">
        <f ca="1">DATEDIF(Table1[[#This Row],[EMI_payment_date]],TODAY(),"m")</f>
        <v>15</v>
      </c>
      <c r="O354" s="9">
        <f>16*Table1[[#This Row],[monthly_EMI]]</f>
        <v>1320000</v>
      </c>
      <c r="P354" s="1">
        <v>8.7899999999999991</v>
      </c>
      <c r="Q354" s="9">
        <f>Table1[[#This Row],[monthly_income]]*30%</f>
        <v>82500</v>
      </c>
      <c r="R354" s="1">
        <f>ROUNDUP(NPER(P354/100/12,-Q354,Table1[[#This Row],[Loan_Amount]]),0)</f>
        <v>51</v>
      </c>
      <c r="S354" s="1">
        <v>690</v>
      </c>
      <c r="T354" s="1" t="s">
        <v>37</v>
      </c>
      <c r="U354" s="1" t="str">
        <f>IF(Table1[[#This Row],[Repayment_Status]]="late","bad loan","good loan")</f>
        <v>bad loan</v>
      </c>
      <c r="V354" s="1" t="str">
        <f>IF(Table1[[#This Row],[Repayment_Status]]="late","high","low")</f>
        <v>high</v>
      </c>
      <c r="W354" s="1">
        <f>(Table1[[#This Row],[monthly_EMI]]/Table1[[#This Row],[monthly_income]])*100</f>
        <v>30</v>
      </c>
      <c r="X354" s="7">
        <v>14705.92</v>
      </c>
    </row>
    <row r="355" spans="1:24" x14ac:dyDescent="0.25">
      <c r="A355" s="1" t="s">
        <v>158</v>
      </c>
      <c r="B355" s="2" t="s">
        <v>827</v>
      </c>
      <c r="C355" s="5">
        <v>22</v>
      </c>
      <c r="D355" s="1" t="s">
        <v>15</v>
      </c>
      <c r="E355" s="1" t="s">
        <v>33</v>
      </c>
      <c r="F355" s="1" t="s">
        <v>17</v>
      </c>
      <c r="G355" s="1">
        <f>YEAR(Table1[[#This Row],[Application_Date]])</f>
        <v>2025</v>
      </c>
      <c r="H355" s="1" t="str">
        <f>TEXT(Table1[[#This Row],[EMI_payment_date]],"mmmm")</f>
        <v>April</v>
      </c>
      <c r="I355" s="3">
        <v>45735</v>
      </c>
      <c r="J355" s="3">
        <f>EDATE(Table1[[#This Row],[Application_Date]],1)</f>
        <v>45766</v>
      </c>
      <c r="K355" s="9">
        <v>2160000</v>
      </c>
      <c r="L355" s="9">
        <f>Table1[[#This Row],[Annual_Income]]/12</f>
        <v>180000</v>
      </c>
      <c r="M355" s="9">
        <v>2360000</v>
      </c>
      <c r="N355" s="5">
        <f ca="1">DATEDIF(Table1[[#This Row],[EMI_payment_date]],TODAY(),"m")</f>
        <v>15</v>
      </c>
      <c r="O355" s="9">
        <f>16*Table1[[#This Row],[monthly_EMI]]</f>
        <v>864000</v>
      </c>
      <c r="P355" s="1">
        <v>7.86</v>
      </c>
      <c r="Q355" s="9">
        <f>Table1[[#This Row],[monthly_income]]*30%</f>
        <v>54000</v>
      </c>
      <c r="R355" s="1">
        <f>ROUNDUP(NPER(P355/100/12,-Q355,Table1[[#This Row],[Loan_Amount]]),0)</f>
        <v>52</v>
      </c>
      <c r="S355" s="1">
        <v>814</v>
      </c>
      <c r="T355" s="1" t="s">
        <v>20</v>
      </c>
      <c r="U355" s="1" t="str">
        <f>IF(Table1[[#This Row],[Repayment_Status]]="late","bad loan","good loan")</f>
        <v>good loan</v>
      </c>
      <c r="V355" s="1" t="str">
        <f>IF(Table1[[#This Row],[Repayment_Status]]="late","high","low")</f>
        <v>low</v>
      </c>
      <c r="W355" s="1">
        <f>(Table1[[#This Row],[monthly_EMI]]/Table1[[#This Row],[monthly_income]])*100</f>
        <v>30</v>
      </c>
      <c r="X355" s="7">
        <v>32223.61</v>
      </c>
    </row>
    <row r="356" spans="1:24" x14ac:dyDescent="0.25">
      <c r="A356" s="1" t="s">
        <v>102</v>
      </c>
      <c r="B356" s="2" t="s">
        <v>791</v>
      </c>
      <c r="C356" s="5">
        <v>55</v>
      </c>
      <c r="D356" s="1" t="s">
        <v>26</v>
      </c>
      <c r="E356" s="1" t="s">
        <v>27</v>
      </c>
      <c r="F356" s="1" t="s">
        <v>22</v>
      </c>
      <c r="G356" s="1">
        <f>YEAR(Table1[[#This Row],[Application_Date]])</f>
        <v>2025</v>
      </c>
      <c r="H356" s="1" t="str">
        <f>TEXT(Table1[[#This Row],[EMI_payment_date]],"mmmm")</f>
        <v>April</v>
      </c>
      <c r="I356" s="3">
        <v>45736</v>
      </c>
      <c r="J356" s="3">
        <f>EDATE(Table1[[#This Row],[Application_Date]],1)</f>
        <v>45767</v>
      </c>
      <c r="K356" s="9">
        <v>1476000</v>
      </c>
      <c r="L356" s="9">
        <f>Table1[[#This Row],[Annual_Income]]/12</f>
        <v>123000</v>
      </c>
      <c r="M356" s="9">
        <v>1676000</v>
      </c>
      <c r="N356" s="5">
        <f ca="1">DATEDIF(Table1[[#This Row],[EMI_payment_date]],TODAY(),"m")</f>
        <v>15</v>
      </c>
      <c r="O356" s="9">
        <f>16*Table1[[#This Row],[monthly_EMI]]</f>
        <v>590400</v>
      </c>
      <c r="P356" s="1">
        <v>8.25</v>
      </c>
      <c r="Q356" s="9">
        <f>Table1[[#This Row],[monthly_income]]*30%</f>
        <v>36900</v>
      </c>
      <c r="R356" s="1">
        <f>ROUNDUP(NPER(P356/100/12,-Q356,Table1[[#This Row],[Loan_Amount]]),0)</f>
        <v>55</v>
      </c>
      <c r="S356" s="1">
        <v>754</v>
      </c>
      <c r="T356" s="1" t="s">
        <v>20</v>
      </c>
      <c r="U356" s="1" t="str">
        <f>IF(Table1[[#This Row],[Repayment_Status]]="late","bad loan","good loan")</f>
        <v>good loan</v>
      </c>
      <c r="V356" s="1" t="str">
        <f>IF(Table1[[#This Row],[Repayment_Status]]="late","high","low")</f>
        <v>low</v>
      </c>
      <c r="W356" s="1">
        <f>(Table1[[#This Row],[monthly_EMI]]/Table1[[#This Row],[monthly_income]])*100</f>
        <v>30</v>
      </c>
      <c r="X356" s="7">
        <v>12188.83</v>
      </c>
    </row>
    <row r="357" spans="1:24" x14ac:dyDescent="0.25">
      <c r="A357" s="1" t="s">
        <v>541</v>
      </c>
      <c r="B357" s="2" t="s">
        <v>913</v>
      </c>
      <c r="C357" s="5">
        <v>45</v>
      </c>
      <c r="D357" s="1" t="s">
        <v>15</v>
      </c>
      <c r="E357" s="1" t="s">
        <v>36</v>
      </c>
      <c r="F357" s="1" t="s">
        <v>31</v>
      </c>
      <c r="G357" s="1">
        <f>YEAR(Table1[[#This Row],[Application_Date]])</f>
        <v>2025</v>
      </c>
      <c r="H357" s="1" t="str">
        <f>TEXT(Table1[[#This Row],[EMI_payment_date]],"mmmm")</f>
        <v>April</v>
      </c>
      <c r="I357" s="3">
        <v>45737</v>
      </c>
      <c r="J357" s="3">
        <f>EDATE(Table1[[#This Row],[Application_Date]],1)</f>
        <v>45768</v>
      </c>
      <c r="K357" s="9">
        <v>6756000</v>
      </c>
      <c r="L357" s="9">
        <f>Table1[[#This Row],[Annual_Income]]/12</f>
        <v>563000</v>
      </c>
      <c r="M357" s="9">
        <v>6956000</v>
      </c>
      <c r="N357" s="5">
        <f ca="1">DATEDIF(Table1[[#This Row],[EMI_payment_date]],TODAY(),"m")</f>
        <v>15</v>
      </c>
      <c r="O357" s="9">
        <f>16*Table1[[#This Row],[monthly_EMI]]</f>
        <v>2702400</v>
      </c>
      <c r="P357" s="1">
        <v>8.8000000000000007</v>
      </c>
      <c r="Q357" s="9">
        <f>Table1[[#This Row],[monthly_income]]*30%</f>
        <v>168900</v>
      </c>
      <c r="R357" s="1">
        <f>ROUNDUP(NPER(P357/100/12,-Q357,Table1[[#This Row],[Loan_Amount]]),0)</f>
        <v>50</v>
      </c>
      <c r="S357" s="1">
        <v>691</v>
      </c>
      <c r="T357" s="1" t="s">
        <v>20</v>
      </c>
      <c r="U357" s="1" t="str">
        <f>IF(Table1[[#This Row],[Repayment_Status]]="late","bad loan","good loan")</f>
        <v>good loan</v>
      </c>
      <c r="V357" s="1" t="str">
        <f>IF(Table1[[#This Row],[Repayment_Status]]="late","high","low")</f>
        <v>low</v>
      </c>
      <c r="W357" s="1">
        <f>(Table1[[#This Row],[monthly_EMI]]/Table1[[#This Row],[monthly_income]])*100</f>
        <v>30</v>
      </c>
      <c r="X357" s="7">
        <v>25274.3</v>
      </c>
    </row>
    <row r="358" spans="1:24" x14ac:dyDescent="0.25">
      <c r="A358" s="1" t="s">
        <v>291</v>
      </c>
      <c r="B358" s="2" t="s">
        <v>858</v>
      </c>
      <c r="C358" s="5">
        <v>26</v>
      </c>
      <c r="D358" s="1" t="s">
        <v>26</v>
      </c>
      <c r="E358" s="1" t="s">
        <v>29</v>
      </c>
      <c r="F358" s="1" t="s">
        <v>31</v>
      </c>
      <c r="G358" s="1">
        <f>YEAR(Table1[[#This Row],[Application_Date]])</f>
        <v>2025</v>
      </c>
      <c r="H358" s="1" t="str">
        <f>TEXT(Table1[[#This Row],[EMI_payment_date]],"mmmm")</f>
        <v>April</v>
      </c>
      <c r="I358" s="3">
        <v>45738</v>
      </c>
      <c r="J358" s="3">
        <f>EDATE(Table1[[#This Row],[Application_Date]],1)</f>
        <v>45769</v>
      </c>
      <c r="K358" s="9">
        <v>3756000</v>
      </c>
      <c r="L358" s="9">
        <f>Table1[[#This Row],[Annual_Income]]/12</f>
        <v>313000</v>
      </c>
      <c r="M358" s="9">
        <v>3956000</v>
      </c>
      <c r="N358" s="5">
        <f ca="1">DATEDIF(Table1[[#This Row],[EMI_payment_date]],TODAY(),"m")</f>
        <v>15</v>
      </c>
      <c r="O358" s="9">
        <f>16*Table1[[#This Row],[monthly_EMI]]</f>
        <v>1502400</v>
      </c>
      <c r="P358" s="1">
        <v>5.24</v>
      </c>
      <c r="Q358" s="9">
        <f>Table1[[#This Row],[monthly_income]]*30%</f>
        <v>93900</v>
      </c>
      <c r="R358" s="1">
        <f>ROUNDUP(NPER(P358/100/12,-Q358,Table1[[#This Row],[Loan_Amount]]),0)</f>
        <v>47</v>
      </c>
      <c r="S358" s="1">
        <v>777</v>
      </c>
      <c r="T358" s="1" t="s">
        <v>20</v>
      </c>
      <c r="U358" s="1" t="str">
        <f>IF(Table1[[#This Row],[Repayment_Status]]="late","bad loan","good loan")</f>
        <v>good loan</v>
      </c>
      <c r="V358" s="1" t="str">
        <f>IF(Table1[[#This Row],[Repayment_Status]]="late","high","low")</f>
        <v>low</v>
      </c>
      <c r="W358" s="1">
        <f>(Table1[[#This Row],[monthly_EMI]]/Table1[[#This Row],[monthly_income]])*100</f>
        <v>30</v>
      </c>
      <c r="X358" s="7">
        <v>11745.67</v>
      </c>
    </row>
    <row r="359" spans="1:24" x14ac:dyDescent="0.25">
      <c r="A359" s="1" t="s">
        <v>409</v>
      </c>
      <c r="B359" s="2" t="s">
        <v>862</v>
      </c>
      <c r="C359" s="5">
        <v>45</v>
      </c>
      <c r="D359" s="1" t="s">
        <v>15</v>
      </c>
      <c r="E359" s="1" t="s">
        <v>16</v>
      </c>
      <c r="F359" s="1" t="s">
        <v>31</v>
      </c>
      <c r="G359" s="1">
        <f>YEAR(Table1[[#This Row],[Application_Date]])</f>
        <v>2025</v>
      </c>
      <c r="H359" s="1" t="str">
        <f>TEXT(Table1[[#This Row],[EMI_payment_date]],"mmmm")</f>
        <v>April</v>
      </c>
      <c r="I359" s="3">
        <v>45739</v>
      </c>
      <c r="J359" s="3">
        <f>EDATE(Table1[[#This Row],[Application_Date]],1)</f>
        <v>45770</v>
      </c>
      <c r="K359" s="9">
        <v>5172000</v>
      </c>
      <c r="L359" s="9">
        <f>Table1[[#This Row],[Annual_Income]]/12</f>
        <v>431000</v>
      </c>
      <c r="M359" s="9">
        <v>5372000</v>
      </c>
      <c r="N359" s="5">
        <f ca="1">DATEDIF(Table1[[#This Row],[EMI_payment_date]],TODAY(),"m")</f>
        <v>15</v>
      </c>
      <c r="O359" s="9">
        <f>16*Table1[[#This Row],[monthly_EMI]]</f>
        <v>2068800</v>
      </c>
      <c r="P359" s="1">
        <v>8.0399999999999991</v>
      </c>
      <c r="Q359" s="9">
        <f>Table1[[#This Row],[monthly_income]]*30%</f>
        <v>129300</v>
      </c>
      <c r="R359" s="1">
        <f>ROUNDUP(NPER(P359/100/12,-Q359,Table1[[#This Row],[Loan_Amount]]),0)</f>
        <v>49</v>
      </c>
      <c r="S359" s="1">
        <v>684</v>
      </c>
      <c r="T359" s="1" t="s">
        <v>20</v>
      </c>
      <c r="U359" s="1" t="str">
        <f>IF(Table1[[#This Row],[Repayment_Status]]="late","bad loan","good loan")</f>
        <v>good loan</v>
      </c>
      <c r="V359" s="1" t="str">
        <f>IF(Table1[[#This Row],[Repayment_Status]]="late","high","low")</f>
        <v>low</v>
      </c>
      <c r="W359" s="1">
        <f>(Table1[[#This Row],[monthly_EMI]]/Table1[[#This Row],[monthly_income]])*100</f>
        <v>30</v>
      </c>
      <c r="X359" s="7">
        <v>12113.02</v>
      </c>
    </row>
    <row r="360" spans="1:24" x14ac:dyDescent="0.25">
      <c r="A360" s="1" t="s">
        <v>131</v>
      </c>
      <c r="B360" s="2" t="s">
        <v>740</v>
      </c>
      <c r="C360" s="5">
        <v>50</v>
      </c>
      <c r="D360" s="1" t="s">
        <v>15</v>
      </c>
      <c r="E360" s="1" t="s">
        <v>29</v>
      </c>
      <c r="F360" s="1" t="s">
        <v>17</v>
      </c>
      <c r="G360" s="1">
        <f>YEAR(Table1[[#This Row],[Application_Date]])</f>
        <v>2025</v>
      </c>
      <c r="H360" s="1" t="str">
        <f>TEXT(Table1[[#This Row],[EMI_payment_date]],"mmmm")</f>
        <v>April</v>
      </c>
      <c r="I360" s="3">
        <v>45740</v>
      </c>
      <c r="J360" s="3">
        <f>EDATE(Table1[[#This Row],[Application_Date]],1)</f>
        <v>45771</v>
      </c>
      <c r="K360" s="9">
        <v>1836000</v>
      </c>
      <c r="L360" s="9">
        <f>Table1[[#This Row],[Annual_Income]]/12</f>
        <v>153000</v>
      </c>
      <c r="M360" s="9">
        <v>2036000</v>
      </c>
      <c r="N360" s="5">
        <f ca="1">DATEDIF(Table1[[#This Row],[EMI_payment_date]],TODAY(),"m")</f>
        <v>15</v>
      </c>
      <c r="O360" s="9">
        <f>16*Table1[[#This Row],[monthly_EMI]]</f>
        <v>734400</v>
      </c>
      <c r="P360" s="1">
        <v>7.56</v>
      </c>
      <c r="Q360" s="9">
        <f>Table1[[#This Row],[monthly_income]]*30%</f>
        <v>45900</v>
      </c>
      <c r="R360" s="1">
        <f>ROUNDUP(NPER(P360/100/12,-Q360,Table1[[#This Row],[Loan_Amount]]),0)</f>
        <v>53</v>
      </c>
      <c r="S360" s="1">
        <v>650</v>
      </c>
      <c r="T360" s="1" t="s">
        <v>20</v>
      </c>
      <c r="U360" s="1" t="str">
        <f>IF(Table1[[#This Row],[Repayment_Status]]="late","bad loan","good loan")</f>
        <v>good loan</v>
      </c>
      <c r="V360" s="1" t="str">
        <f>IF(Table1[[#This Row],[Repayment_Status]]="late","high","low")</f>
        <v>low</v>
      </c>
      <c r="W360" s="1">
        <f>(Table1[[#This Row],[monthly_EMI]]/Table1[[#This Row],[monthly_income]])*100</f>
        <v>30</v>
      </c>
      <c r="X360" s="7">
        <v>31705.67</v>
      </c>
    </row>
    <row r="361" spans="1:24" x14ac:dyDescent="0.25">
      <c r="A361" s="1" t="s">
        <v>361</v>
      </c>
      <c r="B361" s="2" t="s">
        <v>862</v>
      </c>
      <c r="C361" s="5">
        <v>37</v>
      </c>
      <c r="D361" s="1" t="s">
        <v>15</v>
      </c>
      <c r="E361" s="1" t="s">
        <v>24</v>
      </c>
      <c r="F361" s="1" t="s">
        <v>19</v>
      </c>
      <c r="G361" s="1">
        <f>YEAR(Table1[[#This Row],[Application_Date]])</f>
        <v>2025</v>
      </c>
      <c r="H361" s="1" t="str">
        <f>TEXT(Table1[[#This Row],[EMI_payment_date]],"mmmm")</f>
        <v>April</v>
      </c>
      <c r="I361" s="3">
        <v>45741</v>
      </c>
      <c r="J361" s="3">
        <f>EDATE(Table1[[#This Row],[Application_Date]],1)</f>
        <v>45772</v>
      </c>
      <c r="K361" s="9">
        <v>4596000</v>
      </c>
      <c r="L361" s="9">
        <f>Table1[[#This Row],[Annual_Income]]/12</f>
        <v>383000</v>
      </c>
      <c r="M361" s="9">
        <v>4796000</v>
      </c>
      <c r="N361" s="5">
        <f ca="1">DATEDIF(Table1[[#This Row],[EMI_payment_date]],TODAY(),"m")</f>
        <v>15</v>
      </c>
      <c r="O361" s="9">
        <f>16*Table1[[#This Row],[monthly_EMI]]</f>
        <v>1838400</v>
      </c>
      <c r="P361" s="1">
        <v>7.79</v>
      </c>
      <c r="Q361" s="9">
        <f>Table1[[#This Row],[monthly_income]]*30%</f>
        <v>114900</v>
      </c>
      <c r="R361" s="1">
        <f>ROUNDUP(NPER(P361/100/12,-Q361,Table1[[#This Row],[Loan_Amount]]),0)</f>
        <v>49</v>
      </c>
      <c r="S361" s="1">
        <v>740</v>
      </c>
      <c r="T361" s="1" t="s">
        <v>20</v>
      </c>
      <c r="U361" s="1" t="str">
        <f>IF(Table1[[#This Row],[Repayment_Status]]="late","bad loan","good loan")</f>
        <v>good loan</v>
      </c>
      <c r="V361" s="1" t="str">
        <f>IF(Table1[[#This Row],[Repayment_Status]]="late","high","low")</f>
        <v>low</v>
      </c>
      <c r="W361" s="1">
        <f>(Table1[[#This Row],[monthly_EMI]]/Table1[[#This Row],[monthly_income]])*100</f>
        <v>30</v>
      </c>
      <c r="X361" s="7">
        <v>29185.11</v>
      </c>
    </row>
    <row r="362" spans="1:24" x14ac:dyDescent="0.25">
      <c r="A362" s="1" t="s">
        <v>516</v>
      </c>
      <c r="B362" s="2" t="s">
        <v>878</v>
      </c>
      <c r="C362" s="5">
        <v>47</v>
      </c>
      <c r="D362" s="1" t="s">
        <v>15</v>
      </c>
      <c r="E362" s="1" t="s">
        <v>36</v>
      </c>
      <c r="F362" s="1" t="s">
        <v>22</v>
      </c>
      <c r="G362" s="1">
        <f>YEAR(Table1[[#This Row],[Application_Date]])</f>
        <v>2025</v>
      </c>
      <c r="H362" s="1" t="str">
        <f>TEXT(Table1[[#This Row],[EMI_payment_date]],"mmmm")</f>
        <v>April</v>
      </c>
      <c r="I362" s="3">
        <v>45742</v>
      </c>
      <c r="J362" s="3">
        <f>EDATE(Table1[[#This Row],[Application_Date]],1)</f>
        <v>45773</v>
      </c>
      <c r="K362" s="9">
        <v>6456000</v>
      </c>
      <c r="L362" s="9">
        <f>Table1[[#This Row],[Annual_Income]]/12</f>
        <v>538000</v>
      </c>
      <c r="M362" s="9">
        <v>6656000</v>
      </c>
      <c r="N362" s="5">
        <f ca="1">DATEDIF(Table1[[#This Row],[EMI_payment_date]],TODAY(),"m")</f>
        <v>15</v>
      </c>
      <c r="O362" s="9">
        <f>16*Table1[[#This Row],[monthly_EMI]]</f>
        <v>2582400</v>
      </c>
      <c r="P362" s="1">
        <v>8.0299999999999994</v>
      </c>
      <c r="Q362" s="9">
        <f>Table1[[#This Row],[monthly_income]]*30%</f>
        <v>161400</v>
      </c>
      <c r="R362" s="1">
        <f>ROUNDUP(NPER(P362/100/12,-Q362,Table1[[#This Row],[Loan_Amount]]),0)</f>
        <v>49</v>
      </c>
      <c r="S362" s="1">
        <v>677</v>
      </c>
      <c r="T362" s="1" t="s">
        <v>20</v>
      </c>
      <c r="U362" s="1" t="str">
        <f>IF(Table1[[#This Row],[Repayment_Status]]="late","bad loan","good loan")</f>
        <v>good loan</v>
      </c>
      <c r="V362" s="1" t="str">
        <f>IF(Table1[[#This Row],[Repayment_Status]]="late","high","low")</f>
        <v>low</v>
      </c>
      <c r="W362" s="1">
        <f>(Table1[[#This Row],[monthly_EMI]]/Table1[[#This Row],[monthly_income]])*100</f>
        <v>30</v>
      </c>
      <c r="X362" s="7">
        <v>9374.8799999999992</v>
      </c>
    </row>
    <row r="363" spans="1:24" x14ac:dyDescent="0.25">
      <c r="A363" s="1" t="s">
        <v>362</v>
      </c>
      <c r="B363" s="2" t="s">
        <v>740</v>
      </c>
      <c r="C363" s="5">
        <v>29</v>
      </c>
      <c r="D363" s="1" t="s">
        <v>15</v>
      </c>
      <c r="E363" s="1" t="s">
        <v>33</v>
      </c>
      <c r="F363" s="1" t="s">
        <v>51</v>
      </c>
      <c r="G363" s="1">
        <f>YEAR(Table1[[#This Row],[Application_Date]])</f>
        <v>2025</v>
      </c>
      <c r="H363" s="1" t="str">
        <f>TEXT(Table1[[#This Row],[EMI_payment_date]],"mmmm")</f>
        <v>April</v>
      </c>
      <c r="I363" s="3">
        <v>45743</v>
      </c>
      <c r="J363" s="3">
        <f>EDATE(Table1[[#This Row],[Application_Date]],1)</f>
        <v>45774</v>
      </c>
      <c r="K363" s="9">
        <v>4608000</v>
      </c>
      <c r="L363" s="9">
        <f>Table1[[#This Row],[Annual_Income]]/12</f>
        <v>384000</v>
      </c>
      <c r="M363" s="9">
        <v>4808000</v>
      </c>
      <c r="N363" s="5">
        <f ca="1">DATEDIF(Table1[[#This Row],[EMI_payment_date]],TODAY(),"m")</f>
        <v>15</v>
      </c>
      <c r="O363" s="9">
        <f>16*Table1[[#This Row],[monthly_EMI]]</f>
        <v>1843200</v>
      </c>
      <c r="P363" s="1">
        <v>7.76</v>
      </c>
      <c r="Q363" s="9">
        <f>Table1[[#This Row],[monthly_income]]*30%</f>
        <v>115200</v>
      </c>
      <c r="R363" s="1">
        <f>ROUNDUP(NPER(P363/100/12,-Q363,Table1[[#This Row],[Loan_Amount]]),0)</f>
        <v>49</v>
      </c>
      <c r="S363" s="1">
        <v>606</v>
      </c>
      <c r="T363" s="1" t="s">
        <v>37</v>
      </c>
      <c r="U363" s="1" t="str">
        <f>IF(Table1[[#This Row],[Repayment_Status]]="late","bad loan","good loan")</f>
        <v>bad loan</v>
      </c>
      <c r="V363" s="1" t="str">
        <f>IF(Table1[[#This Row],[Repayment_Status]]="late","high","low")</f>
        <v>high</v>
      </c>
      <c r="W363" s="1">
        <f>(Table1[[#This Row],[monthly_EMI]]/Table1[[#This Row],[monthly_income]])*100</f>
        <v>30</v>
      </c>
      <c r="X363" s="7">
        <v>26079.87</v>
      </c>
    </row>
    <row r="364" spans="1:24" x14ac:dyDescent="0.25">
      <c r="A364" s="1" t="s">
        <v>314</v>
      </c>
      <c r="B364" s="2" t="s">
        <v>762</v>
      </c>
      <c r="C364" s="5">
        <v>55</v>
      </c>
      <c r="D364" s="1" t="s">
        <v>26</v>
      </c>
      <c r="E364" s="1" t="s">
        <v>36</v>
      </c>
      <c r="F364" s="1" t="s">
        <v>22</v>
      </c>
      <c r="G364" s="1">
        <f>YEAR(Table1[[#This Row],[Application_Date]])</f>
        <v>2025</v>
      </c>
      <c r="H364" s="1" t="str">
        <f>TEXT(Table1[[#This Row],[EMI_payment_date]],"mmmm")</f>
        <v>April</v>
      </c>
      <c r="I364" s="3">
        <v>45744</v>
      </c>
      <c r="J364" s="3">
        <f>EDATE(Table1[[#This Row],[Application_Date]],1)</f>
        <v>45775</v>
      </c>
      <c r="K364" s="9">
        <v>4032000</v>
      </c>
      <c r="L364" s="9">
        <f>Table1[[#This Row],[Annual_Income]]/12</f>
        <v>336000</v>
      </c>
      <c r="M364" s="9">
        <v>4232000</v>
      </c>
      <c r="N364" s="5">
        <f ca="1">DATEDIF(Table1[[#This Row],[EMI_payment_date]],TODAY(),"m")</f>
        <v>15</v>
      </c>
      <c r="O364" s="9">
        <f>16*Table1[[#This Row],[monthly_EMI]]</f>
        <v>1612800</v>
      </c>
      <c r="P364" s="1">
        <v>9.2899999999999991</v>
      </c>
      <c r="Q364" s="9">
        <f>Table1[[#This Row],[monthly_income]]*30%</f>
        <v>100800</v>
      </c>
      <c r="R364" s="1">
        <f>ROUNDUP(NPER(P364/100/12,-Q364,Table1[[#This Row],[Loan_Amount]]),0)</f>
        <v>51</v>
      </c>
      <c r="S364" s="1">
        <v>716</v>
      </c>
      <c r="T364" s="1" t="s">
        <v>37</v>
      </c>
      <c r="U364" s="1" t="str">
        <f>IF(Table1[[#This Row],[Repayment_Status]]="late","bad loan","good loan")</f>
        <v>bad loan</v>
      </c>
      <c r="V364" s="1" t="str">
        <f>IF(Table1[[#This Row],[Repayment_Status]]="late","high","low")</f>
        <v>high</v>
      </c>
      <c r="W364" s="1">
        <f>(Table1[[#This Row],[monthly_EMI]]/Table1[[#This Row],[monthly_income]])*100</f>
        <v>30</v>
      </c>
      <c r="X364" s="7">
        <v>22958.47</v>
      </c>
    </row>
    <row r="365" spans="1:24" x14ac:dyDescent="0.25">
      <c r="A365" s="1" t="s">
        <v>372</v>
      </c>
      <c r="B365" s="2" t="s">
        <v>891</v>
      </c>
      <c r="C365" s="5">
        <v>48</v>
      </c>
      <c r="D365" s="1" t="s">
        <v>15</v>
      </c>
      <c r="E365" s="1" t="s">
        <v>33</v>
      </c>
      <c r="F365" s="1" t="s">
        <v>51</v>
      </c>
      <c r="G365" s="1">
        <f>YEAR(Table1[[#This Row],[Application_Date]])</f>
        <v>2025</v>
      </c>
      <c r="H365" s="1" t="str">
        <f>TEXT(Table1[[#This Row],[EMI_payment_date]],"mmmm")</f>
        <v>April</v>
      </c>
      <c r="I365" s="3">
        <v>45745</v>
      </c>
      <c r="J365" s="3">
        <f>EDATE(Table1[[#This Row],[Application_Date]],1)</f>
        <v>45776</v>
      </c>
      <c r="K365" s="9">
        <v>4728000</v>
      </c>
      <c r="L365" s="9">
        <f>Table1[[#This Row],[Annual_Income]]/12</f>
        <v>394000</v>
      </c>
      <c r="M365" s="9">
        <v>4928000</v>
      </c>
      <c r="N365" s="5">
        <f ca="1">DATEDIF(Table1[[#This Row],[EMI_payment_date]],TODAY(),"m")</f>
        <v>15</v>
      </c>
      <c r="O365" s="9">
        <f>16*Table1[[#This Row],[monthly_EMI]]</f>
        <v>1891200</v>
      </c>
      <c r="P365" s="1">
        <v>9.3800000000000008</v>
      </c>
      <c r="Q365" s="9">
        <f>Table1[[#This Row],[monthly_income]]*30%</f>
        <v>118200</v>
      </c>
      <c r="R365" s="1">
        <f>ROUNDUP(NPER(P365/100/12,-Q365,Table1[[#This Row],[Loan_Amount]]),0)</f>
        <v>51</v>
      </c>
      <c r="S365" s="1">
        <v>632</v>
      </c>
      <c r="T365" s="1" t="s">
        <v>20</v>
      </c>
      <c r="U365" s="1" t="str">
        <f>IF(Table1[[#This Row],[Repayment_Status]]="late","bad loan","good loan")</f>
        <v>good loan</v>
      </c>
      <c r="V365" s="1" t="str">
        <f>IF(Table1[[#This Row],[Repayment_Status]]="late","high","low")</f>
        <v>low</v>
      </c>
      <c r="W365" s="1">
        <f>(Table1[[#This Row],[monthly_EMI]]/Table1[[#This Row],[monthly_income]])*100</f>
        <v>30</v>
      </c>
      <c r="X365" s="7">
        <v>36800.370000000003</v>
      </c>
    </row>
    <row r="366" spans="1:24" x14ac:dyDescent="0.25">
      <c r="A366" s="1" t="s">
        <v>21</v>
      </c>
      <c r="B366" s="2" t="s">
        <v>731</v>
      </c>
      <c r="C366" s="5">
        <v>27</v>
      </c>
      <c r="D366" s="1" t="s">
        <v>15</v>
      </c>
      <c r="E366" s="1" t="s">
        <v>16</v>
      </c>
      <c r="F366" s="1" t="s">
        <v>22</v>
      </c>
      <c r="G366" s="1">
        <f>YEAR(Table1[[#This Row],[Application_Date]])</f>
        <v>2025</v>
      </c>
      <c r="H366" s="1" t="str">
        <f>TEXT(Table1[[#This Row],[EMI_payment_date]],"mmmm")</f>
        <v>April</v>
      </c>
      <c r="I366" s="3">
        <v>45746</v>
      </c>
      <c r="J366" s="3">
        <f>EDATE(Table1[[#This Row],[Application_Date]],1)</f>
        <v>45777</v>
      </c>
      <c r="K366" s="9">
        <v>624000</v>
      </c>
      <c r="L366" s="9">
        <f>Table1[[#This Row],[Annual_Income]]/12</f>
        <v>52000</v>
      </c>
      <c r="M366" s="9">
        <v>824000</v>
      </c>
      <c r="N366" s="5">
        <f ca="1">DATEDIF(Table1[[#This Row],[EMI_payment_date]],TODAY(),"m")</f>
        <v>15</v>
      </c>
      <c r="O366" s="9">
        <f>16*Table1[[#This Row],[monthly_EMI]]</f>
        <v>249600</v>
      </c>
      <c r="P366" s="1">
        <v>8.64</v>
      </c>
      <c r="Q366" s="9">
        <f>Table1[[#This Row],[monthly_income]]*30%</f>
        <v>15600</v>
      </c>
      <c r="R366" s="1">
        <f>ROUNDUP(NPER(P366/100/12,-Q366,Table1[[#This Row],[Loan_Amount]]),0)</f>
        <v>67</v>
      </c>
      <c r="S366" s="1">
        <v>798</v>
      </c>
      <c r="T366" s="1" t="s">
        <v>20</v>
      </c>
      <c r="U366" s="1" t="str">
        <f>IF(Table1[[#This Row],[Repayment_Status]]="late","bad loan","good loan")</f>
        <v>good loan</v>
      </c>
      <c r="V366" s="1" t="str">
        <f>IF(Table1[[#This Row],[Repayment_Status]]="late","high","low")</f>
        <v>low</v>
      </c>
      <c r="W366" s="1">
        <f>(Table1[[#This Row],[monthly_EMI]]/Table1[[#This Row],[monthly_income]])*100</f>
        <v>30</v>
      </c>
      <c r="X366" s="7">
        <v>14151.06</v>
      </c>
    </row>
    <row r="367" spans="1:24" x14ac:dyDescent="0.25">
      <c r="A367" s="1" t="s">
        <v>427</v>
      </c>
      <c r="B367" s="2" t="s">
        <v>796</v>
      </c>
      <c r="C367" s="5">
        <v>30</v>
      </c>
      <c r="D367" s="1" t="s">
        <v>15</v>
      </c>
      <c r="E367" s="1" t="s">
        <v>36</v>
      </c>
      <c r="F367" s="1" t="s">
        <v>19</v>
      </c>
      <c r="G367" s="1">
        <f>YEAR(Table1[[#This Row],[Application_Date]])</f>
        <v>2025</v>
      </c>
      <c r="H367" s="1" t="str">
        <f>TEXT(Table1[[#This Row],[EMI_payment_date]],"mmmm")</f>
        <v>April</v>
      </c>
      <c r="I367" s="3">
        <v>45747</v>
      </c>
      <c r="J367" s="3">
        <f>EDATE(Table1[[#This Row],[Application_Date]],1)</f>
        <v>45777</v>
      </c>
      <c r="K367" s="9">
        <v>5388000</v>
      </c>
      <c r="L367" s="9">
        <f>Table1[[#This Row],[Annual_Income]]/12</f>
        <v>449000</v>
      </c>
      <c r="M367" s="9">
        <v>5588000</v>
      </c>
      <c r="N367" s="5">
        <f ca="1">DATEDIF(Table1[[#This Row],[EMI_payment_date]],TODAY(),"m")</f>
        <v>15</v>
      </c>
      <c r="O367" s="9">
        <f>16*Table1[[#This Row],[monthly_EMI]]</f>
        <v>2155200</v>
      </c>
      <c r="P367" s="1">
        <v>7.1</v>
      </c>
      <c r="Q367" s="9">
        <f>Table1[[#This Row],[monthly_income]]*30%</f>
        <v>134700</v>
      </c>
      <c r="R367" s="1">
        <f>ROUNDUP(NPER(P367/100/12,-Q367,Table1[[#This Row],[Loan_Amount]]),0)</f>
        <v>48</v>
      </c>
      <c r="S367" s="1">
        <v>663</v>
      </c>
      <c r="T367" s="1" t="s">
        <v>37</v>
      </c>
      <c r="U367" s="1" t="str">
        <f>IF(Table1[[#This Row],[Repayment_Status]]="late","bad loan","good loan")</f>
        <v>bad loan</v>
      </c>
      <c r="V367" s="1" t="str">
        <f>IF(Table1[[#This Row],[Repayment_Status]]="late","high","low")</f>
        <v>high</v>
      </c>
      <c r="W367" s="1">
        <f>(Table1[[#This Row],[monthly_EMI]]/Table1[[#This Row],[monthly_income]])*100</f>
        <v>30</v>
      </c>
      <c r="X367" s="7">
        <v>9539.15</v>
      </c>
    </row>
    <row r="368" spans="1:24" x14ac:dyDescent="0.25">
      <c r="A368" s="1" t="s">
        <v>430</v>
      </c>
      <c r="B368" s="2" t="s">
        <v>826</v>
      </c>
      <c r="C368" s="5">
        <v>54</v>
      </c>
      <c r="D368" s="1" t="s">
        <v>26</v>
      </c>
      <c r="E368" s="1" t="s">
        <v>27</v>
      </c>
      <c r="F368" s="1" t="s">
        <v>31</v>
      </c>
      <c r="G368" s="1">
        <f>YEAR(Table1[[#This Row],[Application_Date]])</f>
        <v>2025</v>
      </c>
      <c r="H368" s="1" t="str">
        <f>TEXT(Table1[[#This Row],[EMI_payment_date]],"mmmm")</f>
        <v>May</v>
      </c>
      <c r="I368" s="3">
        <v>45748</v>
      </c>
      <c r="J368" s="3">
        <f>EDATE(Table1[[#This Row],[Application_Date]],1)</f>
        <v>45778</v>
      </c>
      <c r="K368" s="9">
        <v>5424000</v>
      </c>
      <c r="L368" s="9">
        <f>Table1[[#This Row],[Annual_Income]]/12</f>
        <v>452000</v>
      </c>
      <c r="M368" s="9">
        <v>5624000</v>
      </c>
      <c r="N368" s="5">
        <f ca="1">DATEDIF(Table1[[#This Row],[EMI_payment_date]],TODAY(),"m")</f>
        <v>14</v>
      </c>
      <c r="O368" s="9">
        <f>15*Table1[[#This Row],[monthly_EMI]]</f>
        <v>2034000</v>
      </c>
      <c r="P368" s="1">
        <v>5.21</v>
      </c>
      <c r="Q368" s="9">
        <f>Table1[[#This Row],[monthly_income]]*30%</f>
        <v>135600</v>
      </c>
      <c r="R368" s="1">
        <f>ROUNDUP(NPER(P368/100/12,-Q368,Table1[[#This Row],[Loan_Amount]]),0)</f>
        <v>46</v>
      </c>
      <c r="S368" s="1">
        <v>766</v>
      </c>
      <c r="T368" s="1" t="s">
        <v>20</v>
      </c>
      <c r="U368" s="1" t="str">
        <f>IF(Table1[[#This Row],[Repayment_Status]]="late","bad loan","good loan")</f>
        <v>good loan</v>
      </c>
      <c r="V368" s="1" t="str">
        <f>IF(Table1[[#This Row],[Repayment_Status]]="late","high","low")</f>
        <v>low</v>
      </c>
      <c r="W368" s="1">
        <f>(Table1[[#This Row],[monthly_EMI]]/Table1[[#This Row],[monthly_income]])*100</f>
        <v>30</v>
      </c>
      <c r="X368" s="7">
        <v>22621.599999999999</v>
      </c>
    </row>
    <row r="369" spans="1:24" x14ac:dyDescent="0.25">
      <c r="A369" s="1" t="s">
        <v>526</v>
      </c>
      <c r="B369" s="2" t="s">
        <v>762</v>
      </c>
      <c r="C369" s="5">
        <v>55</v>
      </c>
      <c r="D369" s="1" t="s">
        <v>26</v>
      </c>
      <c r="E369" s="1" t="s">
        <v>24</v>
      </c>
      <c r="F369" s="1" t="s">
        <v>22</v>
      </c>
      <c r="G369" s="1">
        <f>YEAR(Table1[[#This Row],[Application_Date]])</f>
        <v>2025</v>
      </c>
      <c r="H369" s="1" t="str">
        <f>TEXT(Table1[[#This Row],[EMI_payment_date]],"mmmm")</f>
        <v>May</v>
      </c>
      <c r="I369" s="3">
        <v>45749</v>
      </c>
      <c r="J369" s="3">
        <f>EDATE(Table1[[#This Row],[Application_Date]],1)</f>
        <v>45779</v>
      </c>
      <c r="K369" s="9">
        <v>6576000</v>
      </c>
      <c r="L369" s="9">
        <f>Table1[[#This Row],[Annual_Income]]/12</f>
        <v>548000</v>
      </c>
      <c r="M369" s="9">
        <v>6776000</v>
      </c>
      <c r="N369" s="5">
        <f ca="1">DATEDIF(Table1[[#This Row],[EMI_payment_date]],TODAY(),"m")</f>
        <v>14</v>
      </c>
      <c r="O369" s="9">
        <f>15*Table1[[#This Row],[monthly_EMI]]</f>
        <v>2466000</v>
      </c>
      <c r="P369" s="1">
        <v>8.02</v>
      </c>
      <c r="Q369" s="9">
        <f>Table1[[#This Row],[monthly_income]]*30%</f>
        <v>164400</v>
      </c>
      <c r="R369" s="1">
        <f>ROUNDUP(NPER(P369/100/12,-Q369,Table1[[#This Row],[Loan_Amount]]),0)</f>
        <v>49</v>
      </c>
      <c r="S369" s="1">
        <v>715</v>
      </c>
      <c r="T369" s="1" t="s">
        <v>37</v>
      </c>
      <c r="U369" s="1" t="str">
        <f>IF(Table1[[#This Row],[Repayment_Status]]="late","bad loan","good loan")</f>
        <v>bad loan</v>
      </c>
      <c r="V369" s="1" t="str">
        <f>IF(Table1[[#This Row],[Repayment_Status]]="late","high","low")</f>
        <v>high</v>
      </c>
      <c r="W369" s="1">
        <f>(Table1[[#This Row],[monthly_EMI]]/Table1[[#This Row],[monthly_income]])*100</f>
        <v>30</v>
      </c>
      <c r="X369" s="7">
        <v>25943.18</v>
      </c>
    </row>
    <row r="370" spans="1:24" x14ac:dyDescent="0.25">
      <c r="A370" s="1" t="s">
        <v>71</v>
      </c>
      <c r="B370" s="2" t="s">
        <v>770</v>
      </c>
      <c r="C370" s="5">
        <v>35</v>
      </c>
      <c r="D370" s="1" t="s">
        <v>15</v>
      </c>
      <c r="E370" s="1" t="s">
        <v>36</v>
      </c>
      <c r="F370" s="1" t="s">
        <v>22</v>
      </c>
      <c r="G370" s="1">
        <f>YEAR(Table1[[#This Row],[Application_Date]])</f>
        <v>2025</v>
      </c>
      <c r="H370" s="1" t="str">
        <f>TEXT(Table1[[#This Row],[EMI_payment_date]],"mmmm")</f>
        <v>May</v>
      </c>
      <c r="I370" s="3">
        <v>45750</v>
      </c>
      <c r="J370" s="3">
        <f>EDATE(Table1[[#This Row],[Application_Date]],1)</f>
        <v>45780</v>
      </c>
      <c r="K370" s="9">
        <v>1104000</v>
      </c>
      <c r="L370" s="9">
        <f>Table1[[#This Row],[Annual_Income]]/12</f>
        <v>92000</v>
      </c>
      <c r="M370" s="9">
        <v>1304000</v>
      </c>
      <c r="N370" s="5">
        <f ca="1">DATEDIF(Table1[[#This Row],[EMI_payment_date]],TODAY(),"m")</f>
        <v>14</v>
      </c>
      <c r="O370" s="9">
        <f>15*Table1[[#This Row],[monthly_EMI]]</f>
        <v>414000</v>
      </c>
      <c r="P370" s="1">
        <v>9.19</v>
      </c>
      <c r="Q370" s="9">
        <f>Table1[[#This Row],[monthly_income]]*30%</f>
        <v>27600</v>
      </c>
      <c r="R370" s="1">
        <f>ROUNDUP(NPER(P370/100/12,-Q370,Table1[[#This Row],[Loan_Amount]]),0)</f>
        <v>59</v>
      </c>
      <c r="S370" s="1">
        <v>788</v>
      </c>
      <c r="T370" s="1" t="s">
        <v>20</v>
      </c>
      <c r="U370" s="1" t="str">
        <f>IF(Table1[[#This Row],[Repayment_Status]]="late","bad loan","good loan")</f>
        <v>good loan</v>
      </c>
      <c r="V370" s="1" t="str">
        <f>IF(Table1[[#This Row],[Repayment_Status]]="late","high","low")</f>
        <v>low</v>
      </c>
      <c r="W370" s="1">
        <f>(Table1[[#This Row],[monthly_EMI]]/Table1[[#This Row],[monthly_income]])*100</f>
        <v>30</v>
      </c>
      <c r="X370" s="7">
        <v>37581.550000000003</v>
      </c>
    </row>
    <row r="371" spans="1:24" x14ac:dyDescent="0.25">
      <c r="A371" s="1" t="s">
        <v>514</v>
      </c>
      <c r="B371" s="2" t="s">
        <v>778</v>
      </c>
      <c r="C371" s="5">
        <v>22</v>
      </c>
      <c r="D371" s="1" t="s">
        <v>26</v>
      </c>
      <c r="E371" s="1" t="s">
        <v>33</v>
      </c>
      <c r="F371" s="1" t="s">
        <v>31</v>
      </c>
      <c r="G371" s="1">
        <f>YEAR(Table1[[#This Row],[Application_Date]])</f>
        <v>2025</v>
      </c>
      <c r="H371" s="1" t="str">
        <f>TEXT(Table1[[#This Row],[EMI_payment_date]],"mmmm")</f>
        <v>May</v>
      </c>
      <c r="I371" s="3">
        <v>45751</v>
      </c>
      <c r="J371" s="3">
        <f>EDATE(Table1[[#This Row],[Application_Date]],1)</f>
        <v>45781</v>
      </c>
      <c r="K371" s="9">
        <v>6432000</v>
      </c>
      <c r="L371" s="9">
        <f>Table1[[#This Row],[Annual_Income]]/12</f>
        <v>536000</v>
      </c>
      <c r="M371" s="9">
        <v>6632000</v>
      </c>
      <c r="N371" s="5">
        <f ca="1">DATEDIF(Table1[[#This Row],[EMI_payment_date]],TODAY(),"m")</f>
        <v>14</v>
      </c>
      <c r="O371" s="9">
        <f>15*Table1[[#This Row],[monthly_EMI]]</f>
        <v>2412000</v>
      </c>
      <c r="P371" s="1">
        <v>9.15</v>
      </c>
      <c r="Q371" s="9">
        <f>Table1[[#This Row],[monthly_income]]*30%</f>
        <v>160800</v>
      </c>
      <c r="R371" s="1">
        <f>ROUNDUP(NPER(P371/100/12,-Q371,Table1[[#This Row],[Loan_Amount]]),0)</f>
        <v>50</v>
      </c>
      <c r="S371" s="1">
        <v>714</v>
      </c>
      <c r="T371" s="1" t="s">
        <v>37</v>
      </c>
      <c r="U371" s="1" t="str">
        <f>IF(Table1[[#This Row],[Repayment_Status]]="late","bad loan","good loan")</f>
        <v>bad loan</v>
      </c>
      <c r="V371" s="1" t="str">
        <f>IF(Table1[[#This Row],[Repayment_Status]]="late","high","low")</f>
        <v>high</v>
      </c>
      <c r="W371" s="1">
        <f>(Table1[[#This Row],[monthly_EMI]]/Table1[[#This Row],[monthly_income]])*100</f>
        <v>30</v>
      </c>
      <c r="X371" s="7">
        <v>23291.31</v>
      </c>
    </row>
    <row r="372" spans="1:24" x14ac:dyDescent="0.25">
      <c r="A372" s="1" t="s">
        <v>548</v>
      </c>
      <c r="B372" s="2" t="s">
        <v>814</v>
      </c>
      <c r="C372" s="5">
        <v>60</v>
      </c>
      <c r="D372" s="1" t="s">
        <v>15</v>
      </c>
      <c r="E372" s="1" t="s">
        <v>36</v>
      </c>
      <c r="F372" s="1" t="s">
        <v>22</v>
      </c>
      <c r="G372" s="1">
        <f>YEAR(Table1[[#This Row],[Application_Date]])</f>
        <v>2025</v>
      </c>
      <c r="H372" s="1" t="str">
        <f>TEXT(Table1[[#This Row],[EMI_payment_date]],"mmmm")</f>
        <v>May</v>
      </c>
      <c r="I372" s="3">
        <v>45752</v>
      </c>
      <c r="J372" s="3">
        <f>EDATE(Table1[[#This Row],[Application_Date]],1)</f>
        <v>45782</v>
      </c>
      <c r="K372" s="9">
        <v>6840000</v>
      </c>
      <c r="L372" s="9">
        <f>Table1[[#This Row],[Annual_Income]]/12</f>
        <v>570000</v>
      </c>
      <c r="M372" s="9">
        <v>7040000</v>
      </c>
      <c r="N372" s="5">
        <f ca="1">DATEDIF(Table1[[#This Row],[EMI_payment_date]],TODAY(),"m")</f>
        <v>14</v>
      </c>
      <c r="O372" s="9">
        <f>15*Table1[[#This Row],[monthly_EMI]]</f>
        <v>2565000</v>
      </c>
      <c r="P372" s="1">
        <v>6.94</v>
      </c>
      <c r="Q372" s="9">
        <f>Table1[[#This Row],[monthly_income]]*30%</f>
        <v>171000</v>
      </c>
      <c r="R372" s="1">
        <f>ROUNDUP(NPER(P372/100/12,-Q372,Table1[[#This Row],[Loan_Amount]]),0)</f>
        <v>48</v>
      </c>
      <c r="S372" s="1">
        <v>850</v>
      </c>
      <c r="T372" s="1" t="s">
        <v>20</v>
      </c>
      <c r="U372" s="1" t="str">
        <f>IF(Table1[[#This Row],[Repayment_Status]]="late","bad loan","good loan")</f>
        <v>good loan</v>
      </c>
      <c r="V372" s="1" t="str">
        <f>IF(Table1[[#This Row],[Repayment_Status]]="late","high","low")</f>
        <v>low</v>
      </c>
      <c r="W372" s="1">
        <f>(Table1[[#This Row],[monthly_EMI]]/Table1[[#This Row],[monthly_income]])*100</f>
        <v>30</v>
      </c>
      <c r="X372" s="7">
        <v>26567.279999999999</v>
      </c>
    </row>
    <row r="373" spans="1:24" x14ac:dyDescent="0.25">
      <c r="A373" s="1" t="s">
        <v>65</v>
      </c>
      <c r="B373" s="2" t="s">
        <v>764</v>
      </c>
      <c r="C373" s="5">
        <v>53</v>
      </c>
      <c r="D373" s="1" t="s">
        <v>26</v>
      </c>
      <c r="E373" s="1" t="s">
        <v>24</v>
      </c>
      <c r="F373" s="1" t="s">
        <v>31</v>
      </c>
      <c r="G373" s="1">
        <f>YEAR(Table1[[#This Row],[Application_Date]])</f>
        <v>2025</v>
      </c>
      <c r="H373" s="1" t="str">
        <f>TEXT(Table1[[#This Row],[EMI_payment_date]],"mmmm")</f>
        <v>May</v>
      </c>
      <c r="I373" s="3">
        <v>45753</v>
      </c>
      <c r="J373" s="3">
        <f>EDATE(Table1[[#This Row],[Application_Date]],1)</f>
        <v>45783</v>
      </c>
      <c r="K373" s="9">
        <v>1032000</v>
      </c>
      <c r="L373" s="9">
        <f>Table1[[#This Row],[Annual_Income]]/12</f>
        <v>86000</v>
      </c>
      <c r="M373" s="9">
        <v>1232000</v>
      </c>
      <c r="N373" s="5">
        <f ca="1">DATEDIF(Table1[[#This Row],[EMI_payment_date]],TODAY(),"m")</f>
        <v>14</v>
      </c>
      <c r="O373" s="9">
        <f>15*Table1[[#This Row],[monthly_EMI]]</f>
        <v>387000</v>
      </c>
      <c r="P373" s="1">
        <v>8.18</v>
      </c>
      <c r="Q373" s="9">
        <f>Table1[[#This Row],[monthly_income]]*30%</f>
        <v>25800</v>
      </c>
      <c r="R373" s="1">
        <f>ROUNDUP(NPER(P373/100/12,-Q373,Table1[[#This Row],[Loan_Amount]]),0)</f>
        <v>58</v>
      </c>
      <c r="S373" s="1">
        <v>611</v>
      </c>
      <c r="T373" s="1" t="s">
        <v>37</v>
      </c>
      <c r="U373" s="1" t="str">
        <f>IF(Table1[[#This Row],[Repayment_Status]]="late","bad loan","good loan")</f>
        <v>bad loan</v>
      </c>
      <c r="V373" s="1" t="str">
        <f>IF(Table1[[#This Row],[Repayment_Status]]="late","high","low")</f>
        <v>high</v>
      </c>
      <c r="W373" s="1">
        <f>(Table1[[#This Row],[monthly_EMI]]/Table1[[#This Row],[monthly_income]])*100</f>
        <v>30</v>
      </c>
      <c r="X373" s="7">
        <v>24609.74</v>
      </c>
    </row>
    <row r="374" spans="1:24" x14ac:dyDescent="0.25">
      <c r="A374" s="1" t="s">
        <v>295</v>
      </c>
      <c r="B374" s="2" t="s">
        <v>866</v>
      </c>
      <c r="C374" s="5">
        <v>53</v>
      </c>
      <c r="D374" s="1" t="s">
        <v>15</v>
      </c>
      <c r="E374" s="1" t="s">
        <v>33</v>
      </c>
      <c r="F374" s="1" t="s">
        <v>17</v>
      </c>
      <c r="G374" s="1">
        <f>YEAR(Table1[[#This Row],[Application_Date]])</f>
        <v>2025</v>
      </c>
      <c r="H374" s="1" t="str">
        <f>TEXT(Table1[[#This Row],[EMI_payment_date]],"mmmm")</f>
        <v>May</v>
      </c>
      <c r="I374" s="3">
        <v>45754</v>
      </c>
      <c r="J374" s="3">
        <f>EDATE(Table1[[#This Row],[Application_Date]],1)</f>
        <v>45784</v>
      </c>
      <c r="K374" s="9">
        <v>3804000</v>
      </c>
      <c r="L374" s="9">
        <f>Table1[[#This Row],[Annual_Income]]/12</f>
        <v>317000</v>
      </c>
      <c r="M374" s="9">
        <v>4004000</v>
      </c>
      <c r="N374" s="5">
        <f ca="1">DATEDIF(Table1[[#This Row],[EMI_payment_date]],TODAY(),"m")</f>
        <v>14</v>
      </c>
      <c r="O374" s="9">
        <f>15*Table1[[#This Row],[monthly_EMI]]</f>
        <v>1426500</v>
      </c>
      <c r="P374" s="1">
        <v>6.86</v>
      </c>
      <c r="Q374" s="9">
        <f>Table1[[#This Row],[monthly_income]]*30%</f>
        <v>95100</v>
      </c>
      <c r="R374" s="1">
        <f>ROUNDUP(NPER(P374/100/12,-Q374,Table1[[#This Row],[Loan_Amount]]),0)</f>
        <v>49</v>
      </c>
      <c r="S374" s="1">
        <v>728</v>
      </c>
      <c r="T374" s="1" t="s">
        <v>20</v>
      </c>
      <c r="U374" s="1" t="str">
        <f>IF(Table1[[#This Row],[Repayment_Status]]="late","bad loan","good loan")</f>
        <v>good loan</v>
      </c>
      <c r="V374" s="1" t="str">
        <f>IF(Table1[[#This Row],[Repayment_Status]]="late","high","low")</f>
        <v>low</v>
      </c>
      <c r="W374" s="1">
        <f>(Table1[[#This Row],[monthly_EMI]]/Table1[[#This Row],[monthly_income]])*100</f>
        <v>30</v>
      </c>
      <c r="X374" s="7">
        <v>22597.32</v>
      </c>
    </row>
    <row r="375" spans="1:24" x14ac:dyDescent="0.25">
      <c r="A375" s="1" t="s">
        <v>84</v>
      </c>
      <c r="B375" s="2" t="s">
        <v>779</v>
      </c>
      <c r="C375" s="5">
        <v>41</v>
      </c>
      <c r="D375" s="1" t="s">
        <v>26</v>
      </c>
      <c r="E375" s="1" t="s">
        <v>29</v>
      </c>
      <c r="F375" s="1" t="s">
        <v>22</v>
      </c>
      <c r="G375" s="1">
        <f>YEAR(Table1[[#This Row],[Application_Date]])</f>
        <v>2025</v>
      </c>
      <c r="H375" s="1" t="str">
        <f>TEXT(Table1[[#This Row],[EMI_payment_date]],"mmmm")</f>
        <v>May</v>
      </c>
      <c r="I375" s="3">
        <v>45755</v>
      </c>
      <c r="J375" s="3">
        <f>EDATE(Table1[[#This Row],[Application_Date]],1)</f>
        <v>45785</v>
      </c>
      <c r="K375" s="9">
        <v>1260000</v>
      </c>
      <c r="L375" s="9">
        <f>Table1[[#This Row],[Annual_Income]]/12</f>
        <v>105000</v>
      </c>
      <c r="M375" s="9">
        <v>1460000</v>
      </c>
      <c r="N375" s="5">
        <f ca="1">DATEDIF(Table1[[#This Row],[EMI_payment_date]],TODAY(),"m")</f>
        <v>14</v>
      </c>
      <c r="O375" s="9">
        <f>15*Table1[[#This Row],[monthly_EMI]]</f>
        <v>472500</v>
      </c>
      <c r="P375" s="1">
        <v>6.25</v>
      </c>
      <c r="Q375" s="9">
        <f>Table1[[#This Row],[monthly_income]]*30%</f>
        <v>31500</v>
      </c>
      <c r="R375" s="1">
        <f>ROUNDUP(NPER(P375/100/12,-Q375,Table1[[#This Row],[Loan_Amount]]),0)</f>
        <v>54</v>
      </c>
      <c r="S375" s="1">
        <v>799</v>
      </c>
      <c r="T375" s="1" t="s">
        <v>20</v>
      </c>
      <c r="U375" s="1" t="str">
        <f>IF(Table1[[#This Row],[Repayment_Status]]="late","bad loan","good loan")</f>
        <v>good loan</v>
      </c>
      <c r="V375" s="1" t="str">
        <f>IF(Table1[[#This Row],[Repayment_Status]]="late","high","low")</f>
        <v>low</v>
      </c>
      <c r="W375" s="1">
        <f>(Table1[[#This Row],[monthly_EMI]]/Table1[[#This Row],[monthly_income]])*100</f>
        <v>30</v>
      </c>
      <c r="X375" s="7">
        <v>25556.26</v>
      </c>
    </row>
    <row r="376" spans="1:24" x14ac:dyDescent="0.25">
      <c r="A376" s="1" t="s">
        <v>435</v>
      </c>
      <c r="B376" s="2" t="s">
        <v>806</v>
      </c>
      <c r="C376" s="5">
        <v>50</v>
      </c>
      <c r="D376" s="1" t="s">
        <v>15</v>
      </c>
      <c r="E376" s="1" t="s">
        <v>29</v>
      </c>
      <c r="F376" s="1" t="s">
        <v>19</v>
      </c>
      <c r="G376" s="1">
        <f>YEAR(Table1[[#This Row],[Application_Date]])</f>
        <v>2025</v>
      </c>
      <c r="H376" s="1" t="str">
        <f>TEXT(Table1[[#This Row],[EMI_payment_date]],"mmmm")</f>
        <v>May</v>
      </c>
      <c r="I376" s="3">
        <v>45756</v>
      </c>
      <c r="J376" s="3">
        <f>EDATE(Table1[[#This Row],[Application_Date]],1)</f>
        <v>45786</v>
      </c>
      <c r="K376" s="9">
        <v>5484000</v>
      </c>
      <c r="L376" s="9">
        <f>Table1[[#This Row],[Annual_Income]]/12</f>
        <v>457000</v>
      </c>
      <c r="M376" s="9">
        <v>5684000</v>
      </c>
      <c r="N376" s="5">
        <f ca="1">DATEDIF(Table1[[#This Row],[EMI_payment_date]],TODAY(),"m")</f>
        <v>14</v>
      </c>
      <c r="O376" s="9">
        <f>15*Table1[[#This Row],[monthly_EMI]]</f>
        <v>2056500</v>
      </c>
      <c r="P376" s="1">
        <v>6.28</v>
      </c>
      <c r="Q376" s="9">
        <f>Table1[[#This Row],[monthly_income]]*30%</f>
        <v>137100</v>
      </c>
      <c r="R376" s="1">
        <f>ROUNDUP(NPER(P376/100/12,-Q376,Table1[[#This Row],[Loan_Amount]]),0)</f>
        <v>47</v>
      </c>
      <c r="S376" s="1">
        <v>775</v>
      </c>
      <c r="T376" s="1" t="s">
        <v>20</v>
      </c>
      <c r="U376" s="1" t="str">
        <f>IF(Table1[[#This Row],[Repayment_Status]]="late","bad loan","good loan")</f>
        <v>good loan</v>
      </c>
      <c r="V376" s="1" t="str">
        <f>IF(Table1[[#This Row],[Repayment_Status]]="late","high","low")</f>
        <v>low</v>
      </c>
      <c r="W376" s="1">
        <f>(Table1[[#This Row],[monthly_EMI]]/Table1[[#This Row],[monthly_income]])*100</f>
        <v>30</v>
      </c>
      <c r="X376" s="7">
        <v>20613.36</v>
      </c>
    </row>
    <row r="377" spans="1:24" x14ac:dyDescent="0.25">
      <c r="A377" s="1" t="s">
        <v>190</v>
      </c>
      <c r="B377" s="2" t="s">
        <v>749</v>
      </c>
      <c r="C377" s="5">
        <v>43</v>
      </c>
      <c r="D377" s="1" t="s">
        <v>26</v>
      </c>
      <c r="E377" s="1" t="s">
        <v>29</v>
      </c>
      <c r="F377" s="1" t="s">
        <v>17</v>
      </c>
      <c r="G377" s="1">
        <f>YEAR(Table1[[#This Row],[Application_Date]])</f>
        <v>2025</v>
      </c>
      <c r="H377" s="1" t="str">
        <f>TEXT(Table1[[#This Row],[EMI_payment_date]],"mmmm")</f>
        <v>May</v>
      </c>
      <c r="I377" s="3">
        <v>45757</v>
      </c>
      <c r="J377" s="3">
        <f>EDATE(Table1[[#This Row],[Application_Date]],1)</f>
        <v>45787</v>
      </c>
      <c r="K377" s="9">
        <v>2544000</v>
      </c>
      <c r="L377" s="9">
        <f>Table1[[#This Row],[Annual_Income]]/12</f>
        <v>212000</v>
      </c>
      <c r="M377" s="9">
        <v>2744000</v>
      </c>
      <c r="N377" s="5">
        <f ca="1">DATEDIF(Table1[[#This Row],[EMI_payment_date]],TODAY(),"m")</f>
        <v>14</v>
      </c>
      <c r="O377" s="9">
        <f>15*Table1[[#This Row],[monthly_EMI]]</f>
        <v>954000</v>
      </c>
      <c r="P377" s="1">
        <v>5.18</v>
      </c>
      <c r="Q377" s="9">
        <f>Table1[[#This Row],[monthly_income]]*30%</f>
        <v>63600</v>
      </c>
      <c r="R377" s="1">
        <f>ROUNDUP(NPER(P377/100/12,-Q377,Table1[[#This Row],[Loan_Amount]]),0)</f>
        <v>48</v>
      </c>
      <c r="S377" s="1">
        <v>716</v>
      </c>
      <c r="T377" s="1" t="s">
        <v>37</v>
      </c>
      <c r="U377" s="1" t="str">
        <f>IF(Table1[[#This Row],[Repayment_Status]]="late","bad loan","good loan")</f>
        <v>bad loan</v>
      </c>
      <c r="V377" s="1" t="str">
        <f>IF(Table1[[#This Row],[Repayment_Status]]="late","high","low")</f>
        <v>high</v>
      </c>
      <c r="W377" s="1">
        <f>(Table1[[#This Row],[monthly_EMI]]/Table1[[#This Row],[monthly_income]])*100</f>
        <v>30</v>
      </c>
      <c r="X377" s="7">
        <v>15143.95</v>
      </c>
    </row>
    <row r="378" spans="1:24" x14ac:dyDescent="0.25">
      <c r="A378" s="1" t="s">
        <v>476</v>
      </c>
      <c r="B378" s="2" t="s">
        <v>901</v>
      </c>
      <c r="C378" s="5">
        <v>34</v>
      </c>
      <c r="D378" s="1" t="s">
        <v>26</v>
      </c>
      <c r="E378" s="1" t="s">
        <v>29</v>
      </c>
      <c r="F378" s="1" t="s">
        <v>31</v>
      </c>
      <c r="G378" s="1">
        <f>YEAR(Table1[[#This Row],[Application_Date]])</f>
        <v>2025</v>
      </c>
      <c r="H378" s="1" t="str">
        <f>TEXT(Table1[[#This Row],[EMI_payment_date]],"mmmm")</f>
        <v>May</v>
      </c>
      <c r="I378" s="3">
        <v>45758</v>
      </c>
      <c r="J378" s="3">
        <f>EDATE(Table1[[#This Row],[Application_Date]],1)</f>
        <v>45788</v>
      </c>
      <c r="K378" s="9">
        <v>5976000</v>
      </c>
      <c r="L378" s="9">
        <f>Table1[[#This Row],[Annual_Income]]/12</f>
        <v>498000</v>
      </c>
      <c r="M378" s="9">
        <v>6176000</v>
      </c>
      <c r="N378" s="5">
        <f ca="1">DATEDIF(Table1[[#This Row],[EMI_payment_date]],TODAY(),"m")</f>
        <v>14</v>
      </c>
      <c r="O378" s="9">
        <f>15*Table1[[#This Row],[monthly_EMI]]</f>
        <v>2241000</v>
      </c>
      <c r="P378" s="1">
        <v>5.84</v>
      </c>
      <c r="Q378" s="9">
        <f>Table1[[#This Row],[monthly_income]]*30%</f>
        <v>149400</v>
      </c>
      <c r="R378" s="1">
        <f>ROUNDUP(NPER(P378/100/12,-Q378,Table1[[#This Row],[Loan_Amount]]),0)</f>
        <v>47</v>
      </c>
      <c r="S378" s="1">
        <v>701</v>
      </c>
      <c r="T378" s="1" t="s">
        <v>20</v>
      </c>
      <c r="U378" s="1" t="str">
        <f>IF(Table1[[#This Row],[Repayment_Status]]="late","bad loan","good loan")</f>
        <v>good loan</v>
      </c>
      <c r="V378" s="1" t="str">
        <f>IF(Table1[[#This Row],[Repayment_Status]]="late","high","low")</f>
        <v>low</v>
      </c>
      <c r="W378" s="1">
        <f>(Table1[[#This Row],[monthly_EMI]]/Table1[[#This Row],[monthly_income]])*100</f>
        <v>30</v>
      </c>
      <c r="X378" s="7">
        <v>11372.06</v>
      </c>
    </row>
    <row r="379" spans="1:24" x14ac:dyDescent="0.25">
      <c r="A379" s="1" t="s">
        <v>111</v>
      </c>
      <c r="B379" s="2" t="s">
        <v>765</v>
      </c>
      <c r="C379" s="5">
        <v>45</v>
      </c>
      <c r="D379" s="1" t="s">
        <v>15</v>
      </c>
      <c r="E379" s="1" t="s">
        <v>36</v>
      </c>
      <c r="F379" s="1" t="s">
        <v>22</v>
      </c>
      <c r="G379" s="1">
        <f>YEAR(Table1[[#This Row],[Application_Date]])</f>
        <v>2025</v>
      </c>
      <c r="H379" s="1" t="str">
        <f>TEXT(Table1[[#This Row],[EMI_payment_date]],"mmmm")</f>
        <v>May</v>
      </c>
      <c r="I379" s="3">
        <v>45759</v>
      </c>
      <c r="J379" s="3">
        <f>EDATE(Table1[[#This Row],[Application_Date]],1)</f>
        <v>45789</v>
      </c>
      <c r="K379" s="9">
        <v>1596000</v>
      </c>
      <c r="L379" s="9">
        <f>Table1[[#This Row],[Annual_Income]]/12</f>
        <v>133000</v>
      </c>
      <c r="M379" s="9">
        <v>1796000</v>
      </c>
      <c r="N379" s="5">
        <f ca="1">DATEDIF(Table1[[#This Row],[EMI_payment_date]],TODAY(),"m")</f>
        <v>14</v>
      </c>
      <c r="O379" s="9">
        <f>15*Table1[[#This Row],[monthly_EMI]]</f>
        <v>598500</v>
      </c>
      <c r="P379" s="1">
        <v>7.07</v>
      </c>
      <c r="Q379" s="9">
        <f>Table1[[#This Row],[monthly_income]]*30%</f>
        <v>39900</v>
      </c>
      <c r="R379" s="1">
        <f>ROUNDUP(NPER(P379/100/12,-Q379,Table1[[#This Row],[Loan_Amount]]),0)</f>
        <v>53</v>
      </c>
      <c r="S379" s="1">
        <v>704</v>
      </c>
      <c r="T379" s="1" t="s">
        <v>37</v>
      </c>
      <c r="U379" s="1" t="str">
        <f>IF(Table1[[#This Row],[Repayment_Status]]="late","bad loan","good loan")</f>
        <v>bad loan</v>
      </c>
      <c r="V379" s="1" t="str">
        <f>IF(Table1[[#This Row],[Repayment_Status]]="late","high","low")</f>
        <v>high</v>
      </c>
      <c r="W379" s="1">
        <f>(Table1[[#This Row],[monthly_EMI]]/Table1[[#This Row],[monthly_income]])*100</f>
        <v>30</v>
      </c>
      <c r="X379" s="7">
        <v>20284.75</v>
      </c>
    </row>
    <row r="380" spans="1:24" x14ac:dyDescent="0.25">
      <c r="A380" s="1" t="s">
        <v>336</v>
      </c>
      <c r="B380" s="2" t="s">
        <v>872</v>
      </c>
      <c r="C380" s="5">
        <v>28</v>
      </c>
      <c r="D380" s="1" t="s">
        <v>15</v>
      </c>
      <c r="E380" s="1" t="s">
        <v>16</v>
      </c>
      <c r="F380" s="1" t="s">
        <v>19</v>
      </c>
      <c r="G380" s="1">
        <f>YEAR(Table1[[#This Row],[Application_Date]])</f>
        <v>2025</v>
      </c>
      <c r="H380" s="1" t="str">
        <f>TEXT(Table1[[#This Row],[EMI_payment_date]],"mmmm")</f>
        <v>May</v>
      </c>
      <c r="I380" s="3">
        <v>45760</v>
      </c>
      <c r="J380" s="3">
        <f>EDATE(Table1[[#This Row],[Application_Date]],1)</f>
        <v>45790</v>
      </c>
      <c r="K380" s="9">
        <v>4296000</v>
      </c>
      <c r="L380" s="9">
        <f>Table1[[#This Row],[Annual_Income]]/12</f>
        <v>358000</v>
      </c>
      <c r="M380" s="9">
        <v>4496000</v>
      </c>
      <c r="N380" s="5">
        <f ca="1">DATEDIF(Table1[[#This Row],[EMI_payment_date]],TODAY(),"m")</f>
        <v>14</v>
      </c>
      <c r="O380" s="9">
        <f>15*Table1[[#This Row],[monthly_EMI]]</f>
        <v>1611000</v>
      </c>
      <c r="P380" s="1">
        <v>9.2100000000000009</v>
      </c>
      <c r="Q380" s="9">
        <f>Table1[[#This Row],[monthly_income]]*30%</f>
        <v>107400</v>
      </c>
      <c r="R380" s="1">
        <f>ROUNDUP(NPER(P380/100/12,-Q380,Table1[[#This Row],[Loan_Amount]]),0)</f>
        <v>51</v>
      </c>
      <c r="S380" s="1">
        <v>761</v>
      </c>
      <c r="T380" s="1" t="s">
        <v>20</v>
      </c>
      <c r="U380" s="1" t="str">
        <f>IF(Table1[[#This Row],[Repayment_Status]]="late","bad loan","good loan")</f>
        <v>good loan</v>
      </c>
      <c r="V380" s="1" t="str">
        <f>IF(Table1[[#This Row],[Repayment_Status]]="late","high","low")</f>
        <v>low</v>
      </c>
      <c r="W380" s="1">
        <f>(Table1[[#This Row],[monthly_EMI]]/Table1[[#This Row],[monthly_income]])*100</f>
        <v>30</v>
      </c>
      <c r="X380" s="7">
        <v>29351.53</v>
      </c>
    </row>
    <row r="381" spans="1:24" x14ac:dyDescent="0.25">
      <c r="A381" s="1" t="s">
        <v>575</v>
      </c>
      <c r="B381" s="2" t="s">
        <v>821</v>
      </c>
      <c r="C381" s="5">
        <v>36</v>
      </c>
      <c r="D381" s="1" t="s">
        <v>15</v>
      </c>
      <c r="E381" s="1" t="s">
        <v>33</v>
      </c>
      <c r="F381" s="1" t="s">
        <v>17</v>
      </c>
      <c r="G381" s="1">
        <f>YEAR(Table1[[#This Row],[Application_Date]])</f>
        <v>2025</v>
      </c>
      <c r="H381" s="1" t="str">
        <f>TEXT(Table1[[#This Row],[EMI_payment_date]],"mmmm")</f>
        <v>May</v>
      </c>
      <c r="I381" s="3">
        <v>45761</v>
      </c>
      <c r="J381" s="3">
        <f>EDATE(Table1[[#This Row],[Application_Date]],1)</f>
        <v>45791</v>
      </c>
      <c r="K381" s="9">
        <v>7164000</v>
      </c>
      <c r="L381" s="9">
        <f>Table1[[#This Row],[Annual_Income]]/12</f>
        <v>597000</v>
      </c>
      <c r="M381" s="9">
        <v>7364000</v>
      </c>
      <c r="N381" s="5">
        <f ca="1">DATEDIF(Table1[[#This Row],[EMI_payment_date]],TODAY(),"m")</f>
        <v>14</v>
      </c>
      <c r="O381" s="9">
        <f>15*Table1[[#This Row],[monthly_EMI]]</f>
        <v>2686500</v>
      </c>
      <c r="P381" s="1">
        <v>9.75</v>
      </c>
      <c r="Q381" s="9">
        <f>Table1[[#This Row],[monthly_income]]*30%</f>
        <v>179100</v>
      </c>
      <c r="R381" s="1">
        <f>ROUNDUP(NPER(P381/100/12,-Q381,Table1[[#This Row],[Loan_Amount]]),0)</f>
        <v>51</v>
      </c>
      <c r="S381" s="1">
        <v>736</v>
      </c>
      <c r="T381" s="1" t="s">
        <v>20</v>
      </c>
      <c r="U381" s="1" t="str">
        <f>IF(Table1[[#This Row],[Repayment_Status]]="late","bad loan","good loan")</f>
        <v>good loan</v>
      </c>
      <c r="V381" s="1" t="str">
        <f>IF(Table1[[#This Row],[Repayment_Status]]="late","high","low")</f>
        <v>low</v>
      </c>
      <c r="W381" s="1">
        <f>(Table1[[#This Row],[monthly_EMI]]/Table1[[#This Row],[monthly_income]])*100</f>
        <v>30</v>
      </c>
      <c r="X381" s="7">
        <v>26331.98</v>
      </c>
    </row>
    <row r="382" spans="1:24" x14ac:dyDescent="0.25">
      <c r="A382" s="1" t="s">
        <v>647</v>
      </c>
      <c r="B382" s="2" t="s">
        <v>912</v>
      </c>
      <c r="C382" s="5">
        <v>39</v>
      </c>
      <c r="D382" s="1" t="s">
        <v>26</v>
      </c>
      <c r="E382" s="1" t="s">
        <v>33</v>
      </c>
      <c r="F382" s="1" t="s">
        <v>51</v>
      </c>
      <c r="G382" s="1">
        <f>YEAR(Table1[[#This Row],[Application_Date]])</f>
        <v>2025</v>
      </c>
      <c r="H382" s="1" t="str">
        <f>TEXT(Table1[[#This Row],[EMI_payment_date]],"mmmm")</f>
        <v>May</v>
      </c>
      <c r="I382" s="3">
        <v>45762</v>
      </c>
      <c r="J382" s="3">
        <f>EDATE(Table1[[#This Row],[Application_Date]],1)</f>
        <v>45792</v>
      </c>
      <c r="K382" s="9">
        <v>8028000</v>
      </c>
      <c r="L382" s="9">
        <f>Table1[[#This Row],[Annual_Income]]/12</f>
        <v>669000</v>
      </c>
      <c r="M382" s="9">
        <v>8228000</v>
      </c>
      <c r="N382" s="5">
        <f ca="1">DATEDIF(Table1[[#This Row],[EMI_payment_date]],TODAY(),"m")</f>
        <v>14</v>
      </c>
      <c r="O382" s="9">
        <f>15*Table1[[#This Row],[monthly_EMI]]</f>
        <v>3010500</v>
      </c>
      <c r="P382" s="1">
        <v>6.77</v>
      </c>
      <c r="Q382" s="9">
        <f>Table1[[#This Row],[monthly_income]]*30%</f>
        <v>200700</v>
      </c>
      <c r="R382" s="1">
        <f>ROUNDUP(NPER(P382/100/12,-Q382,Table1[[#This Row],[Loan_Amount]]),0)</f>
        <v>47</v>
      </c>
      <c r="S382" s="1">
        <v>745</v>
      </c>
      <c r="T382" s="1" t="s">
        <v>37</v>
      </c>
      <c r="U382" s="1" t="str">
        <f>IF(Table1[[#This Row],[Repayment_Status]]="late","bad loan","good loan")</f>
        <v>bad loan</v>
      </c>
      <c r="V382" s="1" t="str">
        <f>IF(Table1[[#This Row],[Repayment_Status]]="late","high","low")</f>
        <v>high</v>
      </c>
      <c r="W382" s="1">
        <f>(Table1[[#This Row],[monthly_EMI]]/Table1[[#This Row],[monthly_income]])*100</f>
        <v>30</v>
      </c>
      <c r="X382" s="7">
        <v>20523.07</v>
      </c>
    </row>
    <row r="383" spans="1:24" x14ac:dyDescent="0.25">
      <c r="A383" s="1" t="s">
        <v>690</v>
      </c>
      <c r="B383" s="2" t="s">
        <v>894</v>
      </c>
      <c r="C383" s="5">
        <v>56</v>
      </c>
      <c r="D383" s="1" t="s">
        <v>26</v>
      </c>
      <c r="E383" s="1" t="s">
        <v>36</v>
      </c>
      <c r="F383" s="1" t="s">
        <v>22</v>
      </c>
      <c r="G383" s="1">
        <f>YEAR(Table1[[#This Row],[Application_Date]])</f>
        <v>2025</v>
      </c>
      <c r="H383" s="1" t="str">
        <f>TEXT(Table1[[#This Row],[EMI_payment_date]],"mmmm")</f>
        <v>May</v>
      </c>
      <c r="I383" s="3">
        <v>45763</v>
      </c>
      <c r="J383" s="3">
        <f>EDATE(Table1[[#This Row],[Application_Date]],1)</f>
        <v>45793</v>
      </c>
      <c r="K383" s="9">
        <v>8544000</v>
      </c>
      <c r="L383" s="9">
        <f>Table1[[#This Row],[Annual_Income]]/12</f>
        <v>712000</v>
      </c>
      <c r="M383" s="9">
        <v>8744000</v>
      </c>
      <c r="N383" s="5">
        <f ca="1">DATEDIF(Table1[[#This Row],[EMI_payment_date]],TODAY(),"m")</f>
        <v>14</v>
      </c>
      <c r="O383" s="9">
        <f>15*Table1[[#This Row],[monthly_EMI]]</f>
        <v>3204000</v>
      </c>
      <c r="P383" s="1">
        <v>5.13</v>
      </c>
      <c r="Q383" s="9">
        <f>Table1[[#This Row],[monthly_income]]*30%</f>
        <v>213600</v>
      </c>
      <c r="R383" s="1">
        <f>ROUNDUP(NPER(P383/100/12,-Q383,Table1[[#This Row],[Loan_Amount]]),0)</f>
        <v>46</v>
      </c>
      <c r="S383" s="1">
        <v>664</v>
      </c>
      <c r="T383" s="1" t="s">
        <v>37</v>
      </c>
      <c r="U383" s="1" t="str">
        <f>IF(Table1[[#This Row],[Repayment_Status]]="late","bad loan","good loan")</f>
        <v>bad loan</v>
      </c>
      <c r="V383" s="1" t="str">
        <f>IF(Table1[[#This Row],[Repayment_Status]]="late","high","low")</f>
        <v>high</v>
      </c>
      <c r="W383" s="1">
        <f>(Table1[[#This Row],[monthly_EMI]]/Table1[[#This Row],[monthly_income]])*100</f>
        <v>30</v>
      </c>
      <c r="X383" s="7">
        <v>11250.88</v>
      </c>
    </row>
    <row r="384" spans="1:24" x14ac:dyDescent="0.25">
      <c r="A384" s="1" t="s">
        <v>485</v>
      </c>
      <c r="B384" s="2" t="s">
        <v>886</v>
      </c>
      <c r="C384" s="5">
        <v>49</v>
      </c>
      <c r="D384" s="1" t="s">
        <v>15</v>
      </c>
      <c r="E384" s="1" t="s">
        <v>16</v>
      </c>
      <c r="F384" s="1" t="s">
        <v>31</v>
      </c>
      <c r="G384" s="1">
        <f>YEAR(Table1[[#This Row],[Application_Date]])</f>
        <v>2025</v>
      </c>
      <c r="H384" s="1" t="str">
        <f>TEXT(Table1[[#This Row],[EMI_payment_date]],"mmmm")</f>
        <v>May</v>
      </c>
      <c r="I384" s="3">
        <v>45764</v>
      </c>
      <c r="J384" s="3">
        <f>EDATE(Table1[[#This Row],[Application_Date]],1)</f>
        <v>45794</v>
      </c>
      <c r="K384" s="9">
        <v>6084000</v>
      </c>
      <c r="L384" s="9">
        <f>Table1[[#This Row],[Annual_Income]]/12</f>
        <v>507000</v>
      </c>
      <c r="M384" s="9">
        <v>6284000</v>
      </c>
      <c r="N384" s="5">
        <f ca="1">DATEDIF(Table1[[#This Row],[EMI_payment_date]],TODAY(),"m")</f>
        <v>14</v>
      </c>
      <c r="O384" s="9">
        <f>15*Table1[[#This Row],[monthly_EMI]]</f>
        <v>2281500</v>
      </c>
      <c r="P384" s="1">
        <v>6.91</v>
      </c>
      <c r="Q384" s="9">
        <f>Table1[[#This Row],[monthly_income]]*30%</f>
        <v>152100</v>
      </c>
      <c r="R384" s="1">
        <f>ROUNDUP(NPER(P384/100/12,-Q384,Table1[[#This Row],[Loan_Amount]]),0)</f>
        <v>48</v>
      </c>
      <c r="S384" s="1">
        <v>651</v>
      </c>
      <c r="T384" s="1" t="s">
        <v>20</v>
      </c>
      <c r="U384" s="1" t="str">
        <f>IF(Table1[[#This Row],[Repayment_Status]]="late","bad loan","good loan")</f>
        <v>good loan</v>
      </c>
      <c r="V384" s="1" t="str">
        <f>IF(Table1[[#This Row],[Repayment_Status]]="late","high","low")</f>
        <v>low</v>
      </c>
      <c r="W384" s="1">
        <f>(Table1[[#This Row],[monthly_EMI]]/Table1[[#This Row],[monthly_income]])*100</f>
        <v>30</v>
      </c>
      <c r="X384" s="7">
        <v>18667.66</v>
      </c>
    </row>
    <row r="385" spans="1:24" x14ac:dyDescent="0.25">
      <c r="A385" s="1" t="s">
        <v>585</v>
      </c>
      <c r="B385" s="2" t="s">
        <v>775</v>
      </c>
      <c r="C385" s="5">
        <v>32</v>
      </c>
      <c r="D385" s="1" t="s">
        <v>26</v>
      </c>
      <c r="E385" s="1" t="s">
        <v>16</v>
      </c>
      <c r="F385" s="1" t="s">
        <v>51</v>
      </c>
      <c r="G385" s="1">
        <f>YEAR(Table1[[#This Row],[Application_Date]])</f>
        <v>2025</v>
      </c>
      <c r="H385" s="1" t="str">
        <f>TEXT(Table1[[#This Row],[EMI_payment_date]],"mmmm")</f>
        <v>May</v>
      </c>
      <c r="I385" s="3">
        <v>45765</v>
      </c>
      <c r="J385" s="3">
        <f>EDATE(Table1[[#This Row],[Application_Date]],1)</f>
        <v>45795</v>
      </c>
      <c r="K385" s="9">
        <v>7284000</v>
      </c>
      <c r="L385" s="9">
        <f>Table1[[#This Row],[Annual_Income]]/12</f>
        <v>607000</v>
      </c>
      <c r="M385" s="9">
        <v>7484000</v>
      </c>
      <c r="N385" s="5">
        <f ca="1">DATEDIF(Table1[[#This Row],[EMI_payment_date]],TODAY(),"m")</f>
        <v>14</v>
      </c>
      <c r="O385" s="9">
        <f>15*Table1[[#This Row],[monthly_EMI]]</f>
        <v>2731500</v>
      </c>
      <c r="P385" s="1">
        <v>9.57</v>
      </c>
      <c r="Q385" s="9">
        <f>Table1[[#This Row],[monthly_income]]*30%</f>
        <v>182100</v>
      </c>
      <c r="R385" s="1">
        <f>ROUNDUP(NPER(P385/100/12,-Q385,Table1[[#This Row],[Loan_Amount]]),0)</f>
        <v>50</v>
      </c>
      <c r="S385" s="1">
        <v>601</v>
      </c>
      <c r="T385" s="1" t="s">
        <v>20</v>
      </c>
      <c r="U385" s="1" t="str">
        <f>IF(Table1[[#This Row],[Repayment_Status]]="late","bad loan","good loan")</f>
        <v>good loan</v>
      </c>
      <c r="V385" s="1" t="str">
        <f>IF(Table1[[#This Row],[Repayment_Status]]="late","high","low")</f>
        <v>low</v>
      </c>
      <c r="W385" s="1">
        <f>(Table1[[#This Row],[monthly_EMI]]/Table1[[#This Row],[monthly_income]])*100</f>
        <v>30</v>
      </c>
      <c r="X385" s="7">
        <v>12371.45</v>
      </c>
    </row>
    <row r="386" spans="1:24" x14ac:dyDescent="0.25">
      <c r="A386" s="1" t="s">
        <v>418</v>
      </c>
      <c r="B386" s="2" t="s">
        <v>872</v>
      </c>
      <c r="C386" s="5">
        <v>51</v>
      </c>
      <c r="D386" s="1" t="s">
        <v>26</v>
      </c>
      <c r="E386" s="1" t="s">
        <v>24</v>
      </c>
      <c r="F386" s="1" t="s">
        <v>31</v>
      </c>
      <c r="G386" s="1">
        <f>YEAR(Table1[[#This Row],[Application_Date]])</f>
        <v>2025</v>
      </c>
      <c r="H386" s="1" t="str">
        <f>TEXT(Table1[[#This Row],[EMI_payment_date]],"mmmm")</f>
        <v>May</v>
      </c>
      <c r="I386" s="3">
        <v>45766</v>
      </c>
      <c r="J386" s="3">
        <f>EDATE(Table1[[#This Row],[Application_Date]],1)</f>
        <v>45796</v>
      </c>
      <c r="K386" s="9">
        <v>5280000</v>
      </c>
      <c r="L386" s="9">
        <f>Table1[[#This Row],[Annual_Income]]/12</f>
        <v>440000</v>
      </c>
      <c r="M386" s="9">
        <v>5480000</v>
      </c>
      <c r="N386" s="5">
        <f ca="1">DATEDIF(Table1[[#This Row],[EMI_payment_date]],TODAY(),"m")</f>
        <v>14</v>
      </c>
      <c r="O386" s="9">
        <f>15*Table1[[#This Row],[monthly_EMI]]</f>
        <v>1980000</v>
      </c>
      <c r="P386" s="1">
        <v>7.16</v>
      </c>
      <c r="Q386" s="9">
        <f>Table1[[#This Row],[monthly_income]]*30%</f>
        <v>132000</v>
      </c>
      <c r="R386" s="1">
        <f>ROUNDUP(NPER(P386/100/12,-Q386,Table1[[#This Row],[Loan_Amount]]),0)</f>
        <v>48</v>
      </c>
      <c r="S386" s="1">
        <v>611</v>
      </c>
      <c r="T386" s="1" t="s">
        <v>20</v>
      </c>
      <c r="U386" s="1" t="str">
        <f>IF(Table1[[#This Row],[Repayment_Status]]="late","bad loan","good loan")</f>
        <v>good loan</v>
      </c>
      <c r="V386" s="1" t="str">
        <f>IF(Table1[[#This Row],[Repayment_Status]]="late","high","low")</f>
        <v>low</v>
      </c>
      <c r="W386" s="1">
        <f>(Table1[[#This Row],[monthly_EMI]]/Table1[[#This Row],[monthly_income]])*100</f>
        <v>30</v>
      </c>
      <c r="X386" s="7">
        <v>9543.19</v>
      </c>
    </row>
    <row r="387" spans="1:24" x14ac:dyDescent="0.25">
      <c r="A387" s="1" t="s">
        <v>620</v>
      </c>
      <c r="B387" s="2" t="s">
        <v>917</v>
      </c>
      <c r="C387" s="5">
        <v>23</v>
      </c>
      <c r="D387" s="1" t="s">
        <v>15</v>
      </c>
      <c r="E387" s="1" t="s">
        <v>27</v>
      </c>
      <c r="F387" s="1" t="s">
        <v>31</v>
      </c>
      <c r="G387" s="1">
        <f>YEAR(Table1[[#This Row],[Application_Date]])</f>
        <v>2025</v>
      </c>
      <c r="H387" s="1" t="str">
        <f>TEXT(Table1[[#This Row],[EMI_payment_date]],"mmmm")</f>
        <v>May</v>
      </c>
      <c r="I387" s="3">
        <v>45767</v>
      </c>
      <c r="J387" s="3">
        <f>EDATE(Table1[[#This Row],[Application_Date]],1)</f>
        <v>45797</v>
      </c>
      <c r="K387" s="9">
        <v>7704000</v>
      </c>
      <c r="L387" s="9">
        <f>Table1[[#This Row],[Annual_Income]]/12</f>
        <v>642000</v>
      </c>
      <c r="M387" s="9">
        <v>7904000</v>
      </c>
      <c r="N387" s="5">
        <f ca="1">DATEDIF(Table1[[#This Row],[EMI_payment_date]],TODAY(),"m")</f>
        <v>14</v>
      </c>
      <c r="O387" s="9">
        <f>15*Table1[[#This Row],[monthly_EMI]]</f>
        <v>2889000</v>
      </c>
      <c r="P387" s="1">
        <v>6.47</v>
      </c>
      <c r="Q387" s="9">
        <f>Table1[[#This Row],[monthly_income]]*30%</f>
        <v>192600</v>
      </c>
      <c r="R387" s="1">
        <f>ROUNDUP(NPER(P387/100/12,-Q387,Table1[[#This Row],[Loan_Amount]]),0)</f>
        <v>47</v>
      </c>
      <c r="S387" s="1">
        <v>726</v>
      </c>
      <c r="T387" s="1" t="s">
        <v>37</v>
      </c>
      <c r="U387" s="1" t="str">
        <f>IF(Table1[[#This Row],[Repayment_Status]]="late","bad loan","good loan")</f>
        <v>bad loan</v>
      </c>
      <c r="V387" s="1" t="str">
        <f>IF(Table1[[#This Row],[Repayment_Status]]="late","high","low")</f>
        <v>high</v>
      </c>
      <c r="W387" s="1">
        <f>(Table1[[#This Row],[monthly_EMI]]/Table1[[#This Row],[monthly_income]])*100</f>
        <v>30</v>
      </c>
      <c r="X387" s="7">
        <v>19766.29</v>
      </c>
    </row>
    <row r="388" spans="1:24" x14ac:dyDescent="0.25">
      <c r="A388" s="1" t="s">
        <v>441</v>
      </c>
      <c r="B388" s="2" t="s">
        <v>903</v>
      </c>
      <c r="C388" s="5">
        <v>32</v>
      </c>
      <c r="D388" s="1" t="s">
        <v>15</v>
      </c>
      <c r="E388" s="1" t="s">
        <v>24</v>
      </c>
      <c r="F388" s="1" t="s">
        <v>51</v>
      </c>
      <c r="G388" s="1">
        <f>YEAR(Table1[[#This Row],[Application_Date]])</f>
        <v>2025</v>
      </c>
      <c r="H388" s="1" t="str">
        <f>TEXT(Table1[[#This Row],[EMI_payment_date]],"mmmm")</f>
        <v>May</v>
      </c>
      <c r="I388" s="3">
        <v>45768</v>
      </c>
      <c r="J388" s="3">
        <f>EDATE(Table1[[#This Row],[Application_Date]],1)</f>
        <v>45798</v>
      </c>
      <c r="K388" s="9">
        <v>5556000</v>
      </c>
      <c r="L388" s="9">
        <f>Table1[[#This Row],[Annual_Income]]/12</f>
        <v>463000</v>
      </c>
      <c r="M388" s="9">
        <v>5756000</v>
      </c>
      <c r="N388" s="5">
        <f ca="1">DATEDIF(Table1[[#This Row],[EMI_payment_date]],TODAY(),"m")</f>
        <v>14</v>
      </c>
      <c r="O388" s="9">
        <f>15*Table1[[#This Row],[monthly_EMI]]</f>
        <v>2083500</v>
      </c>
      <c r="P388" s="1">
        <v>8.36</v>
      </c>
      <c r="Q388" s="9">
        <f>Table1[[#This Row],[monthly_income]]*30%</f>
        <v>138900</v>
      </c>
      <c r="R388" s="1">
        <f>ROUNDUP(NPER(P388/100/12,-Q388,Table1[[#This Row],[Loan_Amount]]),0)</f>
        <v>50</v>
      </c>
      <c r="S388" s="1">
        <v>672</v>
      </c>
      <c r="T388" s="1" t="s">
        <v>37</v>
      </c>
      <c r="U388" s="1" t="str">
        <f>IF(Table1[[#This Row],[Repayment_Status]]="late","bad loan","good loan")</f>
        <v>bad loan</v>
      </c>
      <c r="V388" s="1" t="str">
        <f>IF(Table1[[#This Row],[Repayment_Status]]="late","high","low")</f>
        <v>high</v>
      </c>
      <c r="W388" s="1">
        <f>(Table1[[#This Row],[monthly_EMI]]/Table1[[#This Row],[monthly_income]])*100</f>
        <v>30</v>
      </c>
      <c r="X388" s="7">
        <v>17397.009999999998</v>
      </c>
    </row>
    <row r="389" spans="1:24" x14ac:dyDescent="0.25">
      <c r="A389" s="1" t="s">
        <v>151</v>
      </c>
      <c r="B389" s="2" t="s">
        <v>823</v>
      </c>
      <c r="C389" s="5">
        <v>59</v>
      </c>
      <c r="D389" s="1" t="s">
        <v>26</v>
      </c>
      <c r="E389" s="1" t="s">
        <v>33</v>
      </c>
      <c r="F389" s="1" t="s">
        <v>51</v>
      </c>
      <c r="G389" s="1">
        <f>YEAR(Table1[[#This Row],[Application_Date]])</f>
        <v>2025</v>
      </c>
      <c r="H389" s="1" t="str">
        <f>TEXT(Table1[[#This Row],[EMI_payment_date]],"mmmm")</f>
        <v>May</v>
      </c>
      <c r="I389" s="3">
        <v>45769</v>
      </c>
      <c r="J389" s="3">
        <f>EDATE(Table1[[#This Row],[Application_Date]],1)</f>
        <v>45799</v>
      </c>
      <c r="K389" s="9">
        <v>2076000</v>
      </c>
      <c r="L389" s="9">
        <f>Table1[[#This Row],[Annual_Income]]/12</f>
        <v>173000</v>
      </c>
      <c r="M389" s="9">
        <v>2276000</v>
      </c>
      <c r="N389" s="5">
        <f ca="1">DATEDIF(Table1[[#This Row],[EMI_payment_date]],TODAY(),"m")</f>
        <v>14</v>
      </c>
      <c r="O389" s="9">
        <f>15*Table1[[#This Row],[monthly_EMI]]</f>
        <v>778500</v>
      </c>
      <c r="P389" s="1">
        <v>7.86</v>
      </c>
      <c r="Q389" s="9">
        <f>Table1[[#This Row],[monthly_income]]*30%</f>
        <v>51900</v>
      </c>
      <c r="R389" s="1">
        <f>ROUNDUP(NPER(P389/100/12,-Q389,Table1[[#This Row],[Loan_Amount]]),0)</f>
        <v>52</v>
      </c>
      <c r="S389" s="1">
        <v>789</v>
      </c>
      <c r="T389" s="1" t="s">
        <v>20</v>
      </c>
      <c r="U389" s="1" t="str">
        <f>IF(Table1[[#This Row],[Repayment_Status]]="late","bad loan","good loan")</f>
        <v>good loan</v>
      </c>
      <c r="V389" s="1" t="str">
        <f>IF(Table1[[#This Row],[Repayment_Status]]="late","high","low")</f>
        <v>low</v>
      </c>
      <c r="W389" s="1">
        <f>(Table1[[#This Row],[monthly_EMI]]/Table1[[#This Row],[monthly_income]])*100</f>
        <v>30</v>
      </c>
      <c r="X389" s="7">
        <v>14549.13</v>
      </c>
    </row>
    <row r="390" spans="1:24" x14ac:dyDescent="0.25">
      <c r="A390" s="1" t="s">
        <v>235</v>
      </c>
      <c r="B390" s="2" t="s">
        <v>849</v>
      </c>
      <c r="C390" s="5">
        <v>41</v>
      </c>
      <c r="D390" s="1" t="s">
        <v>15</v>
      </c>
      <c r="E390" s="1" t="s">
        <v>24</v>
      </c>
      <c r="F390" s="1" t="s">
        <v>31</v>
      </c>
      <c r="G390" s="1">
        <f>YEAR(Table1[[#This Row],[Application_Date]])</f>
        <v>2025</v>
      </c>
      <c r="H390" s="1" t="str">
        <f>TEXT(Table1[[#This Row],[EMI_payment_date]],"mmmm")</f>
        <v>May</v>
      </c>
      <c r="I390" s="3">
        <v>45770</v>
      </c>
      <c r="J390" s="3">
        <f>EDATE(Table1[[#This Row],[Application_Date]],1)</f>
        <v>45800</v>
      </c>
      <c r="K390" s="9">
        <v>3084000</v>
      </c>
      <c r="L390" s="9">
        <f>Table1[[#This Row],[Annual_Income]]/12</f>
        <v>257000</v>
      </c>
      <c r="M390" s="9">
        <v>3284000</v>
      </c>
      <c r="N390" s="5">
        <f ca="1">DATEDIF(Table1[[#This Row],[EMI_payment_date]],TODAY(),"m")</f>
        <v>14</v>
      </c>
      <c r="O390" s="9">
        <f>15*Table1[[#This Row],[monthly_EMI]]</f>
        <v>1156500</v>
      </c>
      <c r="P390" s="1">
        <v>6.07</v>
      </c>
      <c r="Q390" s="9">
        <f>Table1[[#This Row],[monthly_income]]*30%</f>
        <v>77100</v>
      </c>
      <c r="R390" s="1">
        <f>ROUNDUP(NPER(P390/100/12,-Q390,Table1[[#This Row],[Loan_Amount]]),0)</f>
        <v>49</v>
      </c>
      <c r="S390" s="1">
        <v>760</v>
      </c>
      <c r="T390" s="1" t="s">
        <v>20</v>
      </c>
      <c r="U390" s="1" t="str">
        <f>IF(Table1[[#This Row],[Repayment_Status]]="late","bad loan","good loan")</f>
        <v>good loan</v>
      </c>
      <c r="V390" s="1" t="str">
        <f>IF(Table1[[#This Row],[Repayment_Status]]="late","high","low")</f>
        <v>low</v>
      </c>
      <c r="W390" s="1">
        <f>(Table1[[#This Row],[monthly_EMI]]/Table1[[#This Row],[monthly_income]])*100</f>
        <v>30</v>
      </c>
      <c r="X390" s="7">
        <v>12383.59</v>
      </c>
    </row>
    <row r="391" spans="1:24" x14ac:dyDescent="0.25">
      <c r="A391" s="1" t="s">
        <v>685</v>
      </c>
      <c r="B391" s="2" t="s">
        <v>778</v>
      </c>
      <c r="C391" s="5">
        <v>43</v>
      </c>
      <c r="D391" s="1" t="s">
        <v>15</v>
      </c>
      <c r="E391" s="1" t="s">
        <v>33</v>
      </c>
      <c r="F391" s="1" t="s">
        <v>19</v>
      </c>
      <c r="G391" s="1">
        <f>YEAR(Table1[[#This Row],[Application_Date]])</f>
        <v>2025</v>
      </c>
      <c r="H391" s="1" t="str">
        <f>TEXT(Table1[[#This Row],[EMI_payment_date]],"mmmm")</f>
        <v>May</v>
      </c>
      <c r="I391" s="3">
        <v>45771</v>
      </c>
      <c r="J391" s="3">
        <f>EDATE(Table1[[#This Row],[Application_Date]],1)</f>
        <v>45801</v>
      </c>
      <c r="K391" s="9">
        <v>8484000</v>
      </c>
      <c r="L391" s="9">
        <f>Table1[[#This Row],[Annual_Income]]/12</f>
        <v>707000</v>
      </c>
      <c r="M391" s="9">
        <v>8684000</v>
      </c>
      <c r="N391" s="5">
        <f ca="1">DATEDIF(Table1[[#This Row],[EMI_payment_date]],TODAY(),"m")</f>
        <v>14</v>
      </c>
      <c r="O391" s="9">
        <f>15*Table1[[#This Row],[monthly_EMI]]</f>
        <v>3181500</v>
      </c>
      <c r="P391" s="1">
        <v>8.51</v>
      </c>
      <c r="Q391" s="9">
        <f>Table1[[#This Row],[monthly_income]]*30%</f>
        <v>212100</v>
      </c>
      <c r="R391" s="1">
        <f>ROUNDUP(NPER(P391/100/12,-Q391,Table1[[#This Row],[Loan_Amount]]),0)</f>
        <v>49</v>
      </c>
      <c r="S391" s="1">
        <v>805</v>
      </c>
      <c r="T391" s="1" t="s">
        <v>37</v>
      </c>
      <c r="U391" s="1" t="str">
        <f>IF(Table1[[#This Row],[Repayment_Status]]="late","bad loan","good loan")</f>
        <v>bad loan</v>
      </c>
      <c r="V391" s="1" t="str">
        <f>IF(Table1[[#This Row],[Repayment_Status]]="late","high","low")</f>
        <v>high</v>
      </c>
      <c r="W391" s="1">
        <f>(Table1[[#This Row],[monthly_EMI]]/Table1[[#This Row],[monthly_income]])*100</f>
        <v>30</v>
      </c>
      <c r="X391" s="7">
        <v>33337.480000000003</v>
      </c>
    </row>
    <row r="392" spans="1:24" x14ac:dyDescent="0.25">
      <c r="A392" s="1" t="s">
        <v>660</v>
      </c>
      <c r="B392" s="2" t="s">
        <v>890</v>
      </c>
      <c r="C392" s="5">
        <v>30</v>
      </c>
      <c r="D392" s="1" t="s">
        <v>15</v>
      </c>
      <c r="E392" s="1" t="s">
        <v>36</v>
      </c>
      <c r="F392" s="1" t="s">
        <v>17</v>
      </c>
      <c r="G392" s="1">
        <f>YEAR(Table1[[#This Row],[Application_Date]])</f>
        <v>2025</v>
      </c>
      <c r="H392" s="1" t="str">
        <f>TEXT(Table1[[#This Row],[EMI_payment_date]],"mmmm")</f>
        <v>May</v>
      </c>
      <c r="I392" s="3">
        <v>45772</v>
      </c>
      <c r="J392" s="3">
        <f>EDATE(Table1[[#This Row],[Application_Date]],1)</f>
        <v>45802</v>
      </c>
      <c r="K392" s="9">
        <v>8184000</v>
      </c>
      <c r="L392" s="9">
        <f>Table1[[#This Row],[Annual_Income]]/12</f>
        <v>682000</v>
      </c>
      <c r="M392" s="9">
        <v>8384000</v>
      </c>
      <c r="N392" s="5">
        <f ca="1">DATEDIF(Table1[[#This Row],[EMI_payment_date]],TODAY(),"m")</f>
        <v>14</v>
      </c>
      <c r="O392" s="9">
        <f>15*Table1[[#This Row],[monthly_EMI]]</f>
        <v>3069000</v>
      </c>
      <c r="P392" s="1">
        <v>5.94</v>
      </c>
      <c r="Q392" s="9">
        <f>Table1[[#This Row],[monthly_income]]*30%</f>
        <v>204600</v>
      </c>
      <c r="R392" s="1">
        <f>ROUNDUP(NPER(P392/100/12,-Q392,Table1[[#This Row],[Loan_Amount]]),0)</f>
        <v>46</v>
      </c>
      <c r="S392" s="1">
        <v>690</v>
      </c>
      <c r="T392" s="1" t="s">
        <v>37</v>
      </c>
      <c r="U392" s="1" t="str">
        <f>IF(Table1[[#This Row],[Repayment_Status]]="late","bad loan","good loan")</f>
        <v>bad loan</v>
      </c>
      <c r="V392" s="1" t="str">
        <f>IF(Table1[[#This Row],[Repayment_Status]]="late","high","low")</f>
        <v>high</v>
      </c>
      <c r="W392" s="1">
        <f>(Table1[[#This Row],[monthly_EMI]]/Table1[[#This Row],[monthly_income]])*100</f>
        <v>30</v>
      </c>
      <c r="X392" s="7">
        <v>10806.13</v>
      </c>
    </row>
    <row r="393" spans="1:24" x14ac:dyDescent="0.25">
      <c r="A393" s="1" t="s">
        <v>187</v>
      </c>
      <c r="B393" s="2" t="s">
        <v>777</v>
      </c>
      <c r="C393" s="5">
        <v>36</v>
      </c>
      <c r="D393" s="1" t="s">
        <v>15</v>
      </c>
      <c r="E393" s="1" t="s">
        <v>24</v>
      </c>
      <c r="F393" s="1" t="s">
        <v>17</v>
      </c>
      <c r="G393" s="1">
        <f>YEAR(Table1[[#This Row],[Application_Date]])</f>
        <v>2025</v>
      </c>
      <c r="H393" s="1" t="str">
        <f>TEXT(Table1[[#This Row],[EMI_payment_date]],"mmmm")</f>
        <v>May</v>
      </c>
      <c r="I393" s="3">
        <v>45773</v>
      </c>
      <c r="J393" s="3">
        <f>EDATE(Table1[[#This Row],[Application_Date]],1)</f>
        <v>45803</v>
      </c>
      <c r="K393" s="9">
        <v>2508000</v>
      </c>
      <c r="L393" s="9">
        <f>Table1[[#This Row],[Annual_Income]]/12</f>
        <v>209000</v>
      </c>
      <c r="M393" s="9">
        <v>2708000</v>
      </c>
      <c r="N393" s="5">
        <f ca="1">DATEDIF(Table1[[#This Row],[EMI_payment_date]],TODAY(),"m")</f>
        <v>14</v>
      </c>
      <c r="O393" s="9">
        <f>15*Table1[[#This Row],[monthly_EMI]]</f>
        <v>940500</v>
      </c>
      <c r="P393" s="1">
        <v>6.05</v>
      </c>
      <c r="Q393" s="9">
        <f>Table1[[#This Row],[monthly_income]]*30%</f>
        <v>62700</v>
      </c>
      <c r="R393" s="1">
        <f>ROUNDUP(NPER(P393/100/12,-Q393,Table1[[#This Row],[Loan_Amount]]),0)</f>
        <v>49</v>
      </c>
      <c r="S393" s="1">
        <v>729</v>
      </c>
      <c r="T393" s="1" t="s">
        <v>20</v>
      </c>
      <c r="U393" s="1" t="str">
        <f>IF(Table1[[#This Row],[Repayment_Status]]="late","bad loan","good loan")</f>
        <v>good loan</v>
      </c>
      <c r="V393" s="1" t="str">
        <f>IF(Table1[[#This Row],[Repayment_Status]]="late","high","low")</f>
        <v>low</v>
      </c>
      <c r="W393" s="1">
        <f>(Table1[[#This Row],[monthly_EMI]]/Table1[[#This Row],[monthly_income]])*100</f>
        <v>30</v>
      </c>
      <c r="X393" s="7">
        <v>24467.23</v>
      </c>
    </row>
    <row r="394" spans="1:24" x14ac:dyDescent="0.25">
      <c r="A394" s="1" t="s">
        <v>168</v>
      </c>
      <c r="B394" s="2" t="s">
        <v>769</v>
      </c>
      <c r="C394" s="5">
        <v>24</v>
      </c>
      <c r="D394" s="1" t="s">
        <v>26</v>
      </c>
      <c r="E394" s="1" t="s">
        <v>33</v>
      </c>
      <c r="F394" s="1" t="s">
        <v>17</v>
      </c>
      <c r="G394" s="1">
        <f>YEAR(Table1[[#This Row],[Application_Date]])</f>
        <v>2025</v>
      </c>
      <c r="H394" s="1" t="str">
        <f>TEXT(Table1[[#This Row],[EMI_payment_date]],"mmmm")</f>
        <v>May</v>
      </c>
      <c r="I394" s="3">
        <v>45774</v>
      </c>
      <c r="J394" s="3">
        <f>EDATE(Table1[[#This Row],[Application_Date]],1)</f>
        <v>45804</v>
      </c>
      <c r="K394" s="9">
        <v>2280000</v>
      </c>
      <c r="L394" s="9">
        <f>Table1[[#This Row],[Annual_Income]]/12</f>
        <v>190000</v>
      </c>
      <c r="M394" s="9">
        <v>2480000</v>
      </c>
      <c r="N394" s="5">
        <f ca="1">DATEDIF(Table1[[#This Row],[EMI_payment_date]],TODAY(),"m")</f>
        <v>14</v>
      </c>
      <c r="O394" s="9">
        <f>15*Table1[[#This Row],[monthly_EMI]]</f>
        <v>855000</v>
      </c>
      <c r="P394" s="1">
        <v>7.36</v>
      </c>
      <c r="Q394" s="9">
        <f>Table1[[#This Row],[monthly_income]]*30%</f>
        <v>57000</v>
      </c>
      <c r="R394" s="1">
        <f>ROUNDUP(NPER(P394/100/12,-Q394,Table1[[#This Row],[Loan_Amount]]),0)</f>
        <v>51</v>
      </c>
      <c r="S394" s="1">
        <v>663</v>
      </c>
      <c r="T394" s="1" t="s">
        <v>37</v>
      </c>
      <c r="U394" s="1" t="str">
        <f>IF(Table1[[#This Row],[Repayment_Status]]="late","bad loan","good loan")</f>
        <v>bad loan</v>
      </c>
      <c r="V394" s="1" t="str">
        <f>IF(Table1[[#This Row],[Repayment_Status]]="late","high","low")</f>
        <v>high</v>
      </c>
      <c r="W394" s="1">
        <f>(Table1[[#This Row],[monthly_EMI]]/Table1[[#This Row],[monthly_income]])*100</f>
        <v>30</v>
      </c>
      <c r="X394" s="7">
        <v>22666.95</v>
      </c>
    </row>
    <row r="395" spans="1:24" x14ac:dyDescent="0.25">
      <c r="A395" s="1" t="s">
        <v>618</v>
      </c>
      <c r="B395" s="2" t="s">
        <v>768</v>
      </c>
      <c r="C395" s="5">
        <v>54</v>
      </c>
      <c r="D395" s="1" t="s">
        <v>26</v>
      </c>
      <c r="E395" s="1" t="s">
        <v>36</v>
      </c>
      <c r="F395" s="1" t="s">
        <v>51</v>
      </c>
      <c r="G395" s="1">
        <f>YEAR(Table1[[#This Row],[Application_Date]])</f>
        <v>2025</v>
      </c>
      <c r="H395" s="1" t="str">
        <f>TEXT(Table1[[#This Row],[EMI_payment_date]],"mmmm")</f>
        <v>May</v>
      </c>
      <c r="I395" s="3">
        <v>45775</v>
      </c>
      <c r="J395" s="3">
        <f>EDATE(Table1[[#This Row],[Application_Date]],1)</f>
        <v>45805</v>
      </c>
      <c r="K395" s="9">
        <v>7680000</v>
      </c>
      <c r="L395" s="9">
        <f>Table1[[#This Row],[Annual_Income]]/12</f>
        <v>640000</v>
      </c>
      <c r="M395" s="9">
        <v>7880000</v>
      </c>
      <c r="N395" s="5">
        <f ca="1">DATEDIF(Table1[[#This Row],[EMI_payment_date]],TODAY(),"m")</f>
        <v>14</v>
      </c>
      <c r="O395" s="9">
        <f>15*Table1[[#This Row],[monthly_EMI]]</f>
        <v>2880000</v>
      </c>
      <c r="P395" s="1">
        <v>6.23</v>
      </c>
      <c r="Q395" s="9">
        <f>Table1[[#This Row],[monthly_income]]*30%</f>
        <v>192000</v>
      </c>
      <c r="R395" s="1">
        <f>ROUNDUP(NPER(P395/100/12,-Q395,Table1[[#This Row],[Loan_Amount]]),0)</f>
        <v>47</v>
      </c>
      <c r="S395" s="1">
        <v>734</v>
      </c>
      <c r="T395" s="1" t="s">
        <v>20</v>
      </c>
      <c r="U395" s="1" t="str">
        <f>IF(Table1[[#This Row],[Repayment_Status]]="late","bad loan","good loan")</f>
        <v>good loan</v>
      </c>
      <c r="V395" s="1" t="str">
        <f>IF(Table1[[#This Row],[Repayment_Status]]="late","high","low")</f>
        <v>low</v>
      </c>
      <c r="W395" s="1">
        <f>(Table1[[#This Row],[monthly_EMI]]/Table1[[#This Row],[monthly_income]])*100</f>
        <v>30</v>
      </c>
      <c r="X395" s="7">
        <v>6205.37</v>
      </c>
    </row>
    <row r="396" spans="1:24" x14ac:dyDescent="0.25">
      <c r="A396" s="1" t="s">
        <v>230</v>
      </c>
      <c r="B396" s="2" t="s">
        <v>795</v>
      </c>
      <c r="C396" s="5">
        <v>46</v>
      </c>
      <c r="D396" s="1" t="s">
        <v>26</v>
      </c>
      <c r="E396" s="1" t="s">
        <v>24</v>
      </c>
      <c r="F396" s="1" t="s">
        <v>19</v>
      </c>
      <c r="G396" s="1">
        <f>YEAR(Table1[[#This Row],[Application_Date]])</f>
        <v>2025</v>
      </c>
      <c r="H396" s="1" t="str">
        <f>TEXT(Table1[[#This Row],[EMI_payment_date]],"mmmm")</f>
        <v>May</v>
      </c>
      <c r="I396" s="3">
        <v>45776</v>
      </c>
      <c r="J396" s="3">
        <f>EDATE(Table1[[#This Row],[Application_Date]],1)</f>
        <v>45806</v>
      </c>
      <c r="K396" s="9">
        <v>3024000</v>
      </c>
      <c r="L396" s="9">
        <f>Table1[[#This Row],[Annual_Income]]/12</f>
        <v>252000</v>
      </c>
      <c r="M396" s="9">
        <v>3224000</v>
      </c>
      <c r="N396" s="5">
        <f ca="1">DATEDIF(Table1[[#This Row],[EMI_payment_date]],TODAY(),"m")</f>
        <v>14</v>
      </c>
      <c r="O396" s="9">
        <f>15*Table1[[#This Row],[monthly_EMI]]</f>
        <v>1134000</v>
      </c>
      <c r="P396" s="1">
        <v>9.9</v>
      </c>
      <c r="Q396" s="9">
        <f>Table1[[#This Row],[monthly_income]]*30%</f>
        <v>75600</v>
      </c>
      <c r="R396" s="1">
        <f>ROUNDUP(NPER(P396/100/12,-Q396,Table1[[#This Row],[Loan_Amount]]),0)</f>
        <v>53</v>
      </c>
      <c r="S396" s="1">
        <v>791</v>
      </c>
      <c r="T396" s="1" t="s">
        <v>20</v>
      </c>
      <c r="U396" s="1" t="str">
        <f>IF(Table1[[#This Row],[Repayment_Status]]="late","bad loan","good loan")</f>
        <v>good loan</v>
      </c>
      <c r="V396" s="1" t="str">
        <f>IF(Table1[[#This Row],[Repayment_Status]]="late","high","low")</f>
        <v>low</v>
      </c>
      <c r="W396" s="1">
        <f>(Table1[[#This Row],[monthly_EMI]]/Table1[[#This Row],[monthly_income]])*100</f>
        <v>30</v>
      </c>
      <c r="X396" s="7">
        <v>33194.36</v>
      </c>
    </row>
    <row r="397" spans="1:24" x14ac:dyDescent="0.25">
      <c r="A397" s="1" t="s">
        <v>57</v>
      </c>
      <c r="B397" s="2" t="s">
        <v>756</v>
      </c>
      <c r="C397" s="5">
        <v>23</v>
      </c>
      <c r="D397" s="1" t="s">
        <v>26</v>
      </c>
      <c r="E397" s="1" t="s">
        <v>36</v>
      </c>
      <c r="F397" s="1" t="s">
        <v>51</v>
      </c>
      <c r="G397" s="1">
        <f>YEAR(Table1[[#This Row],[Application_Date]])</f>
        <v>2025</v>
      </c>
      <c r="H397" s="1" t="str">
        <f>TEXT(Table1[[#This Row],[EMI_payment_date]],"mmmm")</f>
        <v>May</v>
      </c>
      <c r="I397" s="3">
        <v>45777</v>
      </c>
      <c r="J397" s="3">
        <f>EDATE(Table1[[#This Row],[Application_Date]],1)</f>
        <v>45807</v>
      </c>
      <c r="K397" s="9">
        <v>936000</v>
      </c>
      <c r="L397" s="9">
        <f>Table1[[#This Row],[Annual_Income]]/12</f>
        <v>78000</v>
      </c>
      <c r="M397" s="9">
        <v>1136000</v>
      </c>
      <c r="N397" s="5">
        <f ca="1">DATEDIF(Table1[[#This Row],[EMI_payment_date]],TODAY(),"m")</f>
        <v>14</v>
      </c>
      <c r="O397" s="9">
        <f>15*Table1[[#This Row],[monthly_EMI]]</f>
        <v>351000</v>
      </c>
      <c r="P397" s="1">
        <v>5.52</v>
      </c>
      <c r="Q397" s="9">
        <f>Table1[[#This Row],[monthly_income]]*30%</f>
        <v>23400</v>
      </c>
      <c r="R397" s="1">
        <f>ROUNDUP(NPER(P397/100/12,-Q397,Table1[[#This Row],[Loan_Amount]]),0)</f>
        <v>56</v>
      </c>
      <c r="S397" s="1">
        <v>794</v>
      </c>
      <c r="T397" s="1" t="s">
        <v>20</v>
      </c>
      <c r="U397" s="1" t="str">
        <f>IF(Table1[[#This Row],[Repayment_Status]]="late","bad loan","good loan")</f>
        <v>good loan</v>
      </c>
      <c r="V397" s="1" t="str">
        <f>IF(Table1[[#This Row],[Repayment_Status]]="late","high","low")</f>
        <v>low</v>
      </c>
      <c r="W397" s="1">
        <f>(Table1[[#This Row],[monthly_EMI]]/Table1[[#This Row],[monthly_income]])*100</f>
        <v>30</v>
      </c>
      <c r="X397" s="7">
        <v>21108.36</v>
      </c>
    </row>
    <row r="398" spans="1:24" x14ac:dyDescent="0.25">
      <c r="A398" s="1" t="s">
        <v>204</v>
      </c>
      <c r="B398" s="2" t="s">
        <v>769</v>
      </c>
      <c r="C398" s="5">
        <v>59</v>
      </c>
      <c r="D398" s="1" t="s">
        <v>15</v>
      </c>
      <c r="E398" s="1" t="s">
        <v>33</v>
      </c>
      <c r="F398" s="1" t="s">
        <v>19</v>
      </c>
      <c r="G398" s="1">
        <f>YEAR(Table1[[#This Row],[Application_Date]])</f>
        <v>2025</v>
      </c>
      <c r="H398" s="1" t="str">
        <f>TEXT(Table1[[#This Row],[EMI_payment_date]],"mmmm")</f>
        <v>June</v>
      </c>
      <c r="I398" s="3">
        <v>45778</v>
      </c>
      <c r="J398" s="3">
        <f>EDATE(Table1[[#This Row],[Application_Date]],1)</f>
        <v>45809</v>
      </c>
      <c r="K398" s="9">
        <v>2712000</v>
      </c>
      <c r="L398" s="9">
        <f>Table1[[#This Row],[Annual_Income]]/12</f>
        <v>226000</v>
      </c>
      <c r="M398" s="9">
        <v>2912000</v>
      </c>
      <c r="N398" s="5">
        <f ca="1">DATEDIF(Table1[[#This Row],[EMI_payment_date]],TODAY(),"m")</f>
        <v>13</v>
      </c>
      <c r="O398" s="9">
        <f>14*Table1[[#This Row],[monthly_EMI]]</f>
        <v>949200</v>
      </c>
      <c r="P398" s="1">
        <v>5.94</v>
      </c>
      <c r="Q398" s="9">
        <f>Table1[[#This Row],[monthly_income]]*30%</f>
        <v>67800</v>
      </c>
      <c r="R398" s="1">
        <f>ROUNDUP(NPER(P398/100/12,-Q398,Table1[[#This Row],[Loan_Amount]]),0)</f>
        <v>49</v>
      </c>
      <c r="S398" s="1">
        <v>698</v>
      </c>
      <c r="T398" s="1" t="s">
        <v>37</v>
      </c>
      <c r="U398" s="1" t="str">
        <f>IF(Table1[[#This Row],[Repayment_Status]]="late","bad loan","good loan")</f>
        <v>bad loan</v>
      </c>
      <c r="V398" s="1" t="str">
        <f>IF(Table1[[#This Row],[Repayment_Status]]="late","high","low")</f>
        <v>high</v>
      </c>
      <c r="W398" s="1">
        <f>(Table1[[#This Row],[monthly_EMI]]/Table1[[#This Row],[monthly_income]])*100</f>
        <v>30</v>
      </c>
      <c r="X398" s="7">
        <v>16196.97</v>
      </c>
    </row>
    <row r="399" spans="1:24" x14ac:dyDescent="0.25">
      <c r="A399" s="1" t="s">
        <v>648</v>
      </c>
      <c r="B399" s="2" t="s">
        <v>838</v>
      </c>
      <c r="C399" s="5">
        <v>57</v>
      </c>
      <c r="D399" s="1" t="s">
        <v>26</v>
      </c>
      <c r="E399" s="1" t="s">
        <v>29</v>
      </c>
      <c r="F399" s="1" t="s">
        <v>17</v>
      </c>
      <c r="G399" s="1">
        <f>YEAR(Table1[[#This Row],[Application_Date]])</f>
        <v>2025</v>
      </c>
      <c r="H399" s="1" t="str">
        <f>TEXT(Table1[[#This Row],[EMI_payment_date]],"mmmm")</f>
        <v>June</v>
      </c>
      <c r="I399" s="3">
        <v>45779</v>
      </c>
      <c r="J399" s="3">
        <f>EDATE(Table1[[#This Row],[Application_Date]],1)</f>
        <v>45810</v>
      </c>
      <c r="K399" s="9">
        <v>8040000</v>
      </c>
      <c r="L399" s="9">
        <f>Table1[[#This Row],[Annual_Income]]/12</f>
        <v>670000</v>
      </c>
      <c r="M399" s="9">
        <v>8240000</v>
      </c>
      <c r="N399" s="5">
        <f ca="1">DATEDIF(Table1[[#This Row],[EMI_payment_date]],TODAY(),"m")</f>
        <v>13</v>
      </c>
      <c r="O399" s="9">
        <f>14*Table1[[#This Row],[monthly_EMI]]</f>
        <v>2814000</v>
      </c>
      <c r="P399" s="1">
        <v>6.34</v>
      </c>
      <c r="Q399" s="9">
        <f>Table1[[#This Row],[monthly_income]]*30%</f>
        <v>201000</v>
      </c>
      <c r="R399" s="1">
        <f>ROUNDUP(NPER(P399/100/12,-Q399,Table1[[#This Row],[Loan_Amount]]),0)</f>
        <v>47</v>
      </c>
      <c r="S399" s="1">
        <v>637</v>
      </c>
      <c r="T399" s="1" t="s">
        <v>37</v>
      </c>
      <c r="U399" s="1" t="str">
        <f>IF(Table1[[#This Row],[Repayment_Status]]="late","bad loan","good loan")</f>
        <v>bad loan</v>
      </c>
      <c r="V399" s="1" t="str">
        <f>IF(Table1[[#This Row],[Repayment_Status]]="late","high","low")</f>
        <v>high</v>
      </c>
      <c r="W399" s="1">
        <f>(Table1[[#This Row],[monthly_EMI]]/Table1[[#This Row],[monthly_income]])*100</f>
        <v>30</v>
      </c>
      <c r="X399" s="7">
        <v>23673.59</v>
      </c>
    </row>
    <row r="400" spans="1:24" x14ac:dyDescent="0.25">
      <c r="A400" s="1" t="s">
        <v>390</v>
      </c>
      <c r="B400" s="2" t="s">
        <v>896</v>
      </c>
      <c r="C400" s="5">
        <v>32</v>
      </c>
      <c r="D400" s="1" t="s">
        <v>26</v>
      </c>
      <c r="E400" s="1" t="s">
        <v>24</v>
      </c>
      <c r="F400" s="1" t="s">
        <v>22</v>
      </c>
      <c r="G400" s="1">
        <f>YEAR(Table1[[#This Row],[Application_Date]])</f>
        <v>2025</v>
      </c>
      <c r="H400" s="1" t="str">
        <f>TEXT(Table1[[#This Row],[EMI_payment_date]],"mmmm")</f>
        <v>June</v>
      </c>
      <c r="I400" s="3">
        <v>45780</v>
      </c>
      <c r="J400" s="3">
        <f>EDATE(Table1[[#This Row],[Application_Date]],1)</f>
        <v>45811</v>
      </c>
      <c r="K400" s="9">
        <v>4944000</v>
      </c>
      <c r="L400" s="9">
        <f>Table1[[#This Row],[Annual_Income]]/12</f>
        <v>412000</v>
      </c>
      <c r="M400" s="9">
        <v>5144000</v>
      </c>
      <c r="N400" s="5">
        <f ca="1">DATEDIF(Table1[[#This Row],[EMI_payment_date]],TODAY(),"m")</f>
        <v>13</v>
      </c>
      <c r="O400" s="9">
        <f>14*Table1[[#This Row],[monthly_EMI]]</f>
        <v>1730400</v>
      </c>
      <c r="P400" s="1">
        <v>6.37</v>
      </c>
      <c r="Q400" s="9">
        <f>Table1[[#This Row],[monthly_income]]*30%</f>
        <v>123600</v>
      </c>
      <c r="R400" s="1">
        <f>ROUNDUP(NPER(P400/100/12,-Q400,Table1[[#This Row],[Loan_Amount]]),0)</f>
        <v>48</v>
      </c>
      <c r="S400" s="1">
        <v>741</v>
      </c>
      <c r="T400" s="1" t="s">
        <v>37</v>
      </c>
      <c r="U400" s="1" t="str">
        <f>IF(Table1[[#This Row],[Repayment_Status]]="late","bad loan","good loan")</f>
        <v>bad loan</v>
      </c>
      <c r="V400" s="1" t="str">
        <f>IF(Table1[[#This Row],[Repayment_Status]]="late","high","low")</f>
        <v>high</v>
      </c>
      <c r="W400" s="1">
        <f>(Table1[[#This Row],[monthly_EMI]]/Table1[[#This Row],[monthly_income]])*100</f>
        <v>30</v>
      </c>
      <c r="X400" s="7">
        <v>8252.18</v>
      </c>
    </row>
    <row r="401" spans="1:24" x14ac:dyDescent="0.25">
      <c r="A401" s="1" t="s">
        <v>365</v>
      </c>
      <c r="B401" s="2" t="s">
        <v>859</v>
      </c>
      <c r="C401" s="5">
        <v>45</v>
      </c>
      <c r="D401" s="1" t="s">
        <v>26</v>
      </c>
      <c r="E401" s="1" t="s">
        <v>29</v>
      </c>
      <c r="F401" s="1" t="s">
        <v>31</v>
      </c>
      <c r="G401" s="1">
        <f>YEAR(Table1[[#This Row],[Application_Date]])</f>
        <v>2025</v>
      </c>
      <c r="H401" s="1" t="str">
        <f>TEXT(Table1[[#This Row],[EMI_payment_date]],"mmmm")</f>
        <v>June</v>
      </c>
      <c r="I401" s="3">
        <v>45781</v>
      </c>
      <c r="J401" s="3">
        <f>EDATE(Table1[[#This Row],[Application_Date]],1)</f>
        <v>45812</v>
      </c>
      <c r="K401" s="9">
        <v>4644000</v>
      </c>
      <c r="L401" s="9">
        <f>Table1[[#This Row],[Annual_Income]]/12</f>
        <v>387000</v>
      </c>
      <c r="M401" s="9">
        <v>4844000</v>
      </c>
      <c r="N401" s="5">
        <f ca="1">DATEDIF(Table1[[#This Row],[EMI_payment_date]],TODAY(),"m")</f>
        <v>13</v>
      </c>
      <c r="O401" s="9">
        <f>14*Table1[[#This Row],[monthly_EMI]]</f>
        <v>1625400</v>
      </c>
      <c r="P401" s="1">
        <v>7.42</v>
      </c>
      <c r="Q401" s="9">
        <f>Table1[[#This Row],[monthly_income]]*30%</f>
        <v>116100</v>
      </c>
      <c r="R401" s="1">
        <f>ROUNDUP(NPER(P401/100/12,-Q401,Table1[[#This Row],[Loan_Amount]]),0)</f>
        <v>49</v>
      </c>
      <c r="S401" s="1">
        <v>792</v>
      </c>
      <c r="T401" s="1" t="s">
        <v>20</v>
      </c>
      <c r="U401" s="1" t="str">
        <f>IF(Table1[[#This Row],[Repayment_Status]]="late","bad loan","good loan")</f>
        <v>good loan</v>
      </c>
      <c r="V401" s="1" t="str">
        <f>IF(Table1[[#This Row],[Repayment_Status]]="late","high","low")</f>
        <v>low</v>
      </c>
      <c r="W401" s="1">
        <f>(Table1[[#This Row],[monthly_EMI]]/Table1[[#This Row],[monthly_income]])*100</f>
        <v>30</v>
      </c>
      <c r="X401" s="7">
        <v>18722.03</v>
      </c>
    </row>
    <row r="402" spans="1:24" x14ac:dyDescent="0.25">
      <c r="A402" s="1" t="s">
        <v>539</v>
      </c>
      <c r="B402" s="2" t="s">
        <v>765</v>
      </c>
      <c r="C402" s="5">
        <v>27</v>
      </c>
      <c r="D402" s="1" t="s">
        <v>26</v>
      </c>
      <c r="E402" s="1" t="s">
        <v>36</v>
      </c>
      <c r="F402" s="1" t="s">
        <v>17</v>
      </c>
      <c r="G402" s="1">
        <f>YEAR(Table1[[#This Row],[Application_Date]])</f>
        <v>2025</v>
      </c>
      <c r="H402" s="1" t="str">
        <f>TEXT(Table1[[#This Row],[EMI_payment_date]],"mmmm")</f>
        <v>June</v>
      </c>
      <c r="I402" s="3">
        <v>45782</v>
      </c>
      <c r="J402" s="3">
        <f>EDATE(Table1[[#This Row],[Application_Date]],1)</f>
        <v>45813</v>
      </c>
      <c r="K402" s="9">
        <v>6732000</v>
      </c>
      <c r="L402" s="9">
        <f>Table1[[#This Row],[Annual_Income]]/12</f>
        <v>561000</v>
      </c>
      <c r="M402" s="9">
        <v>6932000</v>
      </c>
      <c r="N402" s="5">
        <f ca="1">DATEDIF(Table1[[#This Row],[EMI_payment_date]],TODAY(),"m")</f>
        <v>13</v>
      </c>
      <c r="O402" s="9">
        <f>14*Table1[[#This Row],[monthly_EMI]]</f>
        <v>2356200</v>
      </c>
      <c r="P402" s="1">
        <v>7.04</v>
      </c>
      <c r="Q402" s="9">
        <f>Table1[[#This Row],[monthly_income]]*30%</f>
        <v>168300</v>
      </c>
      <c r="R402" s="1">
        <f>ROUNDUP(NPER(P402/100/12,-Q402,Table1[[#This Row],[Loan_Amount]]),0)</f>
        <v>48</v>
      </c>
      <c r="S402" s="1">
        <v>809</v>
      </c>
      <c r="T402" s="1" t="s">
        <v>20</v>
      </c>
      <c r="U402" s="1" t="str">
        <f>IF(Table1[[#This Row],[Repayment_Status]]="late","bad loan","good loan")</f>
        <v>good loan</v>
      </c>
      <c r="V402" s="1" t="str">
        <f>IF(Table1[[#This Row],[Repayment_Status]]="late","high","low")</f>
        <v>low</v>
      </c>
      <c r="W402" s="1">
        <f>(Table1[[#This Row],[monthly_EMI]]/Table1[[#This Row],[monthly_income]])*100</f>
        <v>30</v>
      </c>
      <c r="X402" s="7">
        <v>21425.49</v>
      </c>
    </row>
    <row r="403" spans="1:24" x14ac:dyDescent="0.25">
      <c r="A403" s="1" t="s">
        <v>604</v>
      </c>
      <c r="B403" s="2" t="s">
        <v>766</v>
      </c>
      <c r="C403" s="5">
        <v>31</v>
      </c>
      <c r="D403" s="1" t="s">
        <v>26</v>
      </c>
      <c r="E403" s="1" t="s">
        <v>29</v>
      </c>
      <c r="F403" s="1" t="s">
        <v>31</v>
      </c>
      <c r="G403" s="1">
        <f>YEAR(Table1[[#This Row],[Application_Date]])</f>
        <v>2025</v>
      </c>
      <c r="H403" s="1" t="str">
        <f>TEXT(Table1[[#This Row],[EMI_payment_date]],"mmmm")</f>
        <v>June</v>
      </c>
      <c r="I403" s="3">
        <v>45783</v>
      </c>
      <c r="J403" s="3">
        <f>EDATE(Table1[[#This Row],[Application_Date]],1)</f>
        <v>45814</v>
      </c>
      <c r="K403" s="9">
        <v>7512000</v>
      </c>
      <c r="L403" s="9">
        <f>Table1[[#This Row],[Annual_Income]]/12</f>
        <v>626000</v>
      </c>
      <c r="M403" s="9">
        <v>7712000</v>
      </c>
      <c r="N403" s="5">
        <f ca="1">DATEDIF(Table1[[#This Row],[EMI_payment_date]],TODAY(),"m")</f>
        <v>13</v>
      </c>
      <c r="O403" s="9">
        <f>14*Table1[[#This Row],[monthly_EMI]]</f>
        <v>2629200</v>
      </c>
      <c r="P403" s="1">
        <v>9.36</v>
      </c>
      <c r="Q403" s="9">
        <f>Table1[[#This Row],[monthly_income]]*30%</f>
        <v>187800</v>
      </c>
      <c r="R403" s="1">
        <f>ROUNDUP(NPER(P403/100/12,-Q403,Table1[[#This Row],[Loan_Amount]]),0)</f>
        <v>50</v>
      </c>
      <c r="S403" s="1">
        <v>700</v>
      </c>
      <c r="T403" s="1" t="s">
        <v>20</v>
      </c>
      <c r="U403" s="1" t="str">
        <f>IF(Table1[[#This Row],[Repayment_Status]]="late","bad loan","good loan")</f>
        <v>good loan</v>
      </c>
      <c r="V403" s="1" t="str">
        <f>IF(Table1[[#This Row],[Repayment_Status]]="late","high","low")</f>
        <v>low</v>
      </c>
      <c r="W403" s="1">
        <f>(Table1[[#This Row],[monthly_EMI]]/Table1[[#This Row],[monthly_income]])*100</f>
        <v>30</v>
      </c>
      <c r="X403" s="7">
        <v>29684.75</v>
      </c>
    </row>
    <row r="404" spans="1:24" x14ac:dyDescent="0.25">
      <c r="A404" s="1" t="s">
        <v>174</v>
      </c>
      <c r="B404" s="2" t="s">
        <v>814</v>
      </c>
      <c r="C404" s="5">
        <v>31</v>
      </c>
      <c r="D404" s="1" t="s">
        <v>15</v>
      </c>
      <c r="E404" s="1" t="s">
        <v>24</v>
      </c>
      <c r="F404" s="1" t="s">
        <v>22</v>
      </c>
      <c r="G404" s="1">
        <f>YEAR(Table1[[#This Row],[Application_Date]])</f>
        <v>2025</v>
      </c>
      <c r="H404" s="1" t="str">
        <f>TEXT(Table1[[#This Row],[EMI_payment_date]],"mmmm")</f>
        <v>June</v>
      </c>
      <c r="I404" s="3">
        <v>45784</v>
      </c>
      <c r="J404" s="3">
        <f>EDATE(Table1[[#This Row],[Application_Date]],1)</f>
        <v>45815</v>
      </c>
      <c r="K404" s="9">
        <v>2352000</v>
      </c>
      <c r="L404" s="9">
        <f>Table1[[#This Row],[Annual_Income]]/12</f>
        <v>196000</v>
      </c>
      <c r="M404" s="9">
        <v>2552000</v>
      </c>
      <c r="N404" s="5">
        <f ca="1">DATEDIF(Table1[[#This Row],[EMI_payment_date]],TODAY(),"m")</f>
        <v>13</v>
      </c>
      <c r="O404" s="9">
        <f>14*Table1[[#This Row],[monthly_EMI]]</f>
        <v>823200</v>
      </c>
      <c r="P404" s="1">
        <v>7.32</v>
      </c>
      <c r="Q404" s="9">
        <f>Table1[[#This Row],[monthly_income]]*30%</f>
        <v>58800</v>
      </c>
      <c r="R404" s="1">
        <f>ROUNDUP(NPER(P404/100/12,-Q404,Table1[[#This Row],[Loan_Amount]]),0)</f>
        <v>51</v>
      </c>
      <c r="S404" s="1">
        <v>782</v>
      </c>
      <c r="T404" s="1" t="s">
        <v>20</v>
      </c>
      <c r="U404" s="1" t="str">
        <f>IF(Table1[[#This Row],[Repayment_Status]]="late","bad loan","good loan")</f>
        <v>good loan</v>
      </c>
      <c r="V404" s="1" t="str">
        <f>IF(Table1[[#This Row],[Repayment_Status]]="late","high","low")</f>
        <v>low</v>
      </c>
      <c r="W404" s="1">
        <f>(Table1[[#This Row],[monthly_EMI]]/Table1[[#This Row],[monthly_income]])*100</f>
        <v>30</v>
      </c>
      <c r="X404" s="7">
        <v>23208.02</v>
      </c>
    </row>
    <row r="405" spans="1:24" x14ac:dyDescent="0.25">
      <c r="A405" s="1" t="s">
        <v>633</v>
      </c>
      <c r="B405" s="2" t="s">
        <v>805</v>
      </c>
      <c r="C405" s="5">
        <v>51</v>
      </c>
      <c r="D405" s="1" t="s">
        <v>26</v>
      </c>
      <c r="E405" s="1" t="s">
        <v>27</v>
      </c>
      <c r="F405" s="1" t="s">
        <v>19</v>
      </c>
      <c r="G405" s="1">
        <f>YEAR(Table1[[#This Row],[Application_Date]])</f>
        <v>2025</v>
      </c>
      <c r="H405" s="1" t="str">
        <f>TEXT(Table1[[#This Row],[EMI_payment_date]],"mmmm")</f>
        <v>June</v>
      </c>
      <c r="I405" s="3">
        <v>45785</v>
      </c>
      <c r="J405" s="3">
        <f>EDATE(Table1[[#This Row],[Application_Date]],1)</f>
        <v>45816</v>
      </c>
      <c r="K405" s="9">
        <v>7860000</v>
      </c>
      <c r="L405" s="9">
        <f>Table1[[#This Row],[Annual_Income]]/12</f>
        <v>655000</v>
      </c>
      <c r="M405" s="9">
        <v>8060000</v>
      </c>
      <c r="N405" s="5">
        <f ca="1">DATEDIF(Table1[[#This Row],[EMI_payment_date]],TODAY(),"m")</f>
        <v>13</v>
      </c>
      <c r="O405" s="9">
        <f>14*Table1[[#This Row],[monthly_EMI]]</f>
        <v>2751000</v>
      </c>
      <c r="P405" s="1">
        <v>5.21</v>
      </c>
      <c r="Q405" s="9">
        <f>Table1[[#This Row],[monthly_income]]*30%</f>
        <v>196500</v>
      </c>
      <c r="R405" s="1">
        <f>ROUNDUP(NPER(P405/100/12,-Q405,Table1[[#This Row],[Loan_Amount]]),0)</f>
        <v>46</v>
      </c>
      <c r="S405" s="1">
        <v>717</v>
      </c>
      <c r="T405" s="1" t="s">
        <v>20</v>
      </c>
      <c r="U405" s="1" t="str">
        <f>IF(Table1[[#This Row],[Repayment_Status]]="late","bad loan","good loan")</f>
        <v>good loan</v>
      </c>
      <c r="V405" s="1" t="str">
        <f>IF(Table1[[#This Row],[Repayment_Status]]="late","high","low")</f>
        <v>low</v>
      </c>
      <c r="W405" s="1">
        <f>(Table1[[#This Row],[monthly_EMI]]/Table1[[#This Row],[monthly_income]])*100</f>
        <v>30</v>
      </c>
      <c r="X405" s="7">
        <v>16848.84</v>
      </c>
    </row>
    <row r="406" spans="1:24" x14ac:dyDescent="0.25">
      <c r="A406" s="1" t="s">
        <v>370</v>
      </c>
      <c r="B406" s="2" t="s">
        <v>819</v>
      </c>
      <c r="C406" s="5">
        <v>27</v>
      </c>
      <c r="D406" s="1" t="s">
        <v>15</v>
      </c>
      <c r="E406" s="1" t="s">
        <v>29</v>
      </c>
      <c r="F406" s="1" t="s">
        <v>22</v>
      </c>
      <c r="G406" s="1">
        <f>YEAR(Table1[[#This Row],[Application_Date]])</f>
        <v>2025</v>
      </c>
      <c r="H406" s="1" t="str">
        <f>TEXT(Table1[[#This Row],[EMI_payment_date]],"mmmm")</f>
        <v>June</v>
      </c>
      <c r="I406" s="3">
        <v>45786</v>
      </c>
      <c r="J406" s="3">
        <f>EDATE(Table1[[#This Row],[Application_Date]],1)</f>
        <v>45817</v>
      </c>
      <c r="K406" s="9">
        <v>4704000</v>
      </c>
      <c r="L406" s="9">
        <f>Table1[[#This Row],[Annual_Income]]/12</f>
        <v>392000</v>
      </c>
      <c r="M406" s="9">
        <v>4904000</v>
      </c>
      <c r="N406" s="5">
        <f ca="1">DATEDIF(Table1[[#This Row],[EMI_payment_date]],TODAY(),"m")</f>
        <v>13</v>
      </c>
      <c r="O406" s="9">
        <f>14*Table1[[#This Row],[monthly_EMI]]</f>
        <v>1646400</v>
      </c>
      <c r="P406" s="1">
        <v>8.3699999999999992</v>
      </c>
      <c r="Q406" s="9">
        <f>Table1[[#This Row],[monthly_income]]*30%</f>
        <v>117600</v>
      </c>
      <c r="R406" s="1">
        <f>ROUNDUP(NPER(P406/100/12,-Q406,Table1[[#This Row],[Loan_Amount]]),0)</f>
        <v>50</v>
      </c>
      <c r="S406" s="1">
        <v>815</v>
      </c>
      <c r="T406" s="1" t="s">
        <v>20</v>
      </c>
      <c r="U406" s="1" t="str">
        <f>IF(Table1[[#This Row],[Repayment_Status]]="late","bad loan","good loan")</f>
        <v>good loan</v>
      </c>
      <c r="V406" s="1" t="str">
        <f>IF(Table1[[#This Row],[Repayment_Status]]="late","high","low")</f>
        <v>low</v>
      </c>
      <c r="W406" s="1">
        <f>(Table1[[#This Row],[monthly_EMI]]/Table1[[#This Row],[monthly_income]])*100</f>
        <v>30</v>
      </c>
      <c r="X406" s="7">
        <v>31600.38</v>
      </c>
    </row>
    <row r="407" spans="1:24" x14ac:dyDescent="0.25">
      <c r="A407" s="1" t="s">
        <v>159</v>
      </c>
      <c r="B407" s="2" t="s">
        <v>759</v>
      </c>
      <c r="C407" s="5">
        <v>29</v>
      </c>
      <c r="D407" s="1" t="s">
        <v>15</v>
      </c>
      <c r="E407" s="1" t="s">
        <v>24</v>
      </c>
      <c r="F407" s="1" t="s">
        <v>31</v>
      </c>
      <c r="G407" s="1">
        <f>YEAR(Table1[[#This Row],[Application_Date]])</f>
        <v>2025</v>
      </c>
      <c r="H407" s="1" t="str">
        <f>TEXT(Table1[[#This Row],[EMI_payment_date]],"mmmm")</f>
        <v>June</v>
      </c>
      <c r="I407" s="3">
        <v>45787</v>
      </c>
      <c r="J407" s="3">
        <f>EDATE(Table1[[#This Row],[Application_Date]],1)</f>
        <v>45818</v>
      </c>
      <c r="K407" s="9">
        <v>2172000</v>
      </c>
      <c r="L407" s="9">
        <f>Table1[[#This Row],[Annual_Income]]/12</f>
        <v>181000</v>
      </c>
      <c r="M407" s="9">
        <v>2372000</v>
      </c>
      <c r="N407" s="5">
        <f ca="1">DATEDIF(Table1[[#This Row],[EMI_payment_date]],TODAY(),"m")</f>
        <v>13</v>
      </c>
      <c r="O407" s="9">
        <f>14*Table1[[#This Row],[monthly_EMI]]</f>
        <v>760200</v>
      </c>
      <c r="P407" s="1">
        <v>5.28</v>
      </c>
      <c r="Q407" s="9">
        <f>Table1[[#This Row],[monthly_income]]*30%</f>
        <v>54300</v>
      </c>
      <c r="R407" s="1">
        <f>ROUNDUP(NPER(P407/100/12,-Q407,Table1[[#This Row],[Loan_Amount]]),0)</f>
        <v>49</v>
      </c>
      <c r="S407" s="1">
        <v>620</v>
      </c>
      <c r="T407" s="1" t="s">
        <v>20</v>
      </c>
      <c r="U407" s="1" t="str">
        <f>IF(Table1[[#This Row],[Repayment_Status]]="late","bad loan","good loan")</f>
        <v>good loan</v>
      </c>
      <c r="V407" s="1" t="str">
        <f>IF(Table1[[#This Row],[Repayment_Status]]="late","high","low")</f>
        <v>low</v>
      </c>
      <c r="W407" s="1">
        <f>(Table1[[#This Row],[monthly_EMI]]/Table1[[#This Row],[monthly_income]])*100</f>
        <v>30</v>
      </c>
      <c r="X407" s="7">
        <v>20708.16</v>
      </c>
    </row>
    <row r="408" spans="1:24" x14ac:dyDescent="0.25">
      <c r="A408" s="1" t="s">
        <v>579</v>
      </c>
      <c r="B408" s="2" t="s">
        <v>748</v>
      </c>
      <c r="C408" s="5">
        <v>41</v>
      </c>
      <c r="D408" s="1" t="s">
        <v>26</v>
      </c>
      <c r="E408" s="1" t="s">
        <v>27</v>
      </c>
      <c r="F408" s="1" t="s">
        <v>17</v>
      </c>
      <c r="G408" s="1">
        <f>YEAR(Table1[[#This Row],[Application_Date]])</f>
        <v>2025</v>
      </c>
      <c r="H408" s="1" t="str">
        <f>TEXT(Table1[[#This Row],[EMI_payment_date]],"mmmm")</f>
        <v>June</v>
      </c>
      <c r="I408" s="3">
        <v>45788</v>
      </c>
      <c r="J408" s="3">
        <f>EDATE(Table1[[#This Row],[Application_Date]],1)</f>
        <v>45819</v>
      </c>
      <c r="K408" s="9">
        <v>7212000</v>
      </c>
      <c r="L408" s="9">
        <f>Table1[[#This Row],[Annual_Income]]/12</f>
        <v>601000</v>
      </c>
      <c r="M408" s="9">
        <v>7412000</v>
      </c>
      <c r="N408" s="5">
        <f ca="1">DATEDIF(Table1[[#This Row],[EMI_payment_date]],TODAY(),"m")</f>
        <v>13</v>
      </c>
      <c r="O408" s="9">
        <f>14*Table1[[#This Row],[monthly_EMI]]</f>
        <v>2524200</v>
      </c>
      <c r="P408" s="1">
        <v>8.81</v>
      </c>
      <c r="Q408" s="9">
        <f>Table1[[#This Row],[monthly_income]]*30%</f>
        <v>180300</v>
      </c>
      <c r="R408" s="1">
        <f>ROUNDUP(NPER(P408/100/12,-Q408,Table1[[#This Row],[Loan_Amount]]),0)</f>
        <v>50</v>
      </c>
      <c r="S408" s="1">
        <v>805</v>
      </c>
      <c r="T408" s="1" t="s">
        <v>20</v>
      </c>
      <c r="U408" s="1" t="str">
        <f>IF(Table1[[#This Row],[Repayment_Status]]="late","bad loan","good loan")</f>
        <v>good loan</v>
      </c>
      <c r="V408" s="1" t="str">
        <f>IF(Table1[[#This Row],[Repayment_Status]]="late","high","low")</f>
        <v>low</v>
      </c>
      <c r="W408" s="1">
        <f>(Table1[[#This Row],[monthly_EMI]]/Table1[[#This Row],[monthly_income]])*100</f>
        <v>30</v>
      </c>
      <c r="X408" s="7">
        <v>28808.47</v>
      </c>
    </row>
    <row r="409" spans="1:24" x14ac:dyDescent="0.25">
      <c r="A409" s="1" t="s">
        <v>468</v>
      </c>
      <c r="B409" s="2" t="s">
        <v>749</v>
      </c>
      <c r="C409" s="5">
        <v>24</v>
      </c>
      <c r="D409" s="1" t="s">
        <v>15</v>
      </c>
      <c r="E409" s="1" t="s">
        <v>29</v>
      </c>
      <c r="F409" s="1" t="s">
        <v>22</v>
      </c>
      <c r="G409" s="1">
        <f>YEAR(Table1[[#This Row],[Application_Date]])</f>
        <v>2025</v>
      </c>
      <c r="H409" s="1" t="str">
        <f>TEXT(Table1[[#This Row],[EMI_payment_date]],"mmmm")</f>
        <v>June</v>
      </c>
      <c r="I409" s="3">
        <v>45789</v>
      </c>
      <c r="J409" s="3">
        <f>EDATE(Table1[[#This Row],[Application_Date]],1)</f>
        <v>45820</v>
      </c>
      <c r="K409" s="9">
        <v>5880000</v>
      </c>
      <c r="L409" s="9">
        <f>Table1[[#This Row],[Annual_Income]]/12</f>
        <v>490000</v>
      </c>
      <c r="M409" s="9">
        <v>6080000</v>
      </c>
      <c r="N409" s="5">
        <f ca="1">DATEDIF(Table1[[#This Row],[EMI_payment_date]],TODAY(),"m")</f>
        <v>13</v>
      </c>
      <c r="O409" s="9">
        <f>14*Table1[[#This Row],[monthly_EMI]]</f>
        <v>2058000</v>
      </c>
      <c r="P409" s="1">
        <v>5.35</v>
      </c>
      <c r="Q409" s="9">
        <f>Table1[[#This Row],[monthly_income]]*30%</f>
        <v>147000</v>
      </c>
      <c r="R409" s="1">
        <f>ROUNDUP(NPER(P409/100/12,-Q409,Table1[[#This Row],[Loan_Amount]]),0)</f>
        <v>46</v>
      </c>
      <c r="S409" s="1">
        <v>830</v>
      </c>
      <c r="T409" s="1" t="s">
        <v>20</v>
      </c>
      <c r="U409" s="1" t="str">
        <f>IF(Table1[[#This Row],[Repayment_Status]]="late","bad loan","good loan")</f>
        <v>good loan</v>
      </c>
      <c r="V409" s="1" t="str">
        <f>IF(Table1[[#This Row],[Repayment_Status]]="late","high","low")</f>
        <v>low</v>
      </c>
      <c r="W409" s="1">
        <f>(Table1[[#This Row],[monthly_EMI]]/Table1[[#This Row],[monthly_income]])*100</f>
        <v>30</v>
      </c>
      <c r="X409" s="7">
        <v>5679.37</v>
      </c>
    </row>
    <row r="410" spans="1:24" x14ac:dyDescent="0.25">
      <c r="A410" s="1" t="s">
        <v>587</v>
      </c>
      <c r="B410" s="2" t="s">
        <v>757</v>
      </c>
      <c r="C410" s="5">
        <v>58</v>
      </c>
      <c r="D410" s="1" t="s">
        <v>15</v>
      </c>
      <c r="E410" s="1" t="s">
        <v>36</v>
      </c>
      <c r="F410" s="1" t="s">
        <v>51</v>
      </c>
      <c r="G410" s="1">
        <f>YEAR(Table1[[#This Row],[Application_Date]])</f>
        <v>2025</v>
      </c>
      <c r="H410" s="1" t="str">
        <f>TEXT(Table1[[#This Row],[EMI_payment_date]],"mmmm")</f>
        <v>June</v>
      </c>
      <c r="I410" s="3">
        <v>45790</v>
      </c>
      <c r="J410" s="3">
        <f>EDATE(Table1[[#This Row],[Application_Date]],1)</f>
        <v>45821</v>
      </c>
      <c r="K410" s="9">
        <v>7308000</v>
      </c>
      <c r="L410" s="9">
        <f>Table1[[#This Row],[Annual_Income]]/12</f>
        <v>609000</v>
      </c>
      <c r="M410" s="9">
        <v>7508000</v>
      </c>
      <c r="N410" s="5">
        <f ca="1">DATEDIF(Table1[[#This Row],[EMI_payment_date]],TODAY(),"m")</f>
        <v>13</v>
      </c>
      <c r="O410" s="9">
        <f>14*Table1[[#This Row],[monthly_EMI]]</f>
        <v>2557800</v>
      </c>
      <c r="P410" s="1">
        <v>6.29</v>
      </c>
      <c r="Q410" s="9">
        <f>Table1[[#This Row],[monthly_income]]*30%</f>
        <v>182700</v>
      </c>
      <c r="R410" s="1">
        <f>ROUNDUP(NPER(P410/100/12,-Q410,Table1[[#This Row],[Loan_Amount]]),0)</f>
        <v>47</v>
      </c>
      <c r="S410" s="1">
        <v>703</v>
      </c>
      <c r="T410" s="1" t="s">
        <v>20</v>
      </c>
      <c r="U410" s="1" t="str">
        <f>IF(Table1[[#This Row],[Repayment_Status]]="late","bad loan","good loan")</f>
        <v>good loan</v>
      </c>
      <c r="V410" s="1" t="str">
        <f>IF(Table1[[#This Row],[Repayment_Status]]="late","high","low")</f>
        <v>low</v>
      </c>
      <c r="W410" s="1">
        <f>(Table1[[#This Row],[monthly_EMI]]/Table1[[#This Row],[monthly_income]])*100</f>
        <v>30</v>
      </c>
      <c r="X410" s="7">
        <v>8343.5499999999993</v>
      </c>
    </row>
    <row r="411" spans="1:24" x14ac:dyDescent="0.25">
      <c r="A411" s="1" t="s">
        <v>631</v>
      </c>
      <c r="B411" s="2" t="s">
        <v>804</v>
      </c>
      <c r="C411" s="5">
        <v>44</v>
      </c>
      <c r="D411" s="1" t="s">
        <v>26</v>
      </c>
      <c r="E411" s="1" t="s">
        <v>16</v>
      </c>
      <c r="F411" s="1" t="s">
        <v>51</v>
      </c>
      <c r="G411" s="1">
        <f>YEAR(Table1[[#This Row],[Application_Date]])</f>
        <v>2025</v>
      </c>
      <c r="H411" s="1" t="str">
        <f>TEXT(Table1[[#This Row],[EMI_payment_date]],"mmmm")</f>
        <v>June</v>
      </c>
      <c r="I411" s="3">
        <v>45791</v>
      </c>
      <c r="J411" s="3">
        <f>EDATE(Table1[[#This Row],[Application_Date]],1)</f>
        <v>45822</v>
      </c>
      <c r="K411" s="9">
        <v>7836000</v>
      </c>
      <c r="L411" s="9">
        <f>Table1[[#This Row],[Annual_Income]]/12</f>
        <v>653000</v>
      </c>
      <c r="M411" s="9">
        <v>8036000</v>
      </c>
      <c r="N411" s="5">
        <f ca="1">DATEDIF(Table1[[#This Row],[EMI_payment_date]],TODAY(),"m")</f>
        <v>13</v>
      </c>
      <c r="O411" s="9">
        <f>14*Table1[[#This Row],[monthly_EMI]]</f>
        <v>2742600</v>
      </c>
      <c r="P411" s="1">
        <v>8.67</v>
      </c>
      <c r="Q411" s="9">
        <f>Table1[[#This Row],[monthly_income]]*30%</f>
        <v>195900</v>
      </c>
      <c r="R411" s="1">
        <f>ROUNDUP(NPER(P411/100/12,-Q411,Table1[[#This Row],[Loan_Amount]]),0)</f>
        <v>49</v>
      </c>
      <c r="S411" s="1">
        <v>638</v>
      </c>
      <c r="T411" s="1" t="s">
        <v>20</v>
      </c>
      <c r="U411" s="1" t="str">
        <f>IF(Table1[[#This Row],[Repayment_Status]]="late","bad loan","good loan")</f>
        <v>good loan</v>
      </c>
      <c r="V411" s="1" t="str">
        <f>IF(Table1[[#This Row],[Repayment_Status]]="late","high","low")</f>
        <v>low</v>
      </c>
      <c r="W411" s="1">
        <f>(Table1[[#This Row],[monthly_EMI]]/Table1[[#This Row],[monthly_income]])*100</f>
        <v>30</v>
      </c>
      <c r="X411" s="7">
        <v>9004.25</v>
      </c>
    </row>
    <row r="412" spans="1:24" x14ac:dyDescent="0.25">
      <c r="A412" s="1" t="s">
        <v>56</v>
      </c>
      <c r="B412" s="2" t="s">
        <v>755</v>
      </c>
      <c r="C412" s="5">
        <v>30</v>
      </c>
      <c r="D412" s="1" t="s">
        <v>15</v>
      </c>
      <c r="E412" s="1" t="s">
        <v>27</v>
      </c>
      <c r="F412" s="1" t="s">
        <v>31</v>
      </c>
      <c r="G412" s="1">
        <f>YEAR(Table1[[#This Row],[Application_Date]])</f>
        <v>2025</v>
      </c>
      <c r="H412" s="1" t="str">
        <f>TEXT(Table1[[#This Row],[EMI_payment_date]],"mmmm")</f>
        <v>June</v>
      </c>
      <c r="I412" s="3">
        <v>45792</v>
      </c>
      <c r="J412" s="3">
        <f>EDATE(Table1[[#This Row],[Application_Date]],1)</f>
        <v>45823</v>
      </c>
      <c r="K412" s="9">
        <v>924000</v>
      </c>
      <c r="L412" s="9">
        <f>Table1[[#This Row],[Annual_Income]]/12</f>
        <v>77000</v>
      </c>
      <c r="M412" s="9">
        <v>1124000</v>
      </c>
      <c r="N412" s="5">
        <f ca="1">DATEDIF(Table1[[#This Row],[EMI_payment_date]],TODAY(),"m")</f>
        <v>13</v>
      </c>
      <c r="O412" s="9">
        <f>14*Table1[[#This Row],[monthly_EMI]]</f>
        <v>323400</v>
      </c>
      <c r="P412" s="1">
        <v>5.0599999999999996</v>
      </c>
      <c r="Q412" s="9">
        <f>Table1[[#This Row],[monthly_income]]*30%</f>
        <v>23100</v>
      </c>
      <c r="R412" s="1">
        <f>ROUNDUP(NPER(P412/100/12,-Q412,Table1[[#This Row],[Loan_Amount]]),0)</f>
        <v>55</v>
      </c>
      <c r="S412" s="1">
        <v>830</v>
      </c>
      <c r="T412" s="1" t="s">
        <v>37</v>
      </c>
      <c r="U412" s="1" t="str">
        <f>IF(Table1[[#This Row],[Repayment_Status]]="late","bad loan","good loan")</f>
        <v>bad loan</v>
      </c>
      <c r="V412" s="1" t="str">
        <f>IF(Table1[[#This Row],[Repayment_Status]]="late","high","low")</f>
        <v>high</v>
      </c>
      <c r="W412" s="1">
        <f>(Table1[[#This Row],[monthly_EMI]]/Table1[[#This Row],[monthly_income]])*100</f>
        <v>30</v>
      </c>
      <c r="X412" s="7">
        <v>17274.47</v>
      </c>
    </row>
    <row r="413" spans="1:24" x14ac:dyDescent="0.25">
      <c r="A413" s="1" t="s">
        <v>67</v>
      </c>
      <c r="B413" s="2" t="s">
        <v>766</v>
      </c>
      <c r="C413" s="5">
        <v>24</v>
      </c>
      <c r="D413" s="1" t="s">
        <v>15</v>
      </c>
      <c r="E413" s="1" t="s">
        <v>16</v>
      </c>
      <c r="F413" s="1" t="s">
        <v>19</v>
      </c>
      <c r="G413" s="1">
        <f>YEAR(Table1[[#This Row],[Application_Date]])</f>
        <v>2025</v>
      </c>
      <c r="H413" s="1" t="str">
        <f>TEXT(Table1[[#This Row],[EMI_payment_date]],"mmmm")</f>
        <v>June</v>
      </c>
      <c r="I413" s="3">
        <v>45793</v>
      </c>
      <c r="J413" s="3">
        <f>EDATE(Table1[[#This Row],[Application_Date]],1)</f>
        <v>45824</v>
      </c>
      <c r="K413" s="9">
        <v>1056000</v>
      </c>
      <c r="L413" s="9">
        <f>Table1[[#This Row],[Annual_Income]]/12</f>
        <v>88000</v>
      </c>
      <c r="M413" s="9">
        <v>1256000</v>
      </c>
      <c r="N413" s="5">
        <f ca="1">DATEDIF(Table1[[#This Row],[EMI_payment_date]],TODAY(),"m")</f>
        <v>13</v>
      </c>
      <c r="O413" s="9">
        <f>14*Table1[[#This Row],[monthly_EMI]]</f>
        <v>369600</v>
      </c>
      <c r="P413" s="1">
        <v>5.63</v>
      </c>
      <c r="Q413" s="9">
        <f>Table1[[#This Row],[monthly_income]]*30%</f>
        <v>26400</v>
      </c>
      <c r="R413" s="1">
        <f>ROUNDUP(NPER(P413/100/12,-Q413,Table1[[#This Row],[Loan_Amount]]),0)</f>
        <v>54</v>
      </c>
      <c r="S413" s="1">
        <v>660</v>
      </c>
      <c r="T413" s="1" t="s">
        <v>37</v>
      </c>
      <c r="U413" s="1" t="str">
        <f>IF(Table1[[#This Row],[Repayment_Status]]="late","bad loan","good loan")</f>
        <v>bad loan</v>
      </c>
      <c r="V413" s="1" t="str">
        <f>IF(Table1[[#This Row],[Repayment_Status]]="late","high","low")</f>
        <v>high</v>
      </c>
      <c r="W413" s="1">
        <f>(Table1[[#This Row],[monthly_EMI]]/Table1[[#This Row],[monthly_income]])*100</f>
        <v>30</v>
      </c>
      <c r="X413" s="7">
        <v>23385.86</v>
      </c>
    </row>
    <row r="414" spans="1:24" x14ac:dyDescent="0.25">
      <c r="A414" s="1" t="s">
        <v>462</v>
      </c>
      <c r="B414" s="2" t="s">
        <v>833</v>
      </c>
      <c r="C414" s="5">
        <v>27</v>
      </c>
      <c r="D414" s="1" t="s">
        <v>26</v>
      </c>
      <c r="E414" s="1" t="s">
        <v>16</v>
      </c>
      <c r="F414" s="1" t="s">
        <v>22</v>
      </c>
      <c r="G414" s="1">
        <f>YEAR(Table1[[#This Row],[Application_Date]])</f>
        <v>2025</v>
      </c>
      <c r="H414" s="1" t="str">
        <f>TEXT(Table1[[#This Row],[EMI_payment_date]],"mmmm")</f>
        <v>June</v>
      </c>
      <c r="I414" s="3">
        <v>45794</v>
      </c>
      <c r="J414" s="3">
        <f>EDATE(Table1[[#This Row],[Application_Date]],1)</f>
        <v>45825</v>
      </c>
      <c r="K414" s="9">
        <v>5808000</v>
      </c>
      <c r="L414" s="9">
        <f>Table1[[#This Row],[Annual_Income]]/12</f>
        <v>484000</v>
      </c>
      <c r="M414" s="9">
        <v>6008000</v>
      </c>
      <c r="N414" s="5">
        <f ca="1">DATEDIF(Table1[[#This Row],[EMI_payment_date]],TODAY(),"m")</f>
        <v>13</v>
      </c>
      <c r="O414" s="9">
        <f>14*Table1[[#This Row],[monthly_EMI]]</f>
        <v>2032800</v>
      </c>
      <c r="P414" s="1">
        <v>9.0399999999999991</v>
      </c>
      <c r="Q414" s="9">
        <f>Table1[[#This Row],[monthly_income]]*30%</f>
        <v>145200</v>
      </c>
      <c r="R414" s="1">
        <f>ROUNDUP(NPER(P414/100/12,-Q414,Table1[[#This Row],[Loan_Amount]]),0)</f>
        <v>50</v>
      </c>
      <c r="S414" s="1">
        <v>806</v>
      </c>
      <c r="T414" s="1" t="s">
        <v>20</v>
      </c>
      <c r="U414" s="1" t="str">
        <f>IF(Table1[[#This Row],[Repayment_Status]]="late","bad loan","good loan")</f>
        <v>good loan</v>
      </c>
      <c r="V414" s="1" t="str">
        <f>IF(Table1[[#This Row],[Repayment_Status]]="late","high","low")</f>
        <v>low</v>
      </c>
      <c r="W414" s="1">
        <f>(Table1[[#This Row],[monthly_EMI]]/Table1[[#This Row],[monthly_income]])*100</f>
        <v>30</v>
      </c>
      <c r="X414" s="7">
        <v>18445.759999999998</v>
      </c>
    </row>
    <row r="415" spans="1:24" x14ac:dyDescent="0.25">
      <c r="A415" s="1" t="s">
        <v>289</v>
      </c>
      <c r="B415" s="2" t="s">
        <v>875</v>
      </c>
      <c r="C415" s="5">
        <v>52</v>
      </c>
      <c r="D415" s="1" t="s">
        <v>15</v>
      </c>
      <c r="E415" s="1" t="s">
        <v>27</v>
      </c>
      <c r="F415" s="1" t="s">
        <v>22</v>
      </c>
      <c r="G415" s="1">
        <f>YEAR(Table1[[#This Row],[Application_Date]])</f>
        <v>2025</v>
      </c>
      <c r="H415" s="1" t="str">
        <f>TEXT(Table1[[#This Row],[EMI_payment_date]],"mmmm")</f>
        <v>June</v>
      </c>
      <c r="I415" s="3">
        <v>45795</v>
      </c>
      <c r="J415" s="3">
        <f>EDATE(Table1[[#This Row],[Application_Date]],1)</f>
        <v>45826</v>
      </c>
      <c r="K415" s="9">
        <v>3732000</v>
      </c>
      <c r="L415" s="9">
        <f>Table1[[#This Row],[Annual_Income]]/12</f>
        <v>311000</v>
      </c>
      <c r="M415" s="9">
        <v>3932000</v>
      </c>
      <c r="N415" s="5">
        <f ca="1">DATEDIF(Table1[[#This Row],[EMI_payment_date]],TODAY(),"m")</f>
        <v>13</v>
      </c>
      <c r="O415" s="9">
        <f>14*Table1[[#This Row],[monthly_EMI]]</f>
        <v>1306200</v>
      </c>
      <c r="P415" s="1">
        <v>7.03</v>
      </c>
      <c r="Q415" s="9">
        <f>Table1[[#This Row],[monthly_income]]*30%</f>
        <v>93300</v>
      </c>
      <c r="R415" s="1">
        <f>ROUNDUP(NPER(P415/100/12,-Q415,Table1[[#This Row],[Loan_Amount]]),0)</f>
        <v>49</v>
      </c>
      <c r="S415" s="1">
        <v>770</v>
      </c>
      <c r="T415" s="1" t="s">
        <v>20</v>
      </c>
      <c r="U415" s="1" t="str">
        <f>IF(Table1[[#This Row],[Repayment_Status]]="late","bad loan","good loan")</f>
        <v>good loan</v>
      </c>
      <c r="V415" s="1" t="str">
        <f>IF(Table1[[#This Row],[Repayment_Status]]="late","high","low")</f>
        <v>low</v>
      </c>
      <c r="W415" s="1">
        <f>(Table1[[#This Row],[monthly_EMI]]/Table1[[#This Row],[monthly_income]])*100</f>
        <v>30</v>
      </c>
      <c r="X415" s="7">
        <v>11063.03</v>
      </c>
    </row>
    <row r="416" spans="1:24" x14ac:dyDescent="0.25">
      <c r="A416" s="1" t="s">
        <v>52</v>
      </c>
      <c r="B416" s="2" t="s">
        <v>751</v>
      </c>
      <c r="C416" s="5">
        <v>41</v>
      </c>
      <c r="D416" s="1" t="s">
        <v>26</v>
      </c>
      <c r="E416" s="1" t="s">
        <v>27</v>
      </c>
      <c r="F416" s="1" t="s">
        <v>51</v>
      </c>
      <c r="G416" s="1">
        <f>YEAR(Table1[[#This Row],[Application_Date]])</f>
        <v>2025</v>
      </c>
      <c r="H416" s="1" t="str">
        <f>TEXT(Table1[[#This Row],[EMI_payment_date]],"mmmm")</f>
        <v>June</v>
      </c>
      <c r="I416" s="3">
        <v>45796</v>
      </c>
      <c r="J416" s="3">
        <f>EDATE(Table1[[#This Row],[Application_Date]],1)</f>
        <v>45827</v>
      </c>
      <c r="K416" s="9">
        <v>876000</v>
      </c>
      <c r="L416" s="9">
        <f>Table1[[#This Row],[Annual_Income]]/12</f>
        <v>73000</v>
      </c>
      <c r="M416" s="9">
        <v>1076000</v>
      </c>
      <c r="N416" s="5">
        <f ca="1">DATEDIF(Table1[[#This Row],[EMI_payment_date]],TODAY(),"m")</f>
        <v>13</v>
      </c>
      <c r="O416" s="9">
        <f>14*Table1[[#This Row],[monthly_EMI]]</f>
        <v>306600</v>
      </c>
      <c r="P416" s="1">
        <v>7.72</v>
      </c>
      <c r="Q416" s="9">
        <f>Table1[[#This Row],[monthly_income]]*30%</f>
        <v>21900</v>
      </c>
      <c r="R416" s="1">
        <f>ROUNDUP(NPER(P416/100/12,-Q416,Table1[[#This Row],[Loan_Amount]]),0)</f>
        <v>60</v>
      </c>
      <c r="S416" s="1">
        <v>824</v>
      </c>
      <c r="T416" s="1" t="s">
        <v>20</v>
      </c>
      <c r="U416" s="1" t="str">
        <f>IF(Table1[[#This Row],[Repayment_Status]]="late","bad loan","good loan")</f>
        <v>good loan</v>
      </c>
      <c r="V416" s="1" t="str">
        <f>IF(Table1[[#This Row],[Repayment_Status]]="late","high","low")</f>
        <v>low</v>
      </c>
      <c r="W416" s="1">
        <f>(Table1[[#This Row],[monthly_EMI]]/Table1[[#This Row],[monthly_income]])*100</f>
        <v>30</v>
      </c>
      <c r="X416" s="7">
        <v>30109.14</v>
      </c>
    </row>
    <row r="417" spans="1:24" x14ac:dyDescent="0.25">
      <c r="A417" s="1" t="s">
        <v>260</v>
      </c>
      <c r="B417" s="2" t="s">
        <v>872</v>
      </c>
      <c r="C417" s="5">
        <v>32</v>
      </c>
      <c r="D417" s="1" t="s">
        <v>26</v>
      </c>
      <c r="E417" s="1" t="s">
        <v>16</v>
      </c>
      <c r="F417" s="1" t="s">
        <v>51</v>
      </c>
      <c r="G417" s="1">
        <f>YEAR(Table1[[#This Row],[Application_Date]])</f>
        <v>2025</v>
      </c>
      <c r="H417" s="1" t="str">
        <f>TEXT(Table1[[#This Row],[EMI_payment_date]],"mmmm")</f>
        <v>June</v>
      </c>
      <c r="I417" s="3">
        <v>45797</v>
      </c>
      <c r="J417" s="3">
        <f>EDATE(Table1[[#This Row],[Application_Date]],1)</f>
        <v>45828</v>
      </c>
      <c r="K417" s="9">
        <v>3384000</v>
      </c>
      <c r="L417" s="9">
        <f>Table1[[#This Row],[Annual_Income]]/12</f>
        <v>282000</v>
      </c>
      <c r="M417" s="9">
        <v>3584000</v>
      </c>
      <c r="N417" s="5">
        <f ca="1">DATEDIF(Table1[[#This Row],[EMI_payment_date]],TODAY(),"m")</f>
        <v>13</v>
      </c>
      <c r="O417" s="9">
        <f>14*Table1[[#This Row],[monthly_EMI]]</f>
        <v>1184400</v>
      </c>
      <c r="P417" s="1">
        <v>7.91</v>
      </c>
      <c r="Q417" s="9">
        <f>Table1[[#This Row],[monthly_income]]*30%</f>
        <v>84600</v>
      </c>
      <c r="R417" s="1">
        <f>ROUNDUP(NPER(P417/100/12,-Q417,Table1[[#This Row],[Loan_Amount]]),0)</f>
        <v>50</v>
      </c>
      <c r="S417" s="1">
        <v>753</v>
      </c>
      <c r="T417" s="1" t="s">
        <v>37</v>
      </c>
      <c r="U417" s="1" t="str">
        <f>IF(Table1[[#This Row],[Repayment_Status]]="late","bad loan","good loan")</f>
        <v>bad loan</v>
      </c>
      <c r="V417" s="1" t="str">
        <f>IF(Table1[[#This Row],[Repayment_Status]]="late","high","low")</f>
        <v>high</v>
      </c>
      <c r="W417" s="1">
        <f>(Table1[[#This Row],[monthly_EMI]]/Table1[[#This Row],[monthly_income]])*100</f>
        <v>30</v>
      </c>
      <c r="X417" s="7">
        <v>12084.53</v>
      </c>
    </row>
    <row r="418" spans="1:24" x14ac:dyDescent="0.25">
      <c r="A418" s="1" t="s">
        <v>262</v>
      </c>
      <c r="B418" s="2" t="s">
        <v>828</v>
      </c>
      <c r="C418" s="5">
        <v>49</v>
      </c>
      <c r="D418" s="1" t="s">
        <v>26</v>
      </c>
      <c r="E418" s="1" t="s">
        <v>16</v>
      </c>
      <c r="F418" s="1" t="s">
        <v>17</v>
      </c>
      <c r="G418" s="1">
        <f>YEAR(Table1[[#This Row],[Application_Date]])</f>
        <v>2025</v>
      </c>
      <c r="H418" s="1" t="str">
        <f>TEXT(Table1[[#This Row],[EMI_payment_date]],"mmmm")</f>
        <v>June</v>
      </c>
      <c r="I418" s="3">
        <v>45798</v>
      </c>
      <c r="J418" s="3">
        <f>EDATE(Table1[[#This Row],[Application_Date]],1)</f>
        <v>45829</v>
      </c>
      <c r="K418" s="9">
        <v>3408000</v>
      </c>
      <c r="L418" s="9">
        <f>Table1[[#This Row],[Annual_Income]]/12</f>
        <v>284000</v>
      </c>
      <c r="M418" s="9">
        <v>3608000</v>
      </c>
      <c r="N418" s="5">
        <f ca="1">DATEDIF(Table1[[#This Row],[EMI_payment_date]],TODAY(),"m")</f>
        <v>13</v>
      </c>
      <c r="O418" s="9">
        <f>14*Table1[[#This Row],[monthly_EMI]]</f>
        <v>1192800</v>
      </c>
      <c r="P418" s="1">
        <v>5.31</v>
      </c>
      <c r="Q418" s="9">
        <f>Table1[[#This Row],[monthly_income]]*30%</f>
        <v>85200</v>
      </c>
      <c r="R418" s="1">
        <f>ROUNDUP(NPER(P418/100/12,-Q418,Table1[[#This Row],[Loan_Amount]]),0)</f>
        <v>47</v>
      </c>
      <c r="S418" s="1">
        <v>844</v>
      </c>
      <c r="T418" s="1" t="s">
        <v>20</v>
      </c>
      <c r="U418" s="1" t="str">
        <f>IF(Table1[[#This Row],[Repayment_Status]]="late","bad loan","good loan")</f>
        <v>good loan</v>
      </c>
      <c r="V418" s="1" t="str">
        <f>IF(Table1[[#This Row],[Repayment_Status]]="late","high","low")</f>
        <v>low</v>
      </c>
      <c r="W418" s="1">
        <f>(Table1[[#This Row],[monthly_EMI]]/Table1[[#This Row],[monthly_income]])*100</f>
        <v>30</v>
      </c>
      <c r="X418" s="7">
        <v>9637.02</v>
      </c>
    </row>
    <row r="419" spans="1:24" x14ac:dyDescent="0.25">
      <c r="A419" s="1" t="s">
        <v>305</v>
      </c>
      <c r="B419" s="2" t="s">
        <v>776</v>
      </c>
      <c r="C419" s="5">
        <v>58</v>
      </c>
      <c r="D419" s="1" t="s">
        <v>15</v>
      </c>
      <c r="E419" s="1" t="s">
        <v>16</v>
      </c>
      <c r="F419" s="1" t="s">
        <v>31</v>
      </c>
      <c r="G419" s="1">
        <f>YEAR(Table1[[#This Row],[Application_Date]])</f>
        <v>2025</v>
      </c>
      <c r="H419" s="1" t="str">
        <f>TEXT(Table1[[#This Row],[EMI_payment_date]],"mmmm")</f>
        <v>June</v>
      </c>
      <c r="I419" s="3">
        <v>45799</v>
      </c>
      <c r="J419" s="3">
        <f>EDATE(Table1[[#This Row],[Application_Date]],1)</f>
        <v>45830</v>
      </c>
      <c r="K419" s="9">
        <v>3924000</v>
      </c>
      <c r="L419" s="9">
        <f>Table1[[#This Row],[Annual_Income]]/12</f>
        <v>327000</v>
      </c>
      <c r="M419" s="9">
        <v>4124000</v>
      </c>
      <c r="N419" s="5">
        <f ca="1">DATEDIF(Table1[[#This Row],[EMI_payment_date]],TODAY(),"m")</f>
        <v>13</v>
      </c>
      <c r="O419" s="9">
        <f>14*Table1[[#This Row],[monthly_EMI]]</f>
        <v>1373400</v>
      </c>
      <c r="P419" s="1">
        <v>5.01</v>
      </c>
      <c r="Q419" s="9">
        <f>Table1[[#This Row],[monthly_income]]*30%</f>
        <v>98100</v>
      </c>
      <c r="R419" s="1">
        <f>ROUNDUP(NPER(P419/100/12,-Q419,Table1[[#This Row],[Loan_Amount]]),0)</f>
        <v>47</v>
      </c>
      <c r="S419" s="1">
        <v>728</v>
      </c>
      <c r="T419" s="1" t="s">
        <v>20</v>
      </c>
      <c r="U419" s="1" t="str">
        <f>IF(Table1[[#This Row],[Repayment_Status]]="late","bad loan","good loan")</f>
        <v>good loan</v>
      </c>
      <c r="V419" s="1" t="str">
        <f>IF(Table1[[#This Row],[Repayment_Status]]="late","high","low")</f>
        <v>low</v>
      </c>
      <c r="W419" s="1">
        <f>(Table1[[#This Row],[monthly_EMI]]/Table1[[#This Row],[monthly_income]])*100</f>
        <v>30</v>
      </c>
      <c r="X419" s="7">
        <v>18504.349999999999</v>
      </c>
    </row>
    <row r="420" spans="1:24" x14ac:dyDescent="0.25">
      <c r="A420" s="1" t="s">
        <v>721</v>
      </c>
      <c r="B420" s="2" t="s">
        <v>864</v>
      </c>
      <c r="C420" s="5">
        <v>34</v>
      </c>
      <c r="D420" s="1" t="s">
        <v>26</v>
      </c>
      <c r="E420" s="1" t="s">
        <v>33</v>
      </c>
      <c r="F420" s="1" t="s">
        <v>22</v>
      </c>
      <c r="G420" s="1">
        <f>YEAR(Table1[[#This Row],[Application_Date]])</f>
        <v>2025</v>
      </c>
      <c r="H420" s="1" t="str">
        <f>TEXT(Table1[[#This Row],[EMI_payment_date]],"mmmm")</f>
        <v>June</v>
      </c>
      <c r="I420" s="3">
        <v>45800</v>
      </c>
      <c r="J420" s="3">
        <f>EDATE(Table1[[#This Row],[Application_Date]],1)</f>
        <v>45831</v>
      </c>
      <c r="K420" s="9">
        <v>8916000</v>
      </c>
      <c r="L420" s="9">
        <f>Table1[[#This Row],[Annual_Income]]/12</f>
        <v>743000</v>
      </c>
      <c r="M420" s="9">
        <v>9116000</v>
      </c>
      <c r="N420" s="5">
        <f ca="1">DATEDIF(Table1[[#This Row],[EMI_payment_date]],TODAY(),"m")</f>
        <v>13</v>
      </c>
      <c r="O420" s="9">
        <f>14*Table1[[#This Row],[monthly_EMI]]</f>
        <v>3120600</v>
      </c>
      <c r="P420" s="1">
        <v>7.33</v>
      </c>
      <c r="Q420" s="9">
        <f>Table1[[#This Row],[monthly_income]]*30%</f>
        <v>222900</v>
      </c>
      <c r="R420" s="1">
        <f>ROUNDUP(NPER(P420/100/12,-Q420,Table1[[#This Row],[Loan_Amount]]),0)</f>
        <v>48</v>
      </c>
      <c r="S420" s="1">
        <v>743</v>
      </c>
      <c r="T420" s="1" t="s">
        <v>37</v>
      </c>
      <c r="U420" s="1" t="str">
        <f>IF(Table1[[#This Row],[Repayment_Status]]="late","bad loan","good loan")</f>
        <v>bad loan</v>
      </c>
      <c r="V420" s="1" t="str">
        <f>IF(Table1[[#This Row],[Repayment_Status]]="late","high","low")</f>
        <v>high</v>
      </c>
      <c r="W420" s="1">
        <f>(Table1[[#This Row],[monthly_EMI]]/Table1[[#This Row],[monthly_income]])*100</f>
        <v>30</v>
      </c>
      <c r="X420" s="7">
        <v>22867.47</v>
      </c>
    </row>
    <row r="421" spans="1:24" x14ac:dyDescent="0.25">
      <c r="A421" s="1" t="s">
        <v>465</v>
      </c>
      <c r="B421" s="2" t="s">
        <v>737</v>
      </c>
      <c r="C421" s="5">
        <v>34</v>
      </c>
      <c r="D421" s="1" t="s">
        <v>15</v>
      </c>
      <c r="E421" s="1" t="s">
        <v>24</v>
      </c>
      <c r="F421" s="1" t="s">
        <v>17</v>
      </c>
      <c r="G421" s="1">
        <f>YEAR(Table1[[#This Row],[Application_Date]])</f>
        <v>2025</v>
      </c>
      <c r="H421" s="1" t="str">
        <f>TEXT(Table1[[#This Row],[EMI_payment_date]],"mmmm")</f>
        <v>June</v>
      </c>
      <c r="I421" s="3">
        <v>45801</v>
      </c>
      <c r="J421" s="3">
        <f>EDATE(Table1[[#This Row],[Application_Date]],1)</f>
        <v>45832</v>
      </c>
      <c r="K421" s="9">
        <v>5844000</v>
      </c>
      <c r="L421" s="9">
        <f>Table1[[#This Row],[Annual_Income]]/12</f>
        <v>487000</v>
      </c>
      <c r="M421" s="9">
        <v>6044000</v>
      </c>
      <c r="N421" s="5">
        <f ca="1">DATEDIF(Table1[[#This Row],[EMI_payment_date]],TODAY(),"m")</f>
        <v>13</v>
      </c>
      <c r="O421" s="9">
        <f>14*Table1[[#This Row],[monthly_EMI]]</f>
        <v>2045400</v>
      </c>
      <c r="P421" s="1">
        <v>9.33</v>
      </c>
      <c r="Q421" s="9">
        <f>Table1[[#This Row],[monthly_income]]*30%</f>
        <v>146100</v>
      </c>
      <c r="R421" s="1">
        <f>ROUNDUP(NPER(P421/100/12,-Q421,Table1[[#This Row],[Loan_Amount]]),0)</f>
        <v>51</v>
      </c>
      <c r="S421" s="1">
        <v>752</v>
      </c>
      <c r="T421" s="1" t="s">
        <v>37</v>
      </c>
      <c r="U421" s="1" t="str">
        <f>IF(Table1[[#This Row],[Repayment_Status]]="late","bad loan","good loan")</f>
        <v>bad loan</v>
      </c>
      <c r="V421" s="1" t="str">
        <f>IF(Table1[[#This Row],[Repayment_Status]]="late","high","low")</f>
        <v>high</v>
      </c>
      <c r="W421" s="1">
        <f>(Table1[[#This Row],[monthly_EMI]]/Table1[[#This Row],[monthly_income]])*100</f>
        <v>30</v>
      </c>
      <c r="X421" s="7">
        <v>19172.12</v>
      </c>
    </row>
    <row r="422" spans="1:24" x14ac:dyDescent="0.25">
      <c r="A422" s="1" t="s">
        <v>383</v>
      </c>
      <c r="B422" s="2" t="s">
        <v>895</v>
      </c>
      <c r="C422" s="5">
        <v>28</v>
      </c>
      <c r="D422" s="1" t="s">
        <v>15</v>
      </c>
      <c r="E422" s="1" t="s">
        <v>27</v>
      </c>
      <c r="F422" s="1" t="s">
        <v>31</v>
      </c>
      <c r="G422" s="1">
        <f>YEAR(Table1[[#This Row],[Application_Date]])</f>
        <v>2025</v>
      </c>
      <c r="H422" s="1" t="str">
        <f>TEXT(Table1[[#This Row],[EMI_payment_date]],"mmmm")</f>
        <v>June</v>
      </c>
      <c r="I422" s="3">
        <v>45802</v>
      </c>
      <c r="J422" s="3">
        <f>EDATE(Table1[[#This Row],[Application_Date]],1)</f>
        <v>45833</v>
      </c>
      <c r="K422" s="9">
        <v>4860000</v>
      </c>
      <c r="L422" s="9">
        <f>Table1[[#This Row],[Annual_Income]]/12</f>
        <v>405000</v>
      </c>
      <c r="M422" s="9">
        <v>5060000</v>
      </c>
      <c r="N422" s="5">
        <f ca="1">DATEDIF(Table1[[#This Row],[EMI_payment_date]],TODAY(),"m")</f>
        <v>13</v>
      </c>
      <c r="O422" s="9">
        <f>14*Table1[[#This Row],[monthly_EMI]]</f>
        <v>1701000</v>
      </c>
      <c r="P422" s="1">
        <v>9.81</v>
      </c>
      <c r="Q422" s="9">
        <f>Table1[[#This Row],[monthly_income]]*30%</f>
        <v>121500</v>
      </c>
      <c r="R422" s="1">
        <f>ROUNDUP(NPER(P422/100/12,-Q422,Table1[[#This Row],[Loan_Amount]]),0)</f>
        <v>52</v>
      </c>
      <c r="S422" s="1">
        <v>840</v>
      </c>
      <c r="T422" s="1" t="s">
        <v>20</v>
      </c>
      <c r="U422" s="1" t="str">
        <f>IF(Table1[[#This Row],[Repayment_Status]]="late","bad loan","good loan")</f>
        <v>good loan</v>
      </c>
      <c r="V422" s="1" t="str">
        <f>IF(Table1[[#This Row],[Repayment_Status]]="late","high","low")</f>
        <v>low</v>
      </c>
      <c r="W422" s="1">
        <f>(Table1[[#This Row],[monthly_EMI]]/Table1[[#This Row],[monthly_income]])*100</f>
        <v>30</v>
      </c>
      <c r="X422" s="7">
        <v>25845.27</v>
      </c>
    </row>
    <row r="423" spans="1:24" x14ac:dyDescent="0.25">
      <c r="A423" s="1" t="s">
        <v>391</v>
      </c>
      <c r="B423" s="2" t="s">
        <v>897</v>
      </c>
      <c r="C423" s="5">
        <v>56</v>
      </c>
      <c r="D423" s="1" t="s">
        <v>26</v>
      </c>
      <c r="E423" s="1" t="s">
        <v>24</v>
      </c>
      <c r="F423" s="1" t="s">
        <v>31</v>
      </c>
      <c r="G423" s="1">
        <f>YEAR(Table1[[#This Row],[Application_Date]])</f>
        <v>2025</v>
      </c>
      <c r="H423" s="1" t="str">
        <f>TEXT(Table1[[#This Row],[EMI_payment_date]],"mmmm")</f>
        <v>June</v>
      </c>
      <c r="I423" s="3">
        <v>45803</v>
      </c>
      <c r="J423" s="3">
        <f>EDATE(Table1[[#This Row],[Application_Date]],1)</f>
        <v>45834</v>
      </c>
      <c r="K423" s="9">
        <v>4956000</v>
      </c>
      <c r="L423" s="9">
        <f>Table1[[#This Row],[Annual_Income]]/12</f>
        <v>413000</v>
      </c>
      <c r="M423" s="9">
        <v>5156000</v>
      </c>
      <c r="N423" s="5">
        <f ca="1">DATEDIF(Table1[[#This Row],[EMI_payment_date]],TODAY(),"m")</f>
        <v>13</v>
      </c>
      <c r="O423" s="9">
        <f>14*Table1[[#This Row],[monthly_EMI]]</f>
        <v>1734600</v>
      </c>
      <c r="P423" s="1">
        <v>5.79</v>
      </c>
      <c r="Q423" s="9">
        <f>Table1[[#This Row],[monthly_income]]*30%</f>
        <v>123900</v>
      </c>
      <c r="R423" s="1">
        <f>ROUNDUP(NPER(P423/100/12,-Q423,Table1[[#This Row],[Loan_Amount]]),0)</f>
        <v>47</v>
      </c>
      <c r="S423" s="1">
        <v>824</v>
      </c>
      <c r="T423" s="1" t="s">
        <v>37</v>
      </c>
      <c r="U423" s="1" t="str">
        <f>IF(Table1[[#This Row],[Repayment_Status]]="late","bad loan","good loan")</f>
        <v>bad loan</v>
      </c>
      <c r="V423" s="1" t="str">
        <f>IF(Table1[[#This Row],[Repayment_Status]]="late","high","low")</f>
        <v>high</v>
      </c>
      <c r="W423" s="1">
        <f>(Table1[[#This Row],[monthly_EMI]]/Table1[[#This Row],[monthly_income]])*100</f>
        <v>30</v>
      </c>
      <c r="X423" s="7">
        <v>20856.12</v>
      </c>
    </row>
    <row r="424" spans="1:24" x14ac:dyDescent="0.25">
      <c r="A424" s="1" t="s">
        <v>496</v>
      </c>
      <c r="B424" s="2" t="s">
        <v>849</v>
      </c>
      <c r="C424" s="5">
        <v>51</v>
      </c>
      <c r="D424" s="1" t="s">
        <v>15</v>
      </c>
      <c r="E424" s="1" t="s">
        <v>27</v>
      </c>
      <c r="F424" s="1" t="s">
        <v>22</v>
      </c>
      <c r="G424" s="1">
        <f>YEAR(Table1[[#This Row],[Application_Date]])</f>
        <v>2025</v>
      </c>
      <c r="H424" s="1" t="str">
        <f>TEXT(Table1[[#This Row],[EMI_payment_date]],"mmmm")</f>
        <v>June</v>
      </c>
      <c r="I424" s="3">
        <v>45804</v>
      </c>
      <c r="J424" s="3">
        <f>EDATE(Table1[[#This Row],[Application_Date]],1)</f>
        <v>45835</v>
      </c>
      <c r="K424" s="9">
        <v>6216000</v>
      </c>
      <c r="L424" s="9">
        <f>Table1[[#This Row],[Annual_Income]]/12</f>
        <v>518000</v>
      </c>
      <c r="M424" s="9">
        <v>6416000</v>
      </c>
      <c r="N424" s="5">
        <f ca="1">DATEDIF(Table1[[#This Row],[EMI_payment_date]],TODAY(),"m")</f>
        <v>13</v>
      </c>
      <c r="O424" s="9">
        <f>14*Table1[[#This Row],[monthly_EMI]]</f>
        <v>2175600</v>
      </c>
      <c r="P424" s="1">
        <v>7.1</v>
      </c>
      <c r="Q424" s="9">
        <f>Table1[[#This Row],[monthly_income]]*30%</f>
        <v>155400</v>
      </c>
      <c r="R424" s="1">
        <f>ROUNDUP(NPER(P424/100/12,-Q424,Table1[[#This Row],[Loan_Amount]]),0)</f>
        <v>48</v>
      </c>
      <c r="S424" s="1">
        <v>646</v>
      </c>
      <c r="T424" s="1" t="s">
        <v>20</v>
      </c>
      <c r="U424" s="1" t="str">
        <f>IF(Table1[[#This Row],[Repayment_Status]]="late","bad loan","good loan")</f>
        <v>good loan</v>
      </c>
      <c r="V424" s="1" t="str">
        <f>IF(Table1[[#This Row],[Repayment_Status]]="late","high","low")</f>
        <v>low</v>
      </c>
      <c r="W424" s="1">
        <f>(Table1[[#This Row],[monthly_EMI]]/Table1[[#This Row],[monthly_income]])*100</f>
        <v>30</v>
      </c>
      <c r="X424" s="7">
        <v>17689.650000000001</v>
      </c>
    </row>
    <row r="425" spans="1:24" x14ac:dyDescent="0.25">
      <c r="A425" s="1" t="s">
        <v>14</v>
      </c>
      <c r="B425" s="2" t="s">
        <v>729</v>
      </c>
      <c r="C425" s="5">
        <v>39</v>
      </c>
      <c r="D425" s="1" t="s">
        <v>15</v>
      </c>
      <c r="E425" s="1" t="s">
        <v>16</v>
      </c>
      <c r="F425" s="1" t="s">
        <v>17</v>
      </c>
      <c r="G425" s="1">
        <f>YEAR(Table1[[#This Row],[Application_Date]])</f>
        <v>2025</v>
      </c>
      <c r="H425" s="1" t="str">
        <f>TEXT(Table1[[#This Row],[EMI_payment_date]],"mmmm")</f>
        <v>June</v>
      </c>
      <c r="I425" s="3">
        <v>45805</v>
      </c>
      <c r="J425" s="3">
        <f>EDATE(Table1[[#This Row],[Application_Date]],1)</f>
        <v>45836</v>
      </c>
      <c r="K425" s="9">
        <v>600000</v>
      </c>
      <c r="L425" s="9">
        <f>Table1[[#This Row],[Annual_Income]]/12</f>
        <v>50000</v>
      </c>
      <c r="M425" s="9">
        <v>800000</v>
      </c>
      <c r="N425" s="5">
        <f ca="1">DATEDIF(Table1[[#This Row],[EMI_payment_date]],TODAY(),"m")</f>
        <v>13</v>
      </c>
      <c r="O425" s="9">
        <f>14*Table1[[#This Row],[monthly_EMI]]</f>
        <v>210000</v>
      </c>
      <c r="P425" s="1">
        <v>6.4</v>
      </c>
      <c r="Q425" s="9">
        <f>Table1[[#This Row],[monthly_income]]*30%</f>
        <v>15000</v>
      </c>
      <c r="R425" s="1">
        <f>ROUNDUP(NPER(P425/100/12,-Q425,Table1[[#This Row],[Loan_Amount]]),0)</f>
        <v>63</v>
      </c>
      <c r="S425" s="1">
        <v>677</v>
      </c>
      <c r="T425" s="1" t="s">
        <v>20</v>
      </c>
      <c r="U425" s="1" t="str">
        <f>IF(Table1[[#This Row],[Repayment_Status]]="late","bad loan","good loan")</f>
        <v>good loan</v>
      </c>
      <c r="V425" s="1" t="str">
        <f>IF(Table1[[#This Row],[Repayment_Status]]="late","high","low")</f>
        <v>low</v>
      </c>
      <c r="W425" s="1">
        <f>(Table1[[#This Row],[monthly_EMI]]/Table1[[#This Row],[monthly_income]])*100</f>
        <v>30</v>
      </c>
      <c r="X425" s="7">
        <v>24813.03</v>
      </c>
    </row>
    <row r="426" spans="1:24" x14ac:dyDescent="0.25">
      <c r="A426" s="1" t="s">
        <v>89</v>
      </c>
      <c r="B426" s="2" t="s">
        <v>783</v>
      </c>
      <c r="C426" s="5">
        <v>30</v>
      </c>
      <c r="D426" s="1" t="s">
        <v>15</v>
      </c>
      <c r="E426" s="1" t="s">
        <v>16</v>
      </c>
      <c r="F426" s="1" t="s">
        <v>31</v>
      </c>
      <c r="G426" s="1">
        <f>YEAR(Table1[[#This Row],[Application_Date]])</f>
        <v>2025</v>
      </c>
      <c r="H426" s="1" t="str">
        <f>TEXT(Table1[[#This Row],[EMI_payment_date]],"mmmm")</f>
        <v>June</v>
      </c>
      <c r="I426" s="3">
        <v>45806</v>
      </c>
      <c r="J426" s="3">
        <f>EDATE(Table1[[#This Row],[Application_Date]],1)</f>
        <v>45837</v>
      </c>
      <c r="K426" s="9">
        <v>1320000</v>
      </c>
      <c r="L426" s="9">
        <f>Table1[[#This Row],[Annual_Income]]/12</f>
        <v>110000</v>
      </c>
      <c r="M426" s="9">
        <v>1520000</v>
      </c>
      <c r="N426" s="5">
        <f ca="1">DATEDIF(Table1[[#This Row],[EMI_payment_date]],TODAY(),"m")</f>
        <v>13</v>
      </c>
      <c r="O426" s="9">
        <f>14*Table1[[#This Row],[monthly_EMI]]</f>
        <v>462000</v>
      </c>
      <c r="P426" s="1">
        <v>8.3800000000000008</v>
      </c>
      <c r="Q426" s="9">
        <f>Table1[[#This Row],[monthly_income]]*30%</f>
        <v>33000</v>
      </c>
      <c r="R426" s="1">
        <f>ROUNDUP(NPER(P426/100/12,-Q426,Table1[[#This Row],[Loan_Amount]]),0)</f>
        <v>56</v>
      </c>
      <c r="S426" s="1">
        <v>704</v>
      </c>
      <c r="T426" s="1" t="s">
        <v>20</v>
      </c>
      <c r="U426" s="1" t="str">
        <f>IF(Table1[[#This Row],[Repayment_Status]]="late","bad loan","good loan")</f>
        <v>good loan</v>
      </c>
      <c r="V426" s="1" t="str">
        <f>IF(Table1[[#This Row],[Repayment_Status]]="late","high","low")</f>
        <v>low</v>
      </c>
      <c r="W426" s="1">
        <f>(Table1[[#This Row],[monthly_EMI]]/Table1[[#This Row],[monthly_income]])*100</f>
        <v>30</v>
      </c>
      <c r="X426" s="7">
        <v>11843.54</v>
      </c>
    </row>
    <row r="427" spans="1:24" x14ac:dyDescent="0.25">
      <c r="A427" s="1" t="s">
        <v>523</v>
      </c>
      <c r="B427" s="2" t="s">
        <v>771</v>
      </c>
      <c r="C427" s="5">
        <v>24</v>
      </c>
      <c r="D427" s="1" t="s">
        <v>26</v>
      </c>
      <c r="E427" s="1" t="s">
        <v>16</v>
      </c>
      <c r="F427" s="1" t="s">
        <v>22</v>
      </c>
      <c r="G427" s="1">
        <f>YEAR(Table1[[#This Row],[Application_Date]])</f>
        <v>2025</v>
      </c>
      <c r="H427" s="1" t="str">
        <f>TEXT(Table1[[#This Row],[EMI_payment_date]],"mmmm")</f>
        <v>June</v>
      </c>
      <c r="I427" s="3">
        <v>45807</v>
      </c>
      <c r="J427" s="3">
        <f>EDATE(Table1[[#This Row],[Application_Date]],1)</f>
        <v>45838</v>
      </c>
      <c r="K427" s="9">
        <v>6540000</v>
      </c>
      <c r="L427" s="9">
        <f>Table1[[#This Row],[Annual_Income]]/12</f>
        <v>545000</v>
      </c>
      <c r="M427" s="9">
        <v>6740000</v>
      </c>
      <c r="N427" s="5">
        <f ca="1">DATEDIF(Table1[[#This Row],[EMI_payment_date]],TODAY(),"m")</f>
        <v>13</v>
      </c>
      <c r="O427" s="9">
        <f>14*Table1[[#This Row],[monthly_EMI]]</f>
        <v>2289000</v>
      </c>
      <c r="P427" s="1">
        <v>8.0500000000000007</v>
      </c>
      <c r="Q427" s="9">
        <f>Table1[[#This Row],[monthly_income]]*30%</f>
        <v>163500</v>
      </c>
      <c r="R427" s="1">
        <f>ROUNDUP(NPER(P427/100/12,-Q427,Table1[[#This Row],[Loan_Amount]]),0)</f>
        <v>49</v>
      </c>
      <c r="S427" s="1">
        <v>805</v>
      </c>
      <c r="T427" s="1" t="s">
        <v>37</v>
      </c>
      <c r="U427" s="1" t="str">
        <f>IF(Table1[[#This Row],[Repayment_Status]]="late","bad loan","good loan")</f>
        <v>bad loan</v>
      </c>
      <c r="V427" s="1" t="str">
        <f>IF(Table1[[#This Row],[Repayment_Status]]="late","high","low")</f>
        <v>high</v>
      </c>
      <c r="W427" s="1">
        <f>(Table1[[#This Row],[monthly_EMI]]/Table1[[#This Row],[monthly_income]])*100</f>
        <v>30</v>
      </c>
      <c r="X427" s="7">
        <v>21483.87</v>
      </c>
    </row>
    <row r="428" spans="1:24" x14ac:dyDescent="0.25">
      <c r="A428" s="1" t="s">
        <v>35</v>
      </c>
      <c r="B428" s="2" t="s">
        <v>738</v>
      </c>
      <c r="C428" s="5">
        <v>49</v>
      </c>
      <c r="D428" s="1" t="s">
        <v>15</v>
      </c>
      <c r="E428" s="1" t="s">
        <v>36</v>
      </c>
      <c r="F428" s="1" t="s">
        <v>22</v>
      </c>
      <c r="G428" s="1">
        <f>YEAR(Table1[[#This Row],[Application_Date]])</f>
        <v>2025</v>
      </c>
      <c r="H428" s="1" t="str">
        <f>TEXT(Table1[[#This Row],[EMI_payment_date]],"mmmm")</f>
        <v>June</v>
      </c>
      <c r="I428" s="3">
        <v>45808</v>
      </c>
      <c r="J428" s="3">
        <f>EDATE(Table1[[#This Row],[Application_Date]],1)</f>
        <v>45838</v>
      </c>
      <c r="K428" s="9">
        <v>708000</v>
      </c>
      <c r="L428" s="9">
        <f>Table1[[#This Row],[Annual_Income]]/12</f>
        <v>59000</v>
      </c>
      <c r="M428" s="9">
        <v>908000</v>
      </c>
      <c r="N428" s="5">
        <f ca="1">DATEDIF(Table1[[#This Row],[EMI_payment_date]],TODAY(),"m")</f>
        <v>13</v>
      </c>
      <c r="O428" s="9">
        <f>14*Table1[[#This Row],[monthly_EMI]]</f>
        <v>247800</v>
      </c>
      <c r="P428" s="1">
        <v>7.96</v>
      </c>
      <c r="Q428" s="9">
        <f>Table1[[#This Row],[monthly_income]]*30%</f>
        <v>17700</v>
      </c>
      <c r="R428" s="1">
        <f>ROUNDUP(NPER(P428/100/12,-Q428,Table1[[#This Row],[Loan_Amount]]),0)</f>
        <v>63</v>
      </c>
      <c r="S428" s="1">
        <v>750</v>
      </c>
      <c r="T428" s="1" t="s">
        <v>37</v>
      </c>
      <c r="U428" s="1" t="str">
        <f>IF(Table1[[#This Row],[Repayment_Status]]="late","bad loan","good loan")</f>
        <v>bad loan</v>
      </c>
      <c r="V428" s="1" t="str">
        <f>IF(Table1[[#This Row],[Repayment_Status]]="late","high","low")</f>
        <v>high</v>
      </c>
      <c r="W428" s="1">
        <f>(Table1[[#This Row],[monthly_EMI]]/Table1[[#This Row],[monthly_income]])*100</f>
        <v>30</v>
      </c>
      <c r="X428" s="7">
        <v>19100.8</v>
      </c>
    </row>
    <row r="429" spans="1:24" x14ac:dyDescent="0.25">
      <c r="A429" s="1" t="s">
        <v>38</v>
      </c>
      <c r="B429" s="2" t="s">
        <v>739</v>
      </c>
      <c r="C429" s="5">
        <v>57</v>
      </c>
      <c r="D429" s="1" t="s">
        <v>26</v>
      </c>
      <c r="E429" s="1" t="s">
        <v>29</v>
      </c>
      <c r="F429" s="1" t="s">
        <v>22</v>
      </c>
      <c r="G429" s="1">
        <f>YEAR(Table1[[#This Row],[Application_Date]])</f>
        <v>2025</v>
      </c>
      <c r="H429" s="1" t="str">
        <f>TEXT(Table1[[#This Row],[EMI_payment_date]],"mmmm")</f>
        <v>July</v>
      </c>
      <c r="I429" s="3">
        <v>45809</v>
      </c>
      <c r="J429" s="3">
        <f>EDATE(Table1[[#This Row],[Application_Date]],1)</f>
        <v>45839</v>
      </c>
      <c r="K429" s="9">
        <v>720000</v>
      </c>
      <c r="L429" s="9">
        <f>Table1[[#This Row],[Annual_Income]]/12</f>
        <v>60000</v>
      </c>
      <c r="M429" s="9">
        <v>920000</v>
      </c>
      <c r="N429" s="5">
        <f ca="1">DATEDIF(Table1[[#This Row],[EMI_payment_date]],TODAY(),"m")</f>
        <v>12</v>
      </c>
      <c r="O429" s="9">
        <f>13*Table1[[#This Row],[monthly_EMI]]</f>
        <v>234000</v>
      </c>
      <c r="P429" s="1">
        <v>6.69</v>
      </c>
      <c r="Q429" s="9">
        <f>Table1[[#This Row],[monthly_income]]*30%</f>
        <v>18000</v>
      </c>
      <c r="R429" s="1">
        <f>ROUNDUP(NPER(P429/100/12,-Q429,Table1[[#This Row],[Loan_Amount]]),0)</f>
        <v>61</v>
      </c>
      <c r="S429" s="1">
        <v>834</v>
      </c>
      <c r="T429" s="1" t="s">
        <v>20</v>
      </c>
      <c r="U429" s="1" t="str">
        <f>IF(Table1[[#This Row],[Repayment_Status]]="late","bad loan","good loan")</f>
        <v>good loan</v>
      </c>
      <c r="V429" s="1" t="str">
        <f>IF(Table1[[#This Row],[Repayment_Status]]="late","high","low")</f>
        <v>low</v>
      </c>
      <c r="W429" s="1">
        <f>(Table1[[#This Row],[monthly_EMI]]/Table1[[#This Row],[monthly_income]])*100</f>
        <v>30</v>
      </c>
      <c r="X429" s="7">
        <v>25559.56</v>
      </c>
    </row>
    <row r="430" spans="1:24" x14ac:dyDescent="0.25">
      <c r="A430" s="1" t="s">
        <v>225</v>
      </c>
      <c r="B430" s="2" t="s">
        <v>859</v>
      </c>
      <c r="C430" s="5">
        <v>55</v>
      </c>
      <c r="D430" s="1" t="s">
        <v>26</v>
      </c>
      <c r="E430" s="1" t="s">
        <v>16</v>
      </c>
      <c r="F430" s="1" t="s">
        <v>17</v>
      </c>
      <c r="G430" s="1">
        <f>YEAR(Table1[[#This Row],[Application_Date]])</f>
        <v>2025</v>
      </c>
      <c r="H430" s="1" t="str">
        <f>TEXT(Table1[[#This Row],[EMI_payment_date]],"mmmm")</f>
        <v>July</v>
      </c>
      <c r="I430" s="3">
        <v>45810</v>
      </c>
      <c r="J430" s="3">
        <f>EDATE(Table1[[#This Row],[Application_Date]],1)</f>
        <v>45840</v>
      </c>
      <c r="K430" s="9">
        <v>2964000</v>
      </c>
      <c r="L430" s="9">
        <f>Table1[[#This Row],[Annual_Income]]/12</f>
        <v>247000</v>
      </c>
      <c r="M430" s="9">
        <v>3164000</v>
      </c>
      <c r="N430" s="5">
        <f ca="1">DATEDIF(Table1[[#This Row],[EMI_payment_date]],TODAY(),"m")</f>
        <v>12</v>
      </c>
      <c r="O430" s="9">
        <f>13*Table1[[#This Row],[monthly_EMI]]</f>
        <v>963300</v>
      </c>
      <c r="P430" s="1">
        <v>7.29</v>
      </c>
      <c r="Q430" s="9">
        <f>Table1[[#This Row],[monthly_income]]*30%</f>
        <v>74100</v>
      </c>
      <c r="R430" s="1">
        <f>ROUNDUP(NPER(P430/100/12,-Q430,Table1[[#This Row],[Loan_Amount]]),0)</f>
        <v>50</v>
      </c>
      <c r="S430" s="1">
        <v>676</v>
      </c>
      <c r="T430" s="1" t="s">
        <v>20</v>
      </c>
      <c r="U430" s="1" t="str">
        <f>IF(Table1[[#This Row],[Repayment_Status]]="late","bad loan","good loan")</f>
        <v>good loan</v>
      </c>
      <c r="V430" s="1" t="str">
        <f>IF(Table1[[#This Row],[Repayment_Status]]="late","high","low")</f>
        <v>low</v>
      </c>
      <c r="W430" s="1">
        <f>(Table1[[#This Row],[monthly_EMI]]/Table1[[#This Row],[monthly_income]])*100</f>
        <v>30</v>
      </c>
      <c r="X430" s="7">
        <v>11302.75</v>
      </c>
    </row>
    <row r="431" spans="1:24" x14ac:dyDescent="0.25">
      <c r="A431" s="1" t="s">
        <v>607</v>
      </c>
      <c r="B431" s="2" t="s">
        <v>817</v>
      </c>
      <c r="C431" s="5">
        <v>48</v>
      </c>
      <c r="D431" s="1" t="s">
        <v>26</v>
      </c>
      <c r="E431" s="1" t="s">
        <v>36</v>
      </c>
      <c r="F431" s="1" t="s">
        <v>51</v>
      </c>
      <c r="G431" s="1">
        <f>YEAR(Table1[[#This Row],[Application_Date]])</f>
        <v>2025</v>
      </c>
      <c r="H431" s="1" t="str">
        <f>TEXT(Table1[[#This Row],[EMI_payment_date]],"mmmm")</f>
        <v>July</v>
      </c>
      <c r="I431" s="3">
        <v>45811</v>
      </c>
      <c r="J431" s="3">
        <f>EDATE(Table1[[#This Row],[Application_Date]],1)</f>
        <v>45841</v>
      </c>
      <c r="K431" s="9">
        <v>7548000</v>
      </c>
      <c r="L431" s="9">
        <f>Table1[[#This Row],[Annual_Income]]/12</f>
        <v>629000</v>
      </c>
      <c r="M431" s="9">
        <v>7748000</v>
      </c>
      <c r="N431" s="5">
        <f ca="1">DATEDIF(Table1[[#This Row],[EMI_payment_date]],TODAY(),"m")</f>
        <v>12</v>
      </c>
      <c r="O431" s="9">
        <f>13*Table1[[#This Row],[monthly_EMI]]</f>
        <v>2453100</v>
      </c>
      <c r="P431" s="1">
        <v>8.0500000000000007</v>
      </c>
      <c r="Q431" s="9">
        <f>Table1[[#This Row],[monthly_income]]*30%</f>
        <v>188700</v>
      </c>
      <c r="R431" s="1">
        <f>ROUNDUP(NPER(P431/100/12,-Q431,Table1[[#This Row],[Loan_Amount]]),0)</f>
        <v>49</v>
      </c>
      <c r="S431" s="1">
        <v>798</v>
      </c>
      <c r="T431" s="1" t="s">
        <v>20</v>
      </c>
      <c r="U431" s="1" t="str">
        <f>IF(Table1[[#This Row],[Repayment_Status]]="late","bad loan","good loan")</f>
        <v>good loan</v>
      </c>
      <c r="V431" s="1" t="str">
        <f>IF(Table1[[#This Row],[Repayment_Status]]="late","high","low")</f>
        <v>low</v>
      </c>
      <c r="W431" s="1">
        <f>(Table1[[#This Row],[monthly_EMI]]/Table1[[#This Row],[monthly_income]])*100</f>
        <v>30</v>
      </c>
      <c r="X431" s="7">
        <v>24511.360000000001</v>
      </c>
    </row>
    <row r="432" spans="1:24" x14ac:dyDescent="0.25">
      <c r="A432" s="1" t="s">
        <v>277</v>
      </c>
      <c r="B432" s="2" t="s">
        <v>851</v>
      </c>
      <c r="C432" s="5">
        <v>27</v>
      </c>
      <c r="D432" s="1" t="s">
        <v>26</v>
      </c>
      <c r="E432" s="1" t="s">
        <v>24</v>
      </c>
      <c r="F432" s="1" t="s">
        <v>22</v>
      </c>
      <c r="G432" s="1">
        <f>YEAR(Table1[[#This Row],[Application_Date]])</f>
        <v>2025</v>
      </c>
      <c r="H432" s="1" t="str">
        <f>TEXT(Table1[[#This Row],[EMI_payment_date]],"mmmm")</f>
        <v>July</v>
      </c>
      <c r="I432" s="3">
        <v>45812</v>
      </c>
      <c r="J432" s="3">
        <f>EDATE(Table1[[#This Row],[Application_Date]],1)</f>
        <v>45842</v>
      </c>
      <c r="K432" s="9">
        <v>3588000</v>
      </c>
      <c r="L432" s="9">
        <f>Table1[[#This Row],[Annual_Income]]/12</f>
        <v>299000</v>
      </c>
      <c r="M432" s="9">
        <v>3788000</v>
      </c>
      <c r="N432" s="5">
        <f ca="1">DATEDIF(Table1[[#This Row],[EMI_payment_date]],TODAY(),"m")</f>
        <v>12</v>
      </c>
      <c r="O432" s="9">
        <f>13*Table1[[#This Row],[monthly_EMI]]</f>
        <v>1166100</v>
      </c>
      <c r="P432" s="1">
        <v>7.98</v>
      </c>
      <c r="Q432" s="9">
        <f>Table1[[#This Row],[monthly_income]]*30%</f>
        <v>89700</v>
      </c>
      <c r="R432" s="1">
        <f>ROUNDUP(NPER(P432/100/12,-Q432,Table1[[#This Row],[Loan_Amount]]),0)</f>
        <v>50</v>
      </c>
      <c r="S432" s="1">
        <v>726</v>
      </c>
      <c r="T432" s="1" t="s">
        <v>20</v>
      </c>
      <c r="U432" s="1" t="str">
        <f>IF(Table1[[#This Row],[Repayment_Status]]="late","bad loan","good loan")</f>
        <v>good loan</v>
      </c>
      <c r="V432" s="1" t="str">
        <f>IF(Table1[[#This Row],[Repayment_Status]]="late","high","low")</f>
        <v>low</v>
      </c>
      <c r="W432" s="1">
        <f>(Table1[[#This Row],[monthly_EMI]]/Table1[[#This Row],[monthly_income]])*100</f>
        <v>30</v>
      </c>
      <c r="X432" s="7">
        <v>31293.23</v>
      </c>
    </row>
    <row r="433" spans="1:24" x14ac:dyDescent="0.25">
      <c r="A433" s="1" t="s">
        <v>708</v>
      </c>
      <c r="B433" s="2" t="s">
        <v>834</v>
      </c>
      <c r="C433" s="5">
        <v>47</v>
      </c>
      <c r="D433" s="1" t="s">
        <v>26</v>
      </c>
      <c r="E433" s="1" t="s">
        <v>33</v>
      </c>
      <c r="F433" s="1" t="s">
        <v>19</v>
      </c>
      <c r="G433" s="1">
        <f>YEAR(Table1[[#This Row],[Application_Date]])</f>
        <v>2025</v>
      </c>
      <c r="H433" s="1" t="str">
        <f>TEXT(Table1[[#This Row],[EMI_payment_date]],"mmmm")</f>
        <v>July</v>
      </c>
      <c r="I433" s="3">
        <v>45813</v>
      </c>
      <c r="J433" s="3">
        <f>EDATE(Table1[[#This Row],[Application_Date]],1)</f>
        <v>45843</v>
      </c>
      <c r="K433" s="9">
        <v>8760000</v>
      </c>
      <c r="L433" s="9">
        <f>Table1[[#This Row],[Annual_Income]]/12</f>
        <v>730000</v>
      </c>
      <c r="M433" s="9">
        <v>8960000</v>
      </c>
      <c r="N433" s="5">
        <f ca="1">DATEDIF(Table1[[#This Row],[EMI_payment_date]],TODAY(),"m")</f>
        <v>12</v>
      </c>
      <c r="O433" s="9">
        <f>13*Table1[[#This Row],[monthly_EMI]]</f>
        <v>2847000</v>
      </c>
      <c r="P433" s="1">
        <v>6.24</v>
      </c>
      <c r="Q433" s="9">
        <f>Table1[[#This Row],[monthly_income]]*30%</f>
        <v>219000</v>
      </c>
      <c r="R433" s="1">
        <f>ROUNDUP(NPER(P433/100/12,-Q433,Table1[[#This Row],[Loan_Amount]]),0)</f>
        <v>47</v>
      </c>
      <c r="S433" s="1">
        <v>700</v>
      </c>
      <c r="T433" s="1" t="s">
        <v>20</v>
      </c>
      <c r="U433" s="1" t="str">
        <f>IF(Table1[[#This Row],[Repayment_Status]]="late","bad loan","good loan")</f>
        <v>good loan</v>
      </c>
      <c r="V433" s="1" t="str">
        <f>IF(Table1[[#This Row],[Repayment_Status]]="late","high","low")</f>
        <v>low</v>
      </c>
      <c r="W433" s="1">
        <f>(Table1[[#This Row],[monthly_EMI]]/Table1[[#This Row],[monthly_income]])*100</f>
        <v>30</v>
      </c>
      <c r="X433" s="7">
        <v>25522.66</v>
      </c>
    </row>
    <row r="434" spans="1:24" x14ac:dyDescent="0.25">
      <c r="A434" s="1" t="s">
        <v>698</v>
      </c>
      <c r="B434" s="2" t="s">
        <v>815</v>
      </c>
      <c r="C434" s="5">
        <v>31</v>
      </c>
      <c r="D434" s="1" t="s">
        <v>15</v>
      </c>
      <c r="E434" s="1" t="s">
        <v>36</v>
      </c>
      <c r="F434" s="1" t="s">
        <v>19</v>
      </c>
      <c r="G434" s="1">
        <f>YEAR(Table1[[#This Row],[Application_Date]])</f>
        <v>2025</v>
      </c>
      <c r="H434" s="1" t="str">
        <f>TEXT(Table1[[#This Row],[EMI_payment_date]],"mmmm")</f>
        <v>July</v>
      </c>
      <c r="I434" s="3">
        <v>45814</v>
      </c>
      <c r="J434" s="3">
        <f>EDATE(Table1[[#This Row],[Application_Date]],1)</f>
        <v>45844</v>
      </c>
      <c r="K434" s="9">
        <v>8640000</v>
      </c>
      <c r="L434" s="9">
        <f>Table1[[#This Row],[Annual_Income]]/12</f>
        <v>720000</v>
      </c>
      <c r="M434" s="9">
        <v>8840000</v>
      </c>
      <c r="N434" s="5">
        <f ca="1">DATEDIF(Table1[[#This Row],[EMI_payment_date]],TODAY(),"m")</f>
        <v>12</v>
      </c>
      <c r="O434" s="9">
        <f>13*Table1[[#This Row],[monthly_EMI]]</f>
        <v>2808000</v>
      </c>
      <c r="P434" s="1">
        <v>9.81</v>
      </c>
      <c r="Q434" s="9">
        <f>Table1[[#This Row],[monthly_income]]*30%</f>
        <v>216000</v>
      </c>
      <c r="R434" s="1">
        <f>ROUNDUP(NPER(P434/100/12,-Q434,Table1[[#This Row],[Loan_Amount]]),0)</f>
        <v>51</v>
      </c>
      <c r="S434" s="1">
        <v>601</v>
      </c>
      <c r="T434" s="1" t="s">
        <v>20</v>
      </c>
      <c r="U434" s="1" t="str">
        <f>IF(Table1[[#This Row],[Repayment_Status]]="late","bad loan","good loan")</f>
        <v>good loan</v>
      </c>
      <c r="V434" s="1" t="str">
        <f>IF(Table1[[#This Row],[Repayment_Status]]="late","high","low")</f>
        <v>low</v>
      </c>
      <c r="W434" s="1">
        <f>(Table1[[#This Row],[monthly_EMI]]/Table1[[#This Row],[monthly_income]])*100</f>
        <v>30</v>
      </c>
      <c r="X434" s="7">
        <v>19321.560000000001</v>
      </c>
    </row>
    <row r="435" spans="1:24" x14ac:dyDescent="0.25">
      <c r="A435" s="1" t="s">
        <v>251</v>
      </c>
      <c r="B435" s="2" t="s">
        <v>869</v>
      </c>
      <c r="C435" s="5">
        <v>38</v>
      </c>
      <c r="D435" s="1" t="s">
        <v>15</v>
      </c>
      <c r="E435" s="1" t="s">
        <v>33</v>
      </c>
      <c r="F435" s="1" t="s">
        <v>22</v>
      </c>
      <c r="G435" s="1">
        <f>YEAR(Table1[[#This Row],[Application_Date]])</f>
        <v>2025</v>
      </c>
      <c r="H435" s="1" t="str">
        <f>TEXT(Table1[[#This Row],[EMI_payment_date]],"mmmm")</f>
        <v>July</v>
      </c>
      <c r="I435" s="3">
        <v>45815</v>
      </c>
      <c r="J435" s="3">
        <f>EDATE(Table1[[#This Row],[Application_Date]],1)</f>
        <v>45845</v>
      </c>
      <c r="K435" s="9">
        <v>3276000</v>
      </c>
      <c r="L435" s="9">
        <f>Table1[[#This Row],[Annual_Income]]/12</f>
        <v>273000</v>
      </c>
      <c r="M435" s="9">
        <v>3476000</v>
      </c>
      <c r="N435" s="5">
        <f ca="1">DATEDIF(Table1[[#This Row],[EMI_payment_date]],TODAY(),"m")</f>
        <v>12</v>
      </c>
      <c r="O435" s="9">
        <f>13*Table1[[#This Row],[monthly_EMI]]</f>
        <v>1064700</v>
      </c>
      <c r="P435" s="1">
        <v>6.83</v>
      </c>
      <c r="Q435" s="9">
        <f>Table1[[#This Row],[monthly_income]]*30%</f>
        <v>81900</v>
      </c>
      <c r="R435" s="1">
        <f>ROUNDUP(NPER(P435/100/12,-Q435,Table1[[#This Row],[Loan_Amount]]),0)</f>
        <v>49</v>
      </c>
      <c r="S435" s="1">
        <v>730</v>
      </c>
      <c r="T435" s="1" t="s">
        <v>37</v>
      </c>
      <c r="U435" s="1" t="str">
        <f>IF(Table1[[#This Row],[Repayment_Status]]="late","bad loan","good loan")</f>
        <v>bad loan</v>
      </c>
      <c r="V435" s="1" t="str">
        <f>IF(Table1[[#This Row],[Repayment_Status]]="late","high","low")</f>
        <v>high</v>
      </c>
      <c r="W435" s="1">
        <f>(Table1[[#This Row],[monthly_EMI]]/Table1[[#This Row],[monthly_income]])*100</f>
        <v>30</v>
      </c>
      <c r="X435" s="7">
        <v>16645.5</v>
      </c>
    </row>
    <row r="436" spans="1:24" x14ac:dyDescent="0.25">
      <c r="A436" s="1" t="s">
        <v>661</v>
      </c>
      <c r="B436" s="2" t="s">
        <v>747</v>
      </c>
      <c r="C436" s="5">
        <v>22</v>
      </c>
      <c r="D436" s="1" t="s">
        <v>15</v>
      </c>
      <c r="E436" s="1" t="s">
        <v>29</v>
      </c>
      <c r="F436" s="1" t="s">
        <v>31</v>
      </c>
      <c r="G436" s="1">
        <f>YEAR(Table1[[#This Row],[Application_Date]])</f>
        <v>2025</v>
      </c>
      <c r="H436" s="1" t="str">
        <f>TEXT(Table1[[#This Row],[EMI_payment_date]],"mmmm")</f>
        <v>July</v>
      </c>
      <c r="I436" s="3">
        <v>45816</v>
      </c>
      <c r="J436" s="3">
        <f>EDATE(Table1[[#This Row],[Application_Date]],1)</f>
        <v>45846</v>
      </c>
      <c r="K436" s="9">
        <v>8196000</v>
      </c>
      <c r="L436" s="9">
        <f>Table1[[#This Row],[Annual_Income]]/12</f>
        <v>683000</v>
      </c>
      <c r="M436" s="9">
        <v>8396000</v>
      </c>
      <c r="N436" s="5">
        <f ca="1">DATEDIF(Table1[[#This Row],[EMI_payment_date]],TODAY(),"m")</f>
        <v>12</v>
      </c>
      <c r="O436" s="9">
        <f>13*Table1[[#This Row],[monthly_EMI]]</f>
        <v>2663700</v>
      </c>
      <c r="P436" s="1">
        <v>9.9600000000000009</v>
      </c>
      <c r="Q436" s="9">
        <f>Table1[[#This Row],[monthly_income]]*30%</f>
        <v>204900</v>
      </c>
      <c r="R436" s="1">
        <f>ROUNDUP(NPER(P436/100/12,-Q436,Table1[[#This Row],[Loan_Amount]]),0)</f>
        <v>51</v>
      </c>
      <c r="S436" s="1">
        <v>705</v>
      </c>
      <c r="T436" s="1" t="s">
        <v>37</v>
      </c>
      <c r="U436" s="1" t="str">
        <f>IF(Table1[[#This Row],[Repayment_Status]]="late","bad loan","good loan")</f>
        <v>bad loan</v>
      </c>
      <c r="V436" s="1" t="str">
        <f>IF(Table1[[#This Row],[Repayment_Status]]="late","high","low")</f>
        <v>high</v>
      </c>
      <c r="W436" s="1">
        <f>(Table1[[#This Row],[monthly_EMI]]/Table1[[#This Row],[monthly_income]])*100</f>
        <v>30</v>
      </c>
      <c r="X436" s="7">
        <v>13959.52</v>
      </c>
    </row>
    <row r="437" spans="1:24" x14ac:dyDescent="0.25">
      <c r="A437" s="1" t="s">
        <v>438</v>
      </c>
      <c r="B437" s="2" t="s">
        <v>900</v>
      </c>
      <c r="C437" s="5">
        <v>21</v>
      </c>
      <c r="D437" s="1" t="s">
        <v>15</v>
      </c>
      <c r="E437" s="1" t="s">
        <v>27</v>
      </c>
      <c r="F437" s="1" t="s">
        <v>17</v>
      </c>
      <c r="G437" s="1">
        <f>YEAR(Table1[[#This Row],[Application_Date]])</f>
        <v>2025</v>
      </c>
      <c r="H437" s="1" t="str">
        <f>TEXT(Table1[[#This Row],[EMI_payment_date]],"mmmm")</f>
        <v>July</v>
      </c>
      <c r="I437" s="3">
        <v>45817</v>
      </c>
      <c r="J437" s="3">
        <f>EDATE(Table1[[#This Row],[Application_Date]],1)</f>
        <v>45847</v>
      </c>
      <c r="K437" s="9">
        <v>5520000</v>
      </c>
      <c r="L437" s="9">
        <f>Table1[[#This Row],[Annual_Income]]/12</f>
        <v>460000</v>
      </c>
      <c r="M437" s="9">
        <v>5720000</v>
      </c>
      <c r="N437" s="5">
        <f ca="1">DATEDIF(Table1[[#This Row],[EMI_payment_date]],TODAY(),"m")</f>
        <v>12</v>
      </c>
      <c r="O437" s="9">
        <f>13*Table1[[#This Row],[monthly_EMI]]</f>
        <v>1794000</v>
      </c>
      <c r="P437" s="1">
        <v>6.72</v>
      </c>
      <c r="Q437" s="9">
        <f>Table1[[#This Row],[monthly_income]]*30%</f>
        <v>138000</v>
      </c>
      <c r="R437" s="1">
        <f>ROUNDUP(NPER(P437/100/12,-Q437,Table1[[#This Row],[Loan_Amount]]),0)</f>
        <v>48</v>
      </c>
      <c r="S437" s="1">
        <v>678</v>
      </c>
      <c r="T437" s="1" t="s">
        <v>20</v>
      </c>
      <c r="U437" s="1" t="str">
        <f>IF(Table1[[#This Row],[Repayment_Status]]="late","bad loan","good loan")</f>
        <v>good loan</v>
      </c>
      <c r="V437" s="1" t="str">
        <f>IF(Table1[[#This Row],[Repayment_Status]]="late","high","low")</f>
        <v>low</v>
      </c>
      <c r="W437" s="1">
        <f>(Table1[[#This Row],[monthly_EMI]]/Table1[[#This Row],[monthly_income]])*100</f>
        <v>30</v>
      </c>
      <c r="X437" s="7">
        <v>17322.490000000002</v>
      </c>
    </row>
    <row r="438" spans="1:24" x14ac:dyDescent="0.25">
      <c r="A438" s="1" t="s">
        <v>68</v>
      </c>
      <c r="B438" s="2" t="s">
        <v>767</v>
      </c>
      <c r="C438" s="5">
        <v>55</v>
      </c>
      <c r="D438" s="1" t="s">
        <v>15</v>
      </c>
      <c r="E438" s="1" t="s">
        <v>24</v>
      </c>
      <c r="F438" s="1" t="s">
        <v>31</v>
      </c>
      <c r="G438" s="1">
        <f>YEAR(Table1[[#This Row],[Application_Date]])</f>
        <v>2025</v>
      </c>
      <c r="H438" s="1" t="str">
        <f>TEXT(Table1[[#This Row],[EMI_payment_date]],"mmmm")</f>
        <v>July</v>
      </c>
      <c r="I438" s="3">
        <v>45818</v>
      </c>
      <c r="J438" s="3">
        <f>EDATE(Table1[[#This Row],[Application_Date]],1)</f>
        <v>45848</v>
      </c>
      <c r="K438" s="9">
        <v>1068000</v>
      </c>
      <c r="L438" s="9">
        <f>Table1[[#This Row],[Annual_Income]]/12</f>
        <v>89000</v>
      </c>
      <c r="M438" s="9">
        <v>1268000</v>
      </c>
      <c r="N438" s="5">
        <f ca="1">DATEDIF(Table1[[#This Row],[EMI_payment_date]],TODAY(),"m")</f>
        <v>12</v>
      </c>
      <c r="O438" s="9">
        <f>13*Table1[[#This Row],[monthly_EMI]]</f>
        <v>347100</v>
      </c>
      <c r="P438" s="1">
        <v>9.0500000000000007</v>
      </c>
      <c r="Q438" s="9">
        <f>Table1[[#This Row],[monthly_income]]*30%</f>
        <v>26700</v>
      </c>
      <c r="R438" s="1">
        <f>ROUNDUP(NPER(P438/100/12,-Q438,Table1[[#This Row],[Loan_Amount]]),0)</f>
        <v>60</v>
      </c>
      <c r="S438" s="1">
        <v>680</v>
      </c>
      <c r="T438" s="1" t="s">
        <v>37</v>
      </c>
      <c r="U438" s="1" t="str">
        <f>IF(Table1[[#This Row],[Repayment_Status]]="late","bad loan","good loan")</f>
        <v>bad loan</v>
      </c>
      <c r="V438" s="1" t="str">
        <f>IF(Table1[[#This Row],[Repayment_Status]]="late","high","low")</f>
        <v>high</v>
      </c>
      <c r="W438" s="1">
        <f>(Table1[[#This Row],[monthly_EMI]]/Table1[[#This Row],[monthly_income]])*100</f>
        <v>30</v>
      </c>
      <c r="X438" s="7">
        <v>32504.6</v>
      </c>
    </row>
    <row r="439" spans="1:24" x14ac:dyDescent="0.25">
      <c r="A439" s="1" t="s">
        <v>308</v>
      </c>
      <c r="B439" s="2" t="s">
        <v>766</v>
      </c>
      <c r="C439" s="5">
        <v>43</v>
      </c>
      <c r="D439" s="1" t="s">
        <v>15</v>
      </c>
      <c r="E439" s="1" t="s">
        <v>27</v>
      </c>
      <c r="F439" s="1" t="s">
        <v>19</v>
      </c>
      <c r="G439" s="1">
        <f>YEAR(Table1[[#This Row],[Application_Date]])</f>
        <v>2025</v>
      </c>
      <c r="H439" s="1" t="str">
        <f>TEXT(Table1[[#This Row],[EMI_payment_date]],"mmmm")</f>
        <v>July</v>
      </c>
      <c r="I439" s="3">
        <v>45819</v>
      </c>
      <c r="J439" s="3">
        <f>EDATE(Table1[[#This Row],[Application_Date]],1)</f>
        <v>45849</v>
      </c>
      <c r="K439" s="9">
        <v>3960000</v>
      </c>
      <c r="L439" s="9">
        <f>Table1[[#This Row],[Annual_Income]]/12</f>
        <v>330000</v>
      </c>
      <c r="M439" s="9">
        <v>4160000</v>
      </c>
      <c r="N439" s="5">
        <f ca="1">DATEDIF(Table1[[#This Row],[EMI_payment_date]],TODAY(),"m")</f>
        <v>12</v>
      </c>
      <c r="O439" s="9">
        <f>13*Table1[[#This Row],[monthly_EMI]]</f>
        <v>1287000</v>
      </c>
      <c r="P439" s="1">
        <v>9.01</v>
      </c>
      <c r="Q439" s="9">
        <f>Table1[[#This Row],[monthly_income]]*30%</f>
        <v>99000</v>
      </c>
      <c r="R439" s="1">
        <f>ROUNDUP(NPER(P439/100/12,-Q439,Table1[[#This Row],[Loan_Amount]]),0)</f>
        <v>51</v>
      </c>
      <c r="S439" s="1">
        <v>754</v>
      </c>
      <c r="T439" s="1" t="s">
        <v>20</v>
      </c>
      <c r="U439" s="1" t="str">
        <f>IF(Table1[[#This Row],[Repayment_Status]]="late","bad loan","good loan")</f>
        <v>good loan</v>
      </c>
      <c r="V439" s="1" t="str">
        <f>IF(Table1[[#This Row],[Repayment_Status]]="late","high","low")</f>
        <v>low</v>
      </c>
      <c r="W439" s="1">
        <f>(Table1[[#This Row],[monthly_EMI]]/Table1[[#This Row],[monthly_income]])*100</f>
        <v>30</v>
      </c>
      <c r="X439" s="7">
        <v>37857.769999999997</v>
      </c>
    </row>
    <row r="440" spans="1:24" x14ac:dyDescent="0.25">
      <c r="A440" s="1" t="s">
        <v>692</v>
      </c>
      <c r="B440" s="2" t="s">
        <v>824</v>
      </c>
      <c r="C440" s="5">
        <v>53</v>
      </c>
      <c r="D440" s="1" t="s">
        <v>15</v>
      </c>
      <c r="E440" s="1" t="s">
        <v>33</v>
      </c>
      <c r="F440" s="1" t="s">
        <v>17</v>
      </c>
      <c r="G440" s="1">
        <f>YEAR(Table1[[#This Row],[Application_Date]])</f>
        <v>2025</v>
      </c>
      <c r="H440" s="1" t="str">
        <f>TEXT(Table1[[#This Row],[EMI_payment_date]],"mmmm")</f>
        <v>July</v>
      </c>
      <c r="I440" s="3">
        <v>45820</v>
      </c>
      <c r="J440" s="3">
        <f>EDATE(Table1[[#This Row],[Application_Date]],1)</f>
        <v>45850</v>
      </c>
      <c r="K440" s="9">
        <v>8568000</v>
      </c>
      <c r="L440" s="9">
        <f>Table1[[#This Row],[Annual_Income]]/12</f>
        <v>714000</v>
      </c>
      <c r="M440" s="9">
        <v>8768000</v>
      </c>
      <c r="N440" s="5">
        <f ca="1">DATEDIF(Table1[[#This Row],[EMI_payment_date]],TODAY(),"m")</f>
        <v>12</v>
      </c>
      <c r="O440" s="9">
        <f>13*Table1[[#This Row],[monthly_EMI]]</f>
        <v>2784600</v>
      </c>
      <c r="P440" s="1">
        <v>10</v>
      </c>
      <c r="Q440" s="9">
        <f>Table1[[#This Row],[monthly_income]]*30%</f>
        <v>214200</v>
      </c>
      <c r="R440" s="1">
        <f>ROUNDUP(NPER(P440/100/12,-Q440,Table1[[#This Row],[Loan_Amount]]),0)</f>
        <v>51</v>
      </c>
      <c r="S440" s="1">
        <v>698</v>
      </c>
      <c r="T440" s="1" t="s">
        <v>20</v>
      </c>
      <c r="U440" s="1" t="str">
        <f>IF(Table1[[#This Row],[Repayment_Status]]="late","bad loan","good loan")</f>
        <v>good loan</v>
      </c>
      <c r="V440" s="1" t="str">
        <f>IF(Table1[[#This Row],[Repayment_Status]]="late","high","low")</f>
        <v>low</v>
      </c>
      <c r="W440" s="1">
        <f>(Table1[[#This Row],[monthly_EMI]]/Table1[[#This Row],[monthly_income]])*100</f>
        <v>30</v>
      </c>
      <c r="X440" s="7">
        <v>15584.06</v>
      </c>
    </row>
    <row r="441" spans="1:24" x14ac:dyDescent="0.25">
      <c r="A441" s="1" t="s">
        <v>30</v>
      </c>
      <c r="B441" s="2" t="s">
        <v>735</v>
      </c>
      <c r="C441" s="5">
        <v>52</v>
      </c>
      <c r="D441" s="1" t="s">
        <v>26</v>
      </c>
      <c r="E441" s="1" t="s">
        <v>16</v>
      </c>
      <c r="F441" s="1" t="s">
        <v>31</v>
      </c>
      <c r="G441" s="1">
        <f>YEAR(Table1[[#This Row],[Application_Date]])</f>
        <v>2025</v>
      </c>
      <c r="H441" s="1" t="str">
        <f>TEXT(Table1[[#This Row],[EMI_payment_date]],"mmmm")</f>
        <v>July</v>
      </c>
      <c r="I441" s="3">
        <v>45821</v>
      </c>
      <c r="J441" s="3">
        <f>EDATE(Table1[[#This Row],[Application_Date]],1)</f>
        <v>45851</v>
      </c>
      <c r="K441" s="9">
        <v>672000</v>
      </c>
      <c r="L441" s="9">
        <f>Table1[[#This Row],[Annual_Income]]/12</f>
        <v>56000</v>
      </c>
      <c r="M441" s="9">
        <v>872000</v>
      </c>
      <c r="N441" s="5">
        <f ca="1">DATEDIF(Table1[[#This Row],[EMI_payment_date]],TODAY(),"m")</f>
        <v>12</v>
      </c>
      <c r="O441" s="9">
        <f>13*Table1[[#This Row],[monthly_EMI]]</f>
        <v>218400</v>
      </c>
      <c r="P441" s="1">
        <v>9.02</v>
      </c>
      <c r="Q441" s="9">
        <f>Table1[[#This Row],[monthly_income]]*30%</f>
        <v>16800</v>
      </c>
      <c r="R441" s="1">
        <f>ROUNDUP(NPER(P441/100/12,-Q441,Table1[[#This Row],[Loan_Amount]]),0)</f>
        <v>67</v>
      </c>
      <c r="S441" s="1">
        <v>721</v>
      </c>
      <c r="T441" s="1" t="s">
        <v>20</v>
      </c>
      <c r="U441" s="1" t="str">
        <f>IF(Table1[[#This Row],[Repayment_Status]]="late","bad loan","good loan")</f>
        <v>good loan</v>
      </c>
      <c r="V441" s="1" t="str">
        <f>IF(Table1[[#This Row],[Repayment_Status]]="late","high","low")</f>
        <v>low</v>
      </c>
      <c r="W441" s="1">
        <f>(Table1[[#This Row],[monthly_EMI]]/Table1[[#This Row],[monthly_income]])*100</f>
        <v>30</v>
      </c>
      <c r="X441" s="7">
        <v>37913.410000000003</v>
      </c>
    </row>
    <row r="442" spans="1:24" x14ac:dyDescent="0.25">
      <c r="A442" s="1" t="s">
        <v>567</v>
      </c>
      <c r="B442" s="2" t="s">
        <v>733</v>
      </c>
      <c r="C442" s="5">
        <v>35</v>
      </c>
      <c r="D442" s="1" t="s">
        <v>26</v>
      </c>
      <c r="E442" s="1" t="s">
        <v>36</v>
      </c>
      <c r="F442" s="1" t="s">
        <v>19</v>
      </c>
      <c r="G442" s="1">
        <f>YEAR(Table1[[#This Row],[Application_Date]])</f>
        <v>2025</v>
      </c>
      <c r="H442" s="1" t="str">
        <f>TEXT(Table1[[#This Row],[EMI_payment_date]],"mmmm")</f>
        <v>July</v>
      </c>
      <c r="I442" s="3">
        <v>45822</v>
      </c>
      <c r="J442" s="3">
        <f>EDATE(Table1[[#This Row],[Application_Date]],1)</f>
        <v>45852</v>
      </c>
      <c r="K442" s="9">
        <v>7068000</v>
      </c>
      <c r="L442" s="9">
        <f>Table1[[#This Row],[Annual_Income]]/12</f>
        <v>589000</v>
      </c>
      <c r="M442" s="9">
        <v>7268000</v>
      </c>
      <c r="N442" s="5">
        <f ca="1">DATEDIF(Table1[[#This Row],[EMI_payment_date]],TODAY(),"m")</f>
        <v>12</v>
      </c>
      <c r="O442" s="9">
        <f>13*Table1[[#This Row],[monthly_EMI]]</f>
        <v>2297100</v>
      </c>
      <c r="P442" s="1">
        <v>7.53</v>
      </c>
      <c r="Q442" s="9">
        <f>Table1[[#This Row],[monthly_income]]*30%</f>
        <v>176700</v>
      </c>
      <c r="R442" s="1">
        <f>ROUNDUP(NPER(P442/100/12,-Q442,Table1[[#This Row],[Loan_Amount]]),0)</f>
        <v>48</v>
      </c>
      <c r="S442" s="1">
        <v>784</v>
      </c>
      <c r="T442" s="1" t="s">
        <v>37</v>
      </c>
      <c r="U442" s="1" t="str">
        <f>IF(Table1[[#This Row],[Repayment_Status]]="late","bad loan","good loan")</f>
        <v>bad loan</v>
      </c>
      <c r="V442" s="1" t="str">
        <f>IF(Table1[[#This Row],[Repayment_Status]]="late","high","low")</f>
        <v>high</v>
      </c>
      <c r="W442" s="1">
        <f>(Table1[[#This Row],[monthly_EMI]]/Table1[[#This Row],[monthly_income]])*100</f>
        <v>30</v>
      </c>
      <c r="X442" s="7">
        <v>19758.8</v>
      </c>
    </row>
    <row r="443" spans="1:24" x14ac:dyDescent="0.25">
      <c r="A443" s="1" t="s">
        <v>459</v>
      </c>
      <c r="B443" s="2" t="s">
        <v>774</v>
      </c>
      <c r="C443" s="5">
        <v>21</v>
      </c>
      <c r="D443" s="1" t="s">
        <v>26</v>
      </c>
      <c r="E443" s="1" t="s">
        <v>16</v>
      </c>
      <c r="F443" s="1" t="s">
        <v>19</v>
      </c>
      <c r="G443" s="1">
        <f>YEAR(Table1[[#This Row],[Application_Date]])</f>
        <v>2025</v>
      </c>
      <c r="H443" s="1" t="str">
        <f>TEXT(Table1[[#This Row],[EMI_payment_date]],"mmmm")</f>
        <v>July</v>
      </c>
      <c r="I443" s="3">
        <v>45823</v>
      </c>
      <c r="J443" s="3">
        <f>EDATE(Table1[[#This Row],[Application_Date]],1)</f>
        <v>45853</v>
      </c>
      <c r="K443" s="9">
        <v>5772000</v>
      </c>
      <c r="L443" s="9">
        <f>Table1[[#This Row],[Annual_Income]]/12</f>
        <v>481000</v>
      </c>
      <c r="M443" s="9">
        <v>5972000</v>
      </c>
      <c r="N443" s="5">
        <f ca="1">DATEDIF(Table1[[#This Row],[EMI_payment_date]],TODAY(),"m")</f>
        <v>12</v>
      </c>
      <c r="O443" s="9">
        <f>13*Table1[[#This Row],[monthly_EMI]]</f>
        <v>1875900</v>
      </c>
      <c r="P443" s="1">
        <v>9</v>
      </c>
      <c r="Q443" s="9">
        <f>Table1[[#This Row],[monthly_income]]*30%</f>
        <v>144300</v>
      </c>
      <c r="R443" s="1">
        <f>ROUNDUP(NPER(P443/100/12,-Q443,Table1[[#This Row],[Loan_Amount]]),0)</f>
        <v>50</v>
      </c>
      <c r="S443" s="1">
        <v>697</v>
      </c>
      <c r="T443" s="1" t="s">
        <v>37</v>
      </c>
      <c r="U443" s="1" t="str">
        <f>IF(Table1[[#This Row],[Repayment_Status]]="late","bad loan","good loan")</f>
        <v>bad loan</v>
      </c>
      <c r="V443" s="1" t="str">
        <f>IF(Table1[[#This Row],[Repayment_Status]]="late","high","low")</f>
        <v>high</v>
      </c>
      <c r="W443" s="1">
        <f>(Table1[[#This Row],[monthly_EMI]]/Table1[[#This Row],[monthly_income]])*100</f>
        <v>30</v>
      </c>
      <c r="X443" s="7">
        <v>24513.1</v>
      </c>
    </row>
    <row r="444" spans="1:24" x14ac:dyDescent="0.25">
      <c r="A444" s="1" t="s">
        <v>130</v>
      </c>
      <c r="B444" s="2" t="s">
        <v>811</v>
      </c>
      <c r="C444" s="5">
        <v>57</v>
      </c>
      <c r="D444" s="1" t="s">
        <v>26</v>
      </c>
      <c r="E444" s="1" t="s">
        <v>27</v>
      </c>
      <c r="F444" s="1" t="s">
        <v>22</v>
      </c>
      <c r="G444" s="1">
        <f>YEAR(Table1[[#This Row],[Application_Date]])</f>
        <v>2025</v>
      </c>
      <c r="H444" s="1" t="str">
        <f>TEXT(Table1[[#This Row],[EMI_payment_date]],"mmmm")</f>
        <v>July</v>
      </c>
      <c r="I444" s="3">
        <v>45824</v>
      </c>
      <c r="J444" s="3">
        <f>EDATE(Table1[[#This Row],[Application_Date]],1)</f>
        <v>45854</v>
      </c>
      <c r="K444" s="9">
        <v>1824000</v>
      </c>
      <c r="L444" s="9">
        <f>Table1[[#This Row],[Annual_Income]]/12</f>
        <v>152000</v>
      </c>
      <c r="M444" s="9">
        <v>2024000</v>
      </c>
      <c r="N444" s="5">
        <f ca="1">DATEDIF(Table1[[#This Row],[EMI_payment_date]],TODAY(),"m")</f>
        <v>12</v>
      </c>
      <c r="O444" s="9">
        <f>13*Table1[[#This Row],[monthly_EMI]]</f>
        <v>592800</v>
      </c>
      <c r="P444" s="1">
        <v>6.52</v>
      </c>
      <c r="Q444" s="9">
        <f>Table1[[#This Row],[monthly_income]]*30%</f>
        <v>45600</v>
      </c>
      <c r="R444" s="1">
        <f>ROUNDUP(NPER(P444/100/12,-Q444,Table1[[#This Row],[Loan_Amount]]),0)</f>
        <v>51</v>
      </c>
      <c r="S444" s="1">
        <v>686</v>
      </c>
      <c r="T444" s="1" t="s">
        <v>37</v>
      </c>
      <c r="U444" s="1" t="str">
        <f>IF(Table1[[#This Row],[Repayment_Status]]="late","bad loan","good loan")</f>
        <v>bad loan</v>
      </c>
      <c r="V444" s="1" t="str">
        <f>IF(Table1[[#This Row],[Repayment_Status]]="late","high","low")</f>
        <v>high</v>
      </c>
      <c r="W444" s="1">
        <f>(Table1[[#This Row],[monthly_EMI]]/Table1[[#This Row],[monthly_income]])*100</f>
        <v>30</v>
      </c>
      <c r="X444" s="7">
        <v>29899.05</v>
      </c>
    </row>
    <row r="445" spans="1:24" x14ac:dyDescent="0.25">
      <c r="A445" s="1" t="s">
        <v>423</v>
      </c>
      <c r="B445" s="2" t="s">
        <v>809</v>
      </c>
      <c r="C445" s="5">
        <v>39</v>
      </c>
      <c r="D445" s="1" t="s">
        <v>26</v>
      </c>
      <c r="E445" s="1" t="s">
        <v>27</v>
      </c>
      <c r="F445" s="1" t="s">
        <v>19</v>
      </c>
      <c r="G445" s="1">
        <f>YEAR(Table1[[#This Row],[Application_Date]])</f>
        <v>2025</v>
      </c>
      <c r="H445" s="1" t="str">
        <f>TEXT(Table1[[#This Row],[EMI_payment_date]],"mmmm")</f>
        <v>July</v>
      </c>
      <c r="I445" s="3">
        <v>45825</v>
      </c>
      <c r="J445" s="3">
        <f>EDATE(Table1[[#This Row],[Application_Date]],1)</f>
        <v>45855</v>
      </c>
      <c r="K445" s="9">
        <v>5340000</v>
      </c>
      <c r="L445" s="9">
        <f>Table1[[#This Row],[Annual_Income]]/12</f>
        <v>445000</v>
      </c>
      <c r="M445" s="9">
        <v>5540000</v>
      </c>
      <c r="N445" s="5">
        <f ca="1">DATEDIF(Table1[[#This Row],[EMI_payment_date]],TODAY(),"m")</f>
        <v>12</v>
      </c>
      <c r="O445" s="9">
        <f>13*Table1[[#This Row],[monthly_EMI]]</f>
        <v>1735500</v>
      </c>
      <c r="P445" s="1">
        <v>5.23</v>
      </c>
      <c r="Q445" s="9">
        <f>Table1[[#This Row],[monthly_income]]*30%</f>
        <v>133500</v>
      </c>
      <c r="R445" s="1">
        <f>ROUNDUP(NPER(P445/100/12,-Q445,Table1[[#This Row],[Loan_Amount]]),0)</f>
        <v>46</v>
      </c>
      <c r="S445" s="1">
        <v>842</v>
      </c>
      <c r="T445" s="1" t="s">
        <v>20</v>
      </c>
      <c r="U445" s="1" t="str">
        <f>IF(Table1[[#This Row],[Repayment_Status]]="late","bad loan","good loan")</f>
        <v>good loan</v>
      </c>
      <c r="V445" s="1" t="str">
        <f>IF(Table1[[#This Row],[Repayment_Status]]="late","high","low")</f>
        <v>low</v>
      </c>
      <c r="W445" s="1">
        <f>(Table1[[#This Row],[monthly_EMI]]/Table1[[#This Row],[monthly_income]])*100</f>
        <v>30</v>
      </c>
      <c r="X445" s="7">
        <v>11760.26</v>
      </c>
    </row>
    <row r="446" spans="1:24" x14ac:dyDescent="0.25">
      <c r="A446" s="1" t="s">
        <v>546</v>
      </c>
      <c r="B446" s="2" t="s">
        <v>753</v>
      </c>
      <c r="C446" s="5">
        <v>53</v>
      </c>
      <c r="D446" s="1" t="s">
        <v>15</v>
      </c>
      <c r="E446" s="1" t="s">
        <v>33</v>
      </c>
      <c r="F446" s="1" t="s">
        <v>17</v>
      </c>
      <c r="G446" s="1">
        <f>YEAR(Table1[[#This Row],[Application_Date]])</f>
        <v>2025</v>
      </c>
      <c r="H446" s="1" t="str">
        <f>TEXT(Table1[[#This Row],[EMI_payment_date]],"mmmm")</f>
        <v>July</v>
      </c>
      <c r="I446" s="3">
        <v>45826</v>
      </c>
      <c r="J446" s="3">
        <f>EDATE(Table1[[#This Row],[Application_Date]],1)</f>
        <v>45856</v>
      </c>
      <c r="K446" s="9">
        <v>6816000</v>
      </c>
      <c r="L446" s="9">
        <f>Table1[[#This Row],[Annual_Income]]/12</f>
        <v>568000</v>
      </c>
      <c r="M446" s="9">
        <v>7016000</v>
      </c>
      <c r="N446" s="5">
        <f ca="1">DATEDIF(Table1[[#This Row],[EMI_payment_date]],TODAY(),"m")</f>
        <v>12</v>
      </c>
      <c r="O446" s="9">
        <f>13*Table1[[#This Row],[monthly_EMI]]</f>
        <v>2215200</v>
      </c>
      <c r="P446" s="1">
        <v>7.29</v>
      </c>
      <c r="Q446" s="9">
        <f>Table1[[#This Row],[monthly_income]]*30%</f>
        <v>170400</v>
      </c>
      <c r="R446" s="1">
        <f>ROUNDUP(NPER(P446/100/12,-Q446,Table1[[#This Row],[Loan_Amount]]),0)</f>
        <v>48</v>
      </c>
      <c r="S446" s="1">
        <v>680</v>
      </c>
      <c r="T446" s="1" t="s">
        <v>20</v>
      </c>
      <c r="U446" s="1" t="str">
        <f>IF(Table1[[#This Row],[Repayment_Status]]="late","bad loan","good loan")</f>
        <v>good loan</v>
      </c>
      <c r="V446" s="1" t="str">
        <f>IF(Table1[[#This Row],[Repayment_Status]]="late","high","low")</f>
        <v>low</v>
      </c>
      <c r="W446" s="1">
        <f>(Table1[[#This Row],[monthly_EMI]]/Table1[[#This Row],[monthly_income]])*100</f>
        <v>30</v>
      </c>
      <c r="X446" s="7">
        <v>30283.01</v>
      </c>
    </row>
    <row r="447" spans="1:24" x14ac:dyDescent="0.25">
      <c r="A447" s="1" t="s">
        <v>358</v>
      </c>
      <c r="B447" s="2" t="s">
        <v>840</v>
      </c>
      <c r="C447" s="5">
        <v>44</v>
      </c>
      <c r="D447" s="1" t="s">
        <v>15</v>
      </c>
      <c r="E447" s="1" t="s">
        <v>24</v>
      </c>
      <c r="F447" s="1" t="s">
        <v>31</v>
      </c>
      <c r="G447" s="1">
        <f>YEAR(Table1[[#This Row],[Application_Date]])</f>
        <v>2025</v>
      </c>
      <c r="H447" s="1" t="str">
        <f>TEXT(Table1[[#This Row],[EMI_payment_date]],"mmmm")</f>
        <v>July</v>
      </c>
      <c r="I447" s="3">
        <v>45827</v>
      </c>
      <c r="J447" s="3">
        <f>EDATE(Table1[[#This Row],[Application_Date]],1)</f>
        <v>45857</v>
      </c>
      <c r="K447" s="9">
        <v>4560000</v>
      </c>
      <c r="L447" s="9">
        <f>Table1[[#This Row],[Annual_Income]]/12</f>
        <v>380000</v>
      </c>
      <c r="M447" s="9">
        <v>4760000</v>
      </c>
      <c r="N447" s="5">
        <f ca="1">DATEDIF(Table1[[#This Row],[EMI_payment_date]],TODAY(),"m")</f>
        <v>12</v>
      </c>
      <c r="O447" s="9">
        <f>13*Table1[[#This Row],[monthly_EMI]]</f>
        <v>1482000</v>
      </c>
      <c r="P447" s="1">
        <v>5.57</v>
      </c>
      <c r="Q447" s="9">
        <f>Table1[[#This Row],[monthly_income]]*30%</f>
        <v>114000</v>
      </c>
      <c r="R447" s="1">
        <f>ROUNDUP(NPER(P447/100/12,-Q447,Table1[[#This Row],[Loan_Amount]]),0)</f>
        <v>47</v>
      </c>
      <c r="S447" s="1">
        <v>603</v>
      </c>
      <c r="T447" s="1" t="s">
        <v>37</v>
      </c>
      <c r="U447" s="1" t="str">
        <f>IF(Table1[[#This Row],[Repayment_Status]]="late","bad loan","good loan")</f>
        <v>bad loan</v>
      </c>
      <c r="V447" s="1" t="str">
        <f>IF(Table1[[#This Row],[Repayment_Status]]="late","high","low")</f>
        <v>high</v>
      </c>
      <c r="W447" s="1">
        <f>(Table1[[#This Row],[monthly_EMI]]/Table1[[#This Row],[monthly_income]])*100</f>
        <v>30</v>
      </c>
      <c r="X447" s="7">
        <v>17797.52</v>
      </c>
    </row>
    <row r="448" spans="1:24" x14ac:dyDescent="0.25">
      <c r="A448" s="1" t="s">
        <v>98</v>
      </c>
      <c r="B448" s="2" t="s">
        <v>765</v>
      </c>
      <c r="C448" s="5">
        <v>26</v>
      </c>
      <c r="D448" s="1" t="s">
        <v>26</v>
      </c>
      <c r="E448" s="1" t="s">
        <v>29</v>
      </c>
      <c r="F448" s="1" t="s">
        <v>19</v>
      </c>
      <c r="G448" s="1">
        <f>YEAR(Table1[[#This Row],[Application_Date]])</f>
        <v>2025</v>
      </c>
      <c r="H448" s="1" t="str">
        <f>TEXT(Table1[[#This Row],[EMI_payment_date]],"mmmm")</f>
        <v>July</v>
      </c>
      <c r="I448" s="3">
        <v>45828</v>
      </c>
      <c r="J448" s="3">
        <f>EDATE(Table1[[#This Row],[Application_Date]],1)</f>
        <v>45858</v>
      </c>
      <c r="K448" s="9">
        <v>1428000</v>
      </c>
      <c r="L448" s="9">
        <f>Table1[[#This Row],[Annual_Income]]/12</f>
        <v>119000</v>
      </c>
      <c r="M448" s="9">
        <v>1628000</v>
      </c>
      <c r="N448" s="5">
        <f ca="1">DATEDIF(Table1[[#This Row],[EMI_payment_date]],TODAY(),"m")</f>
        <v>12</v>
      </c>
      <c r="O448" s="9">
        <f>13*Table1[[#This Row],[monthly_EMI]]</f>
        <v>464100</v>
      </c>
      <c r="P448" s="1">
        <v>9.31</v>
      </c>
      <c r="Q448" s="9">
        <f>Table1[[#This Row],[monthly_income]]*30%</f>
        <v>35700</v>
      </c>
      <c r="R448" s="1">
        <f>ROUNDUP(NPER(P448/100/12,-Q448,Table1[[#This Row],[Loan_Amount]]),0)</f>
        <v>57</v>
      </c>
      <c r="S448" s="1">
        <v>850</v>
      </c>
      <c r="T448" s="1" t="s">
        <v>20</v>
      </c>
      <c r="U448" s="1" t="str">
        <f>IF(Table1[[#This Row],[Repayment_Status]]="late","bad loan","good loan")</f>
        <v>good loan</v>
      </c>
      <c r="V448" s="1" t="str">
        <f>IF(Table1[[#This Row],[Repayment_Status]]="late","high","low")</f>
        <v>low</v>
      </c>
      <c r="W448" s="1">
        <f>(Table1[[#This Row],[monthly_EMI]]/Table1[[#This Row],[monthly_income]])*100</f>
        <v>30</v>
      </c>
      <c r="X448" s="7">
        <v>17212.07</v>
      </c>
    </row>
    <row r="449" spans="1:24" x14ac:dyDescent="0.25">
      <c r="A449" s="1" t="s">
        <v>287</v>
      </c>
      <c r="B449" s="2" t="s">
        <v>879</v>
      </c>
      <c r="C449" s="5">
        <v>32</v>
      </c>
      <c r="D449" s="1" t="s">
        <v>26</v>
      </c>
      <c r="E449" s="1" t="s">
        <v>24</v>
      </c>
      <c r="F449" s="1" t="s">
        <v>51</v>
      </c>
      <c r="G449" s="1">
        <f>YEAR(Table1[[#This Row],[Application_Date]])</f>
        <v>2025</v>
      </c>
      <c r="H449" s="1" t="str">
        <f>TEXT(Table1[[#This Row],[EMI_payment_date]],"mmmm")</f>
        <v>July</v>
      </c>
      <c r="I449" s="3">
        <v>45829</v>
      </c>
      <c r="J449" s="3">
        <f>EDATE(Table1[[#This Row],[Application_Date]],1)</f>
        <v>45859</v>
      </c>
      <c r="K449" s="9">
        <v>3708000</v>
      </c>
      <c r="L449" s="9">
        <f>Table1[[#This Row],[Annual_Income]]/12</f>
        <v>309000</v>
      </c>
      <c r="M449" s="9">
        <v>3908000</v>
      </c>
      <c r="N449" s="5">
        <f ca="1">DATEDIF(Table1[[#This Row],[EMI_payment_date]],TODAY(),"m")</f>
        <v>12</v>
      </c>
      <c r="O449" s="9">
        <f>13*Table1[[#This Row],[monthly_EMI]]</f>
        <v>1205100</v>
      </c>
      <c r="P449" s="1">
        <v>7.25</v>
      </c>
      <c r="Q449" s="9">
        <f>Table1[[#This Row],[monthly_income]]*30%</f>
        <v>92700</v>
      </c>
      <c r="R449" s="1">
        <f>ROUNDUP(NPER(P449/100/12,-Q449,Table1[[#This Row],[Loan_Amount]]),0)</f>
        <v>49</v>
      </c>
      <c r="S449" s="1">
        <v>691</v>
      </c>
      <c r="T449" s="1" t="s">
        <v>20</v>
      </c>
      <c r="U449" s="1" t="str">
        <f>IF(Table1[[#This Row],[Repayment_Status]]="late","bad loan","good loan")</f>
        <v>good loan</v>
      </c>
      <c r="V449" s="1" t="str">
        <f>IF(Table1[[#This Row],[Repayment_Status]]="late","high","low")</f>
        <v>low</v>
      </c>
      <c r="W449" s="1">
        <f>(Table1[[#This Row],[monthly_EMI]]/Table1[[#This Row],[monthly_income]])*100</f>
        <v>30</v>
      </c>
      <c r="X449" s="7">
        <v>20389.52</v>
      </c>
    </row>
    <row r="450" spans="1:24" x14ac:dyDescent="0.25">
      <c r="A450" s="1" t="s">
        <v>599</v>
      </c>
      <c r="B450" s="2" t="s">
        <v>851</v>
      </c>
      <c r="C450" s="5">
        <v>29</v>
      </c>
      <c r="D450" s="1" t="s">
        <v>26</v>
      </c>
      <c r="E450" s="1" t="s">
        <v>36</v>
      </c>
      <c r="F450" s="1" t="s">
        <v>22</v>
      </c>
      <c r="G450" s="1">
        <f>YEAR(Table1[[#This Row],[Application_Date]])</f>
        <v>2025</v>
      </c>
      <c r="H450" s="1" t="str">
        <f>TEXT(Table1[[#This Row],[EMI_payment_date]],"mmmm")</f>
        <v>July</v>
      </c>
      <c r="I450" s="3">
        <v>45830</v>
      </c>
      <c r="J450" s="3">
        <f>EDATE(Table1[[#This Row],[Application_Date]],1)</f>
        <v>45860</v>
      </c>
      <c r="K450" s="9">
        <v>7452000</v>
      </c>
      <c r="L450" s="9">
        <f>Table1[[#This Row],[Annual_Income]]/12</f>
        <v>621000</v>
      </c>
      <c r="M450" s="9">
        <v>7652000</v>
      </c>
      <c r="N450" s="5">
        <f ca="1">DATEDIF(Table1[[#This Row],[EMI_payment_date]],TODAY(),"m")</f>
        <v>12</v>
      </c>
      <c r="O450" s="9">
        <f>13*Table1[[#This Row],[monthly_EMI]]</f>
        <v>2421900</v>
      </c>
      <c r="P450" s="1">
        <v>7.54</v>
      </c>
      <c r="Q450" s="9">
        <f>Table1[[#This Row],[monthly_income]]*30%</f>
        <v>186300</v>
      </c>
      <c r="R450" s="1">
        <f>ROUNDUP(NPER(P450/100/12,-Q450,Table1[[#This Row],[Loan_Amount]]),0)</f>
        <v>48</v>
      </c>
      <c r="S450" s="1">
        <v>726</v>
      </c>
      <c r="T450" s="1" t="s">
        <v>20</v>
      </c>
      <c r="U450" s="1" t="str">
        <f>IF(Table1[[#This Row],[Repayment_Status]]="late","bad loan","good loan")</f>
        <v>good loan</v>
      </c>
      <c r="V450" s="1" t="str">
        <f>IF(Table1[[#This Row],[Repayment_Status]]="late","high","low")</f>
        <v>low</v>
      </c>
      <c r="W450" s="1">
        <f>(Table1[[#This Row],[monthly_EMI]]/Table1[[#This Row],[monthly_income]])*100</f>
        <v>30</v>
      </c>
      <c r="X450" s="7">
        <v>28206.3</v>
      </c>
    </row>
    <row r="451" spans="1:24" x14ac:dyDescent="0.25">
      <c r="A451" s="1" t="s">
        <v>301</v>
      </c>
      <c r="B451" s="2" t="s">
        <v>823</v>
      </c>
      <c r="C451" s="5">
        <v>57</v>
      </c>
      <c r="D451" s="1" t="s">
        <v>26</v>
      </c>
      <c r="E451" s="1" t="s">
        <v>27</v>
      </c>
      <c r="F451" s="1" t="s">
        <v>51</v>
      </c>
      <c r="G451" s="1">
        <f>YEAR(Table1[[#This Row],[Application_Date]])</f>
        <v>2025</v>
      </c>
      <c r="H451" s="1" t="str">
        <f>TEXT(Table1[[#This Row],[EMI_payment_date]],"mmmm")</f>
        <v>July</v>
      </c>
      <c r="I451" s="3">
        <v>45831</v>
      </c>
      <c r="J451" s="3">
        <f>EDATE(Table1[[#This Row],[Application_Date]],1)</f>
        <v>45861</v>
      </c>
      <c r="K451" s="9">
        <v>3876000</v>
      </c>
      <c r="L451" s="9">
        <f>Table1[[#This Row],[Annual_Income]]/12</f>
        <v>323000</v>
      </c>
      <c r="M451" s="9">
        <v>4076000</v>
      </c>
      <c r="N451" s="5">
        <f ca="1">DATEDIF(Table1[[#This Row],[EMI_payment_date]],TODAY(),"m")</f>
        <v>12</v>
      </c>
      <c r="O451" s="9">
        <f>13*Table1[[#This Row],[monthly_EMI]]</f>
        <v>1259700</v>
      </c>
      <c r="P451" s="1">
        <v>7.34</v>
      </c>
      <c r="Q451" s="9">
        <f>Table1[[#This Row],[monthly_income]]*30%</f>
        <v>96900</v>
      </c>
      <c r="R451" s="1">
        <f>ROUNDUP(NPER(P451/100/12,-Q451,Table1[[#This Row],[Loan_Amount]]),0)</f>
        <v>49</v>
      </c>
      <c r="S451" s="1">
        <v>670</v>
      </c>
      <c r="T451" s="1" t="s">
        <v>20</v>
      </c>
      <c r="U451" s="1" t="str">
        <f>IF(Table1[[#This Row],[Repayment_Status]]="late","bad loan","good loan")</f>
        <v>good loan</v>
      </c>
      <c r="V451" s="1" t="str">
        <f>IF(Table1[[#This Row],[Repayment_Status]]="late","high","low")</f>
        <v>low</v>
      </c>
      <c r="W451" s="1">
        <f>(Table1[[#This Row],[monthly_EMI]]/Table1[[#This Row],[monthly_income]])*100</f>
        <v>30</v>
      </c>
      <c r="X451" s="7">
        <v>26560.38</v>
      </c>
    </row>
    <row r="452" spans="1:24" x14ac:dyDescent="0.25">
      <c r="A452" s="1" t="s">
        <v>93</v>
      </c>
      <c r="B452" s="2" t="s">
        <v>785</v>
      </c>
      <c r="C452" s="5">
        <v>44</v>
      </c>
      <c r="D452" s="1" t="s">
        <v>15</v>
      </c>
      <c r="E452" s="1" t="s">
        <v>24</v>
      </c>
      <c r="F452" s="1" t="s">
        <v>51</v>
      </c>
      <c r="G452" s="1">
        <f>YEAR(Table1[[#This Row],[Application_Date]])</f>
        <v>2025</v>
      </c>
      <c r="H452" s="1" t="str">
        <f>TEXT(Table1[[#This Row],[EMI_payment_date]],"mmmm")</f>
        <v>July</v>
      </c>
      <c r="I452" s="3">
        <v>45832</v>
      </c>
      <c r="J452" s="3">
        <f>EDATE(Table1[[#This Row],[Application_Date]],1)</f>
        <v>45862</v>
      </c>
      <c r="K452" s="9">
        <v>1368000</v>
      </c>
      <c r="L452" s="9">
        <f>Table1[[#This Row],[Annual_Income]]/12</f>
        <v>114000</v>
      </c>
      <c r="M452" s="9">
        <v>1568000</v>
      </c>
      <c r="N452" s="5">
        <f ca="1">DATEDIF(Table1[[#This Row],[EMI_payment_date]],TODAY(),"m")</f>
        <v>12</v>
      </c>
      <c r="O452" s="9">
        <f>13*Table1[[#This Row],[monthly_EMI]]</f>
        <v>444600</v>
      </c>
      <c r="P452" s="1">
        <v>8.58</v>
      </c>
      <c r="Q452" s="9">
        <f>Table1[[#This Row],[monthly_income]]*30%</f>
        <v>34200</v>
      </c>
      <c r="R452" s="1">
        <f>ROUNDUP(NPER(P452/100/12,-Q452,Table1[[#This Row],[Loan_Amount]]),0)</f>
        <v>56</v>
      </c>
      <c r="S452" s="1">
        <v>668</v>
      </c>
      <c r="T452" s="1" t="s">
        <v>37</v>
      </c>
      <c r="U452" s="1" t="str">
        <f>IF(Table1[[#This Row],[Repayment_Status]]="late","bad loan","good loan")</f>
        <v>bad loan</v>
      </c>
      <c r="V452" s="1" t="str">
        <f>IF(Table1[[#This Row],[Repayment_Status]]="late","high","low")</f>
        <v>high</v>
      </c>
      <c r="W452" s="1">
        <f>(Table1[[#This Row],[monthly_EMI]]/Table1[[#This Row],[monthly_income]])*100</f>
        <v>30</v>
      </c>
      <c r="X452" s="7">
        <v>33898.17</v>
      </c>
    </row>
    <row r="453" spans="1:24" x14ac:dyDescent="0.25">
      <c r="A453" s="1" t="s">
        <v>598</v>
      </c>
      <c r="B453" s="2" t="s">
        <v>867</v>
      </c>
      <c r="C453" s="5">
        <v>31</v>
      </c>
      <c r="D453" s="1" t="s">
        <v>26</v>
      </c>
      <c r="E453" s="1" t="s">
        <v>36</v>
      </c>
      <c r="F453" s="1" t="s">
        <v>19</v>
      </c>
      <c r="G453" s="1">
        <f>YEAR(Table1[[#This Row],[Application_Date]])</f>
        <v>2025</v>
      </c>
      <c r="H453" s="1" t="str">
        <f>TEXT(Table1[[#This Row],[EMI_payment_date]],"mmmm")</f>
        <v>July</v>
      </c>
      <c r="I453" s="3">
        <v>45833</v>
      </c>
      <c r="J453" s="3">
        <f>EDATE(Table1[[#This Row],[Application_Date]],1)</f>
        <v>45863</v>
      </c>
      <c r="K453" s="9">
        <v>7440000</v>
      </c>
      <c r="L453" s="9">
        <f>Table1[[#This Row],[Annual_Income]]/12</f>
        <v>620000</v>
      </c>
      <c r="M453" s="9">
        <v>7640000</v>
      </c>
      <c r="N453" s="5">
        <f ca="1">DATEDIF(Table1[[#This Row],[EMI_payment_date]],TODAY(),"m")</f>
        <v>12</v>
      </c>
      <c r="O453" s="9">
        <f>13*Table1[[#This Row],[monthly_EMI]]</f>
        <v>2418000</v>
      </c>
      <c r="P453" s="1">
        <v>8.7899999999999991</v>
      </c>
      <c r="Q453" s="9">
        <f>Table1[[#This Row],[monthly_income]]*30%</f>
        <v>186000</v>
      </c>
      <c r="R453" s="1">
        <f>ROUNDUP(NPER(P453/100/12,-Q453,Table1[[#This Row],[Loan_Amount]]),0)</f>
        <v>50</v>
      </c>
      <c r="S453" s="1">
        <v>664</v>
      </c>
      <c r="T453" s="1" t="s">
        <v>37</v>
      </c>
      <c r="U453" s="1" t="str">
        <f>IF(Table1[[#This Row],[Repayment_Status]]="late","bad loan","good loan")</f>
        <v>bad loan</v>
      </c>
      <c r="V453" s="1" t="str">
        <f>IF(Table1[[#This Row],[Repayment_Status]]="late","high","low")</f>
        <v>high</v>
      </c>
      <c r="W453" s="1">
        <f>(Table1[[#This Row],[monthly_EMI]]/Table1[[#This Row],[monthly_income]])*100</f>
        <v>30</v>
      </c>
      <c r="X453" s="7">
        <v>18532.63</v>
      </c>
    </row>
    <row r="454" spans="1:24" x14ac:dyDescent="0.25">
      <c r="A454" s="1" t="s">
        <v>91</v>
      </c>
      <c r="B454" s="2" t="s">
        <v>763</v>
      </c>
      <c r="C454" s="5">
        <v>30</v>
      </c>
      <c r="D454" s="1" t="s">
        <v>26</v>
      </c>
      <c r="E454" s="1" t="s">
        <v>33</v>
      </c>
      <c r="F454" s="1" t="s">
        <v>22</v>
      </c>
      <c r="G454" s="1">
        <f>YEAR(Table1[[#This Row],[Application_Date]])</f>
        <v>2025</v>
      </c>
      <c r="H454" s="1" t="str">
        <f>TEXT(Table1[[#This Row],[EMI_payment_date]],"mmmm")</f>
        <v>July</v>
      </c>
      <c r="I454" s="3">
        <v>45834</v>
      </c>
      <c r="J454" s="3">
        <f>EDATE(Table1[[#This Row],[Application_Date]],1)</f>
        <v>45864</v>
      </c>
      <c r="K454" s="9">
        <v>1344000</v>
      </c>
      <c r="L454" s="9">
        <f>Table1[[#This Row],[Annual_Income]]/12</f>
        <v>112000</v>
      </c>
      <c r="M454" s="9">
        <v>1544000</v>
      </c>
      <c r="N454" s="5">
        <f ca="1">DATEDIF(Table1[[#This Row],[EMI_payment_date]],TODAY(),"m")</f>
        <v>12</v>
      </c>
      <c r="O454" s="9">
        <f>13*Table1[[#This Row],[monthly_EMI]]</f>
        <v>436800</v>
      </c>
      <c r="P454" s="1">
        <v>8.67</v>
      </c>
      <c r="Q454" s="9">
        <f>Table1[[#This Row],[monthly_income]]*30%</f>
        <v>33600</v>
      </c>
      <c r="R454" s="1">
        <f>ROUNDUP(NPER(P454/100/12,-Q454,Table1[[#This Row],[Loan_Amount]]),0)</f>
        <v>57</v>
      </c>
      <c r="S454" s="1">
        <v>641</v>
      </c>
      <c r="T454" s="1" t="s">
        <v>37</v>
      </c>
      <c r="U454" s="1" t="str">
        <f>IF(Table1[[#This Row],[Repayment_Status]]="late","bad loan","good loan")</f>
        <v>bad loan</v>
      </c>
      <c r="V454" s="1" t="str">
        <f>IF(Table1[[#This Row],[Repayment_Status]]="late","high","low")</f>
        <v>high</v>
      </c>
      <c r="W454" s="1">
        <f>(Table1[[#This Row],[monthly_EMI]]/Table1[[#This Row],[monthly_income]])*100</f>
        <v>30</v>
      </c>
      <c r="X454" s="7">
        <v>11840.6</v>
      </c>
    </row>
    <row r="455" spans="1:24" x14ac:dyDescent="0.25">
      <c r="A455" s="1" t="s">
        <v>475</v>
      </c>
      <c r="B455" s="2" t="s">
        <v>909</v>
      </c>
      <c r="C455" s="5">
        <v>43</v>
      </c>
      <c r="D455" s="1" t="s">
        <v>15</v>
      </c>
      <c r="E455" s="1" t="s">
        <v>16</v>
      </c>
      <c r="F455" s="1" t="s">
        <v>19</v>
      </c>
      <c r="G455" s="1">
        <f>YEAR(Table1[[#This Row],[Application_Date]])</f>
        <v>2025</v>
      </c>
      <c r="H455" s="1" t="str">
        <f>TEXT(Table1[[#This Row],[EMI_payment_date]],"mmmm")</f>
        <v>July</v>
      </c>
      <c r="I455" s="3">
        <v>45835</v>
      </c>
      <c r="J455" s="3">
        <f>EDATE(Table1[[#This Row],[Application_Date]],1)</f>
        <v>45865</v>
      </c>
      <c r="K455" s="9">
        <v>5964000</v>
      </c>
      <c r="L455" s="9">
        <f>Table1[[#This Row],[Annual_Income]]/12</f>
        <v>497000</v>
      </c>
      <c r="M455" s="9">
        <v>6164000</v>
      </c>
      <c r="N455" s="5">
        <f ca="1">DATEDIF(Table1[[#This Row],[EMI_payment_date]],TODAY(),"m")</f>
        <v>12</v>
      </c>
      <c r="O455" s="9">
        <f>13*Table1[[#This Row],[monthly_EMI]]</f>
        <v>1938300</v>
      </c>
      <c r="P455" s="1">
        <v>6.07</v>
      </c>
      <c r="Q455" s="9">
        <f>Table1[[#This Row],[monthly_income]]*30%</f>
        <v>149100</v>
      </c>
      <c r="R455" s="1">
        <f>ROUNDUP(NPER(P455/100/12,-Q455,Table1[[#This Row],[Loan_Amount]]),0)</f>
        <v>47</v>
      </c>
      <c r="S455" s="1">
        <v>751</v>
      </c>
      <c r="T455" s="1" t="s">
        <v>20</v>
      </c>
      <c r="U455" s="1" t="str">
        <f>IF(Table1[[#This Row],[Repayment_Status]]="late","bad loan","good loan")</f>
        <v>good loan</v>
      </c>
      <c r="V455" s="1" t="str">
        <f>IF(Table1[[#This Row],[Repayment_Status]]="late","high","low")</f>
        <v>low</v>
      </c>
      <c r="W455" s="1">
        <f>(Table1[[#This Row],[monthly_EMI]]/Table1[[#This Row],[monthly_income]])*100</f>
        <v>30</v>
      </c>
      <c r="X455" s="7">
        <v>20444.28</v>
      </c>
    </row>
    <row r="456" spans="1:24" x14ac:dyDescent="0.25">
      <c r="A456" s="1" t="s">
        <v>528</v>
      </c>
      <c r="B456" s="2" t="s">
        <v>816</v>
      </c>
      <c r="C456" s="5">
        <v>52</v>
      </c>
      <c r="D456" s="1" t="s">
        <v>15</v>
      </c>
      <c r="E456" s="1" t="s">
        <v>27</v>
      </c>
      <c r="F456" s="1" t="s">
        <v>17</v>
      </c>
      <c r="G456" s="1">
        <f>YEAR(Table1[[#This Row],[Application_Date]])</f>
        <v>2025</v>
      </c>
      <c r="H456" s="1" t="str">
        <f>TEXT(Table1[[#This Row],[EMI_payment_date]],"mmmm")</f>
        <v>July</v>
      </c>
      <c r="I456" s="3">
        <v>45836</v>
      </c>
      <c r="J456" s="3">
        <f>EDATE(Table1[[#This Row],[Application_Date]],1)</f>
        <v>45866</v>
      </c>
      <c r="K456" s="9">
        <v>6600000</v>
      </c>
      <c r="L456" s="9">
        <f>Table1[[#This Row],[Annual_Income]]/12</f>
        <v>550000</v>
      </c>
      <c r="M456" s="9">
        <v>6800000</v>
      </c>
      <c r="N456" s="5">
        <f ca="1">DATEDIF(Table1[[#This Row],[EMI_payment_date]],TODAY(),"m")</f>
        <v>12</v>
      </c>
      <c r="O456" s="9">
        <f>13*Table1[[#This Row],[monthly_EMI]]</f>
        <v>2145000</v>
      </c>
      <c r="P456" s="1">
        <v>5.22</v>
      </c>
      <c r="Q456" s="9">
        <f>Table1[[#This Row],[monthly_income]]*30%</f>
        <v>165000</v>
      </c>
      <c r="R456" s="1">
        <f>ROUNDUP(NPER(P456/100/12,-Q456,Table1[[#This Row],[Loan_Amount]]),0)</f>
        <v>46</v>
      </c>
      <c r="S456" s="1">
        <v>608</v>
      </c>
      <c r="T456" s="1" t="s">
        <v>20</v>
      </c>
      <c r="U456" s="1" t="str">
        <f>IF(Table1[[#This Row],[Repayment_Status]]="late","bad loan","good loan")</f>
        <v>good loan</v>
      </c>
      <c r="V456" s="1" t="str">
        <f>IF(Table1[[#This Row],[Repayment_Status]]="late","high","low")</f>
        <v>low</v>
      </c>
      <c r="W456" s="1">
        <f>(Table1[[#This Row],[monthly_EMI]]/Table1[[#This Row],[monthly_income]])*100</f>
        <v>30</v>
      </c>
      <c r="X456" s="7">
        <v>10739.36</v>
      </c>
    </row>
    <row r="457" spans="1:24" x14ac:dyDescent="0.25">
      <c r="A457" s="1" t="s">
        <v>408</v>
      </c>
      <c r="B457" s="2" t="s">
        <v>747</v>
      </c>
      <c r="C457" s="5">
        <v>32</v>
      </c>
      <c r="D457" s="1" t="s">
        <v>15</v>
      </c>
      <c r="E457" s="1" t="s">
        <v>36</v>
      </c>
      <c r="F457" s="1" t="s">
        <v>22</v>
      </c>
      <c r="G457" s="1">
        <f>YEAR(Table1[[#This Row],[Application_Date]])</f>
        <v>2025</v>
      </c>
      <c r="H457" s="1" t="str">
        <f>TEXT(Table1[[#This Row],[EMI_payment_date]],"mmmm")</f>
        <v>July</v>
      </c>
      <c r="I457" s="3">
        <v>45837</v>
      </c>
      <c r="J457" s="3">
        <f>EDATE(Table1[[#This Row],[Application_Date]],1)</f>
        <v>45867</v>
      </c>
      <c r="K457" s="9">
        <v>5160000</v>
      </c>
      <c r="L457" s="9">
        <f>Table1[[#This Row],[Annual_Income]]/12</f>
        <v>430000</v>
      </c>
      <c r="M457" s="9">
        <v>5360000</v>
      </c>
      <c r="N457" s="5">
        <f ca="1">DATEDIF(Table1[[#This Row],[EMI_payment_date]],TODAY(),"m")</f>
        <v>12</v>
      </c>
      <c r="O457" s="9">
        <f>13*Table1[[#This Row],[monthly_EMI]]</f>
        <v>1677000</v>
      </c>
      <c r="P457" s="1">
        <v>8.06</v>
      </c>
      <c r="Q457" s="9">
        <f>Table1[[#This Row],[monthly_income]]*30%</f>
        <v>129000</v>
      </c>
      <c r="R457" s="1">
        <f>ROUNDUP(NPER(P457/100/12,-Q457,Table1[[#This Row],[Loan_Amount]]),0)</f>
        <v>49</v>
      </c>
      <c r="S457" s="1">
        <v>814</v>
      </c>
      <c r="T457" s="1" t="s">
        <v>20</v>
      </c>
      <c r="U457" s="1" t="str">
        <f>IF(Table1[[#This Row],[Repayment_Status]]="late","bad loan","good loan")</f>
        <v>good loan</v>
      </c>
      <c r="V457" s="1" t="str">
        <f>IF(Table1[[#This Row],[Repayment_Status]]="late","high","low")</f>
        <v>low</v>
      </c>
      <c r="W457" s="1">
        <f>(Table1[[#This Row],[monthly_EMI]]/Table1[[#This Row],[monthly_income]])*100</f>
        <v>30</v>
      </c>
      <c r="X457" s="7">
        <v>25837.599999999999</v>
      </c>
    </row>
    <row r="458" spans="1:24" x14ac:dyDescent="0.25">
      <c r="A458" s="1" t="s">
        <v>487</v>
      </c>
      <c r="B458" s="2" t="s">
        <v>869</v>
      </c>
      <c r="C458" s="5">
        <v>30</v>
      </c>
      <c r="D458" s="1" t="s">
        <v>26</v>
      </c>
      <c r="E458" s="1" t="s">
        <v>27</v>
      </c>
      <c r="F458" s="1" t="s">
        <v>19</v>
      </c>
      <c r="G458" s="1">
        <f>YEAR(Table1[[#This Row],[Application_Date]])</f>
        <v>2025</v>
      </c>
      <c r="H458" s="1" t="str">
        <f>TEXT(Table1[[#This Row],[EMI_payment_date]],"mmmm")</f>
        <v>July</v>
      </c>
      <c r="I458" s="3">
        <v>45838</v>
      </c>
      <c r="J458" s="3">
        <f>EDATE(Table1[[#This Row],[Application_Date]],1)</f>
        <v>45868</v>
      </c>
      <c r="K458" s="9">
        <v>6108000</v>
      </c>
      <c r="L458" s="9">
        <f>Table1[[#This Row],[Annual_Income]]/12</f>
        <v>509000</v>
      </c>
      <c r="M458" s="9">
        <v>6308000</v>
      </c>
      <c r="N458" s="5">
        <f ca="1">DATEDIF(Table1[[#This Row],[EMI_payment_date]],TODAY(),"m")</f>
        <v>12</v>
      </c>
      <c r="O458" s="9">
        <f>13*Table1[[#This Row],[monthly_EMI]]</f>
        <v>1985100</v>
      </c>
      <c r="P458" s="1">
        <v>8.32</v>
      </c>
      <c r="Q458" s="9">
        <f>Table1[[#This Row],[monthly_income]]*30%</f>
        <v>152700</v>
      </c>
      <c r="R458" s="1">
        <f>ROUNDUP(NPER(P458/100/12,-Q458,Table1[[#This Row],[Loan_Amount]]),0)</f>
        <v>49</v>
      </c>
      <c r="S458" s="1">
        <v>627</v>
      </c>
      <c r="T458" s="1" t="s">
        <v>20</v>
      </c>
      <c r="U458" s="1" t="str">
        <f>IF(Table1[[#This Row],[Repayment_Status]]="late","bad loan","good loan")</f>
        <v>good loan</v>
      </c>
      <c r="V458" s="1" t="str">
        <f>IF(Table1[[#This Row],[Repayment_Status]]="late","high","low")</f>
        <v>low</v>
      </c>
      <c r="W458" s="1">
        <f>(Table1[[#This Row],[monthly_EMI]]/Table1[[#This Row],[monthly_income]])*100</f>
        <v>30</v>
      </c>
      <c r="X458" s="7">
        <v>12208.37</v>
      </c>
    </row>
    <row r="459" spans="1:24" x14ac:dyDescent="0.25">
      <c r="A459" s="1" t="s">
        <v>457</v>
      </c>
      <c r="B459" s="2" t="s">
        <v>906</v>
      </c>
      <c r="C459" s="5">
        <v>27</v>
      </c>
      <c r="D459" s="1" t="s">
        <v>26</v>
      </c>
      <c r="E459" s="1" t="s">
        <v>29</v>
      </c>
      <c r="F459" s="1" t="s">
        <v>17</v>
      </c>
      <c r="G459" s="1">
        <f>YEAR(Table1[[#This Row],[Application_Date]])</f>
        <v>2025</v>
      </c>
      <c r="H459" s="1" t="str">
        <f>TEXT(Table1[[#This Row],[EMI_payment_date]],"mmmm")</f>
        <v>August</v>
      </c>
      <c r="I459" s="3">
        <v>45839</v>
      </c>
      <c r="J459" s="3">
        <f>EDATE(Table1[[#This Row],[Application_Date]],1)</f>
        <v>45870</v>
      </c>
      <c r="K459" s="9">
        <v>5748000</v>
      </c>
      <c r="L459" s="9">
        <f>Table1[[#This Row],[Annual_Income]]/12</f>
        <v>479000</v>
      </c>
      <c r="M459" s="9">
        <v>5948000</v>
      </c>
      <c r="N459" s="5">
        <f ca="1">DATEDIF(Table1[[#This Row],[EMI_payment_date]],TODAY(),"m")</f>
        <v>11</v>
      </c>
      <c r="O459" s="9">
        <f>12*Table1[[#This Row],[monthly_EMI]]</f>
        <v>1724400</v>
      </c>
      <c r="P459" s="1">
        <v>9.7200000000000006</v>
      </c>
      <c r="Q459" s="9">
        <f>Table1[[#This Row],[monthly_income]]*30%</f>
        <v>143700</v>
      </c>
      <c r="R459" s="1">
        <f>ROUNDUP(NPER(P459/100/12,-Q459,Table1[[#This Row],[Loan_Amount]]),0)</f>
        <v>51</v>
      </c>
      <c r="S459" s="1">
        <v>845</v>
      </c>
      <c r="T459" s="1" t="s">
        <v>37</v>
      </c>
      <c r="U459" s="1" t="str">
        <f>IF(Table1[[#This Row],[Repayment_Status]]="late","bad loan","good loan")</f>
        <v>bad loan</v>
      </c>
      <c r="V459" s="1" t="str">
        <f>IF(Table1[[#This Row],[Repayment_Status]]="late","high","low")</f>
        <v>high</v>
      </c>
      <c r="W459" s="1">
        <f>(Table1[[#This Row],[monthly_EMI]]/Table1[[#This Row],[monthly_income]])*100</f>
        <v>30</v>
      </c>
      <c r="X459" s="7">
        <v>33517.629999999997</v>
      </c>
    </row>
    <row r="460" spans="1:24" x14ac:dyDescent="0.25">
      <c r="A460" s="1" t="s">
        <v>389</v>
      </c>
      <c r="B460" s="2" t="s">
        <v>774</v>
      </c>
      <c r="C460" s="5">
        <v>34</v>
      </c>
      <c r="D460" s="1" t="s">
        <v>15</v>
      </c>
      <c r="E460" s="1" t="s">
        <v>27</v>
      </c>
      <c r="F460" s="1" t="s">
        <v>22</v>
      </c>
      <c r="G460" s="1">
        <f>YEAR(Table1[[#This Row],[Application_Date]])</f>
        <v>2025</v>
      </c>
      <c r="H460" s="1" t="str">
        <f>TEXT(Table1[[#This Row],[EMI_payment_date]],"mmmm")</f>
        <v>August</v>
      </c>
      <c r="I460" s="3">
        <v>45840</v>
      </c>
      <c r="J460" s="3">
        <f>EDATE(Table1[[#This Row],[Application_Date]],1)</f>
        <v>45871</v>
      </c>
      <c r="K460" s="9">
        <v>4932000</v>
      </c>
      <c r="L460" s="9">
        <f>Table1[[#This Row],[Annual_Income]]/12</f>
        <v>411000</v>
      </c>
      <c r="M460" s="9">
        <v>5132000</v>
      </c>
      <c r="N460" s="5">
        <f ca="1">DATEDIF(Table1[[#This Row],[EMI_payment_date]],TODAY(),"m")</f>
        <v>11</v>
      </c>
      <c r="O460" s="9">
        <f>12*Table1[[#This Row],[monthly_EMI]]</f>
        <v>1479600</v>
      </c>
      <c r="P460" s="1">
        <v>9.07</v>
      </c>
      <c r="Q460" s="9">
        <f>Table1[[#This Row],[monthly_income]]*30%</f>
        <v>123300</v>
      </c>
      <c r="R460" s="1">
        <f>ROUNDUP(NPER(P460/100/12,-Q460,Table1[[#This Row],[Loan_Amount]]),0)</f>
        <v>51</v>
      </c>
      <c r="S460" s="1">
        <v>651</v>
      </c>
      <c r="T460" s="1" t="s">
        <v>37</v>
      </c>
      <c r="U460" s="1" t="str">
        <f>IF(Table1[[#This Row],[Repayment_Status]]="late","bad loan","good loan")</f>
        <v>bad loan</v>
      </c>
      <c r="V460" s="1" t="str">
        <f>IF(Table1[[#This Row],[Repayment_Status]]="late","high","low")</f>
        <v>high</v>
      </c>
      <c r="W460" s="1">
        <f>(Table1[[#This Row],[monthly_EMI]]/Table1[[#This Row],[monthly_income]])*100</f>
        <v>30</v>
      </c>
      <c r="X460" s="7">
        <v>26992.94</v>
      </c>
    </row>
    <row r="461" spans="1:24" x14ac:dyDescent="0.25">
      <c r="A461" s="1" t="s">
        <v>515</v>
      </c>
      <c r="B461" s="2" t="s">
        <v>848</v>
      </c>
      <c r="C461" s="5">
        <v>54</v>
      </c>
      <c r="D461" s="1" t="s">
        <v>26</v>
      </c>
      <c r="E461" s="1" t="s">
        <v>33</v>
      </c>
      <c r="F461" s="1" t="s">
        <v>31</v>
      </c>
      <c r="G461" s="1">
        <f>YEAR(Table1[[#This Row],[Application_Date]])</f>
        <v>2025</v>
      </c>
      <c r="H461" s="1" t="str">
        <f>TEXT(Table1[[#This Row],[EMI_payment_date]],"mmmm")</f>
        <v>August</v>
      </c>
      <c r="I461" s="3">
        <v>45841</v>
      </c>
      <c r="J461" s="3">
        <f>EDATE(Table1[[#This Row],[Application_Date]],1)</f>
        <v>45872</v>
      </c>
      <c r="K461" s="9">
        <v>6444000</v>
      </c>
      <c r="L461" s="9">
        <f>Table1[[#This Row],[Annual_Income]]/12</f>
        <v>537000</v>
      </c>
      <c r="M461" s="9">
        <v>6644000</v>
      </c>
      <c r="N461" s="5">
        <f ca="1">DATEDIF(Table1[[#This Row],[EMI_payment_date]],TODAY(),"m")</f>
        <v>11</v>
      </c>
      <c r="O461" s="9">
        <f>12*Table1[[#This Row],[monthly_EMI]]</f>
        <v>1933200</v>
      </c>
      <c r="P461" s="1">
        <v>6.88</v>
      </c>
      <c r="Q461" s="9">
        <f>Table1[[#This Row],[monthly_income]]*30%</f>
        <v>161100</v>
      </c>
      <c r="R461" s="1">
        <f>ROUNDUP(NPER(P461/100/12,-Q461,Table1[[#This Row],[Loan_Amount]]),0)</f>
        <v>48</v>
      </c>
      <c r="S461" s="1">
        <v>679</v>
      </c>
      <c r="T461" s="1" t="s">
        <v>37</v>
      </c>
      <c r="U461" s="1" t="str">
        <f>IF(Table1[[#This Row],[Repayment_Status]]="late","bad loan","good loan")</f>
        <v>bad loan</v>
      </c>
      <c r="V461" s="1" t="str">
        <f>IF(Table1[[#This Row],[Repayment_Status]]="late","high","low")</f>
        <v>high</v>
      </c>
      <c r="W461" s="1">
        <f>(Table1[[#This Row],[monthly_EMI]]/Table1[[#This Row],[monthly_income]])*100</f>
        <v>30</v>
      </c>
      <c r="X461" s="7">
        <v>32205.200000000001</v>
      </c>
    </row>
    <row r="462" spans="1:24" x14ac:dyDescent="0.25">
      <c r="A462" s="1" t="s">
        <v>273</v>
      </c>
      <c r="B462" s="2" t="s">
        <v>875</v>
      </c>
      <c r="C462" s="5">
        <v>31</v>
      </c>
      <c r="D462" s="1" t="s">
        <v>15</v>
      </c>
      <c r="E462" s="1" t="s">
        <v>27</v>
      </c>
      <c r="F462" s="1" t="s">
        <v>19</v>
      </c>
      <c r="G462" s="1">
        <f>YEAR(Table1[[#This Row],[Application_Date]])</f>
        <v>2025</v>
      </c>
      <c r="H462" s="1" t="str">
        <f>TEXT(Table1[[#This Row],[EMI_payment_date]],"mmmm")</f>
        <v>August</v>
      </c>
      <c r="I462" s="3">
        <v>45842</v>
      </c>
      <c r="J462" s="3">
        <f>EDATE(Table1[[#This Row],[Application_Date]],1)</f>
        <v>45873</v>
      </c>
      <c r="K462" s="9">
        <v>3540000</v>
      </c>
      <c r="L462" s="9">
        <f>Table1[[#This Row],[Annual_Income]]/12</f>
        <v>295000</v>
      </c>
      <c r="M462" s="9">
        <v>3740000</v>
      </c>
      <c r="N462" s="5">
        <f ca="1">DATEDIF(Table1[[#This Row],[EMI_payment_date]],TODAY(),"m")</f>
        <v>11</v>
      </c>
      <c r="O462" s="9">
        <f>12*Table1[[#This Row],[monthly_EMI]]</f>
        <v>1062000</v>
      </c>
      <c r="P462" s="1">
        <v>8.7799999999999994</v>
      </c>
      <c r="Q462" s="9">
        <f>Table1[[#This Row],[monthly_income]]*30%</f>
        <v>88500</v>
      </c>
      <c r="R462" s="1">
        <f>ROUNDUP(NPER(P462/100/12,-Q462,Table1[[#This Row],[Loan_Amount]]),0)</f>
        <v>51</v>
      </c>
      <c r="S462" s="1">
        <v>757</v>
      </c>
      <c r="T462" s="1" t="s">
        <v>37</v>
      </c>
      <c r="U462" s="1" t="str">
        <f>IF(Table1[[#This Row],[Repayment_Status]]="late","bad loan","good loan")</f>
        <v>bad loan</v>
      </c>
      <c r="V462" s="1" t="str">
        <f>IF(Table1[[#This Row],[Repayment_Status]]="late","high","low")</f>
        <v>high</v>
      </c>
      <c r="W462" s="1">
        <f>(Table1[[#This Row],[monthly_EMI]]/Table1[[#This Row],[monthly_income]])*100</f>
        <v>30</v>
      </c>
      <c r="X462" s="7">
        <v>32353.23</v>
      </c>
    </row>
    <row r="463" spans="1:24" x14ac:dyDescent="0.25">
      <c r="A463" s="1" t="s">
        <v>625</v>
      </c>
      <c r="B463" s="2" t="s">
        <v>828</v>
      </c>
      <c r="C463" s="5">
        <v>60</v>
      </c>
      <c r="D463" s="1" t="s">
        <v>26</v>
      </c>
      <c r="E463" s="1" t="s">
        <v>29</v>
      </c>
      <c r="F463" s="1" t="s">
        <v>17</v>
      </c>
      <c r="G463" s="1">
        <f>YEAR(Table1[[#This Row],[Application_Date]])</f>
        <v>2025</v>
      </c>
      <c r="H463" s="1" t="str">
        <f>TEXT(Table1[[#This Row],[EMI_payment_date]],"mmmm")</f>
        <v>August</v>
      </c>
      <c r="I463" s="3">
        <v>45843</v>
      </c>
      <c r="J463" s="3">
        <f>EDATE(Table1[[#This Row],[Application_Date]],1)</f>
        <v>45874</v>
      </c>
      <c r="K463" s="9">
        <v>7764000</v>
      </c>
      <c r="L463" s="9">
        <f>Table1[[#This Row],[Annual_Income]]/12</f>
        <v>647000</v>
      </c>
      <c r="M463" s="9">
        <v>7964000</v>
      </c>
      <c r="N463" s="5">
        <f ca="1">DATEDIF(Table1[[#This Row],[EMI_payment_date]],TODAY(),"m")</f>
        <v>11</v>
      </c>
      <c r="O463" s="9">
        <f>12*Table1[[#This Row],[monthly_EMI]]</f>
        <v>2329200</v>
      </c>
      <c r="P463" s="1">
        <v>7.37</v>
      </c>
      <c r="Q463" s="9">
        <f>Table1[[#This Row],[monthly_income]]*30%</f>
        <v>194100</v>
      </c>
      <c r="R463" s="1">
        <f>ROUNDUP(NPER(P463/100/12,-Q463,Table1[[#This Row],[Loan_Amount]]),0)</f>
        <v>48</v>
      </c>
      <c r="S463" s="1">
        <v>698</v>
      </c>
      <c r="T463" s="1" t="s">
        <v>20</v>
      </c>
      <c r="U463" s="1" t="str">
        <f>IF(Table1[[#This Row],[Repayment_Status]]="late","bad loan","good loan")</f>
        <v>good loan</v>
      </c>
      <c r="V463" s="1" t="str">
        <f>IF(Table1[[#This Row],[Repayment_Status]]="late","high","low")</f>
        <v>low</v>
      </c>
      <c r="W463" s="1">
        <f>(Table1[[#This Row],[monthly_EMI]]/Table1[[#This Row],[monthly_income]])*100</f>
        <v>30</v>
      </c>
      <c r="X463" s="7">
        <v>24913.119999999999</v>
      </c>
    </row>
    <row r="464" spans="1:24" x14ac:dyDescent="0.25">
      <c r="A464" s="1" t="s">
        <v>220</v>
      </c>
      <c r="B464" s="2" t="s">
        <v>855</v>
      </c>
      <c r="C464" s="5">
        <v>27</v>
      </c>
      <c r="D464" s="1" t="s">
        <v>15</v>
      </c>
      <c r="E464" s="1" t="s">
        <v>27</v>
      </c>
      <c r="F464" s="1" t="s">
        <v>51</v>
      </c>
      <c r="G464" s="1">
        <f>YEAR(Table1[[#This Row],[Application_Date]])</f>
        <v>2025</v>
      </c>
      <c r="H464" s="1" t="str">
        <f>TEXT(Table1[[#This Row],[EMI_payment_date]],"mmmm")</f>
        <v>August</v>
      </c>
      <c r="I464" s="3">
        <v>45844</v>
      </c>
      <c r="J464" s="3">
        <f>EDATE(Table1[[#This Row],[Application_Date]],1)</f>
        <v>45875</v>
      </c>
      <c r="K464" s="9">
        <v>2904000</v>
      </c>
      <c r="L464" s="9">
        <f>Table1[[#This Row],[Annual_Income]]/12</f>
        <v>242000</v>
      </c>
      <c r="M464" s="9">
        <v>3104000</v>
      </c>
      <c r="N464" s="5">
        <f ca="1">DATEDIF(Table1[[#This Row],[EMI_payment_date]],TODAY(),"m")</f>
        <v>11</v>
      </c>
      <c r="O464" s="9">
        <f>12*Table1[[#This Row],[monthly_EMI]]</f>
        <v>871200</v>
      </c>
      <c r="P464" s="1">
        <v>7.65</v>
      </c>
      <c r="Q464" s="9">
        <f>Table1[[#This Row],[monthly_income]]*30%</f>
        <v>72600</v>
      </c>
      <c r="R464" s="1">
        <f>ROUNDUP(NPER(P464/100/12,-Q464,Table1[[#This Row],[Loan_Amount]]),0)</f>
        <v>51</v>
      </c>
      <c r="S464" s="1">
        <v>748</v>
      </c>
      <c r="T464" s="1" t="s">
        <v>20</v>
      </c>
      <c r="U464" s="1" t="str">
        <f>IF(Table1[[#This Row],[Repayment_Status]]="late","bad loan","good loan")</f>
        <v>good loan</v>
      </c>
      <c r="V464" s="1" t="str">
        <f>IF(Table1[[#This Row],[Repayment_Status]]="late","high","low")</f>
        <v>low</v>
      </c>
      <c r="W464" s="1">
        <f>(Table1[[#This Row],[monthly_EMI]]/Table1[[#This Row],[monthly_income]])*100</f>
        <v>30</v>
      </c>
      <c r="X464" s="7">
        <v>22532.49</v>
      </c>
    </row>
    <row r="465" spans="1:24" x14ac:dyDescent="0.25">
      <c r="A465" s="1" t="s">
        <v>42</v>
      </c>
      <c r="B465" s="2" t="s">
        <v>743</v>
      </c>
      <c r="C465" s="5">
        <v>29</v>
      </c>
      <c r="D465" s="1" t="s">
        <v>26</v>
      </c>
      <c r="E465" s="1" t="s">
        <v>29</v>
      </c>
      <c r="F465" s="1" t="s">
        <v>17</v>
      </c>
      <c r="G465" s="1">
        <f>YEAR(Table1[[#This Row],[Application_Date]])</f>
        <v>2025</v>
      </c>
      <c r="H465" s="1" t="str">
        <f>TEXT(Table1[[#This Row],[EMI_payment_date]],"mmmm")</f>
        <v>August</v>
      </c>
      <c r="I465" s="3">
        <v>45845</v>
      </c>
      <c r="J465" s="3">
        <f>EDATE(Table1[[#This Row],[Application_Date]],1)</f>
        <v>45876</v>
      </c>
      <c r="K465" s="9">
        <v>768000</v>
      </c>
      <c r="L465" s="9">
        <f>Table1[[#This Row],[Annual_Income]]/12</f>
        <v>64000</v>
      </c>
      <c r="M465" s="9">
        <v>968000</v>
      </c>
      <c r="N465" s="5">
        <f ca="1">DATEDIF(Table1[[#This Row],[EMI_payment_date]],TODAY(),"m")</f>
        <v>11</v>
      </c>
      <c r="O465" s="9">
        <f>12*Table1[[#This Row],[monthly_EMI]]</f>
        <v>230400</v>
      </c>
      <c r="P465" s="1">
        <v>6.72</v>
      </c>
      <c r="Q465" s="9">
        <f>Table1[[#This Row],[monthly_income]]*30%</f>
        <v>19200</v>
      </c>
      <c r="R465" s="1">
        <f>ROUNDUP(NPER(P465/100/12,-Q465,Table1[[#This Row],[Loan_Amount]]),0)</f>
        <v>60</v>
      </c>
      <c r="S465" s="1">
        <v>731</v>
      </c>
      <c r="T465" s="1" t="s">
        <v>20</v>
      </c>
      <c r="U465" s="1" t="str">
        <f>IF(Table1[[#This Row],[Repayment_Status]]="late","bad loan","good loan")</f>
        <v>good loan</v>
      </c>
      <c r="V465" s="1" t="str">
        <f>IF(Table1[[#This Row],[Repayment_Status]]="late","high","low")</f>
        <v>low</v>
      </c>
      <c r="W465" s="1">
        <f>(Table1[[#This Row],[monthly_EMI]]/Table1[[#This Row],[monthly_income]])*100</f>
        <v>30</v>
      </c>
      <c r="X465" s="7">
        <v>5753.74</v>
      </c>
    </row>
    <row r="466" spans="1:24" x14ac:dyDescent="0.25">
      <c r="A466" s="1" t="s">
        <v>577</v>
      </c>
      <c r="B466" s="2" t="s">
        <v>731</v>
      </c>
      <c r="C466" s="5">
        <v>59</v>
      </c>
      <c r="D466" s="1" t="s">
        <v>26</v>
      </c>
      <c r="E466" s="1" t="s">
        <v>24</v>
      </c>
      <c r="F466" s="1" t="s">
        <v>22</v>
      </c>
      <c r="G466" s="1">
        <f>YEAR(Table1[[#This Row],[Application_Date]])</f>
        <v>2025</v>
      </c>
      <c r="H466" s="1" t="str">
        <f>TEXT(Table1[[#This Row],[EMI_payment_date]],"mmmm")</f>
        <v>August</v>
      </c>
      <c r="I466" s="3">
        <v>45846</v>
      </c>
      <c r="J466" s="3">
        <f>EDATE(Table1[[#This Row],[Application_Date]],1)</f>
        <v>45877</v>
      </c>
      <c r="K466" s="9">
        <v>7188000</v>
      </c>
      <c r="L466" s="9">
        <f>Table1[[#This Row],[Annual_Income]]/12</f>
        <v>599000</v>
      </c>
      <c r="M466" s="9">
        <v>7388000</v>
      </c>
      <c r="N466" s="5">
        <f ca="1">DATEDIF(Table1[[#This Row],[EMI_payment_date]],TODAY(),"m")</f>
        <v>11</v>
      </c>
      <c r="O466" s="9">
        <f>12*Table1[[#This Row],[monthly_EMI]]</f>
        <v>2156400</v>
      </c>
      <c r="P466" s="1">
        <v>6.02</v>
      </c>
      <c r="Q466" s="9">
        <f>Table1[[#This Row],[monthly_income]]*30%</f>
        <v>179700</v>
      </c>
      <c r="R466" s="1">
        <f>ROUNDUP(NPER(P466/100/12,-Q466,Table1[[#This Row],[Loan_Amount]]),0)</f>
        <v>47</v>
      </c>
      <c r="S466" s="1">
        <v>637</v>
      </c>
      <c r="T466" s="1" t="s">
        <v>20</v>
      </c>
      <c r="U466" s="1" t="str">
        <f>IF(Table1[[#This Row],[Repayment_Status]]="late","bad loan","good loan")</f>
        <v>good loan</v>
      </c>
      <c r="V466" s="1" t="str">
        <f>IF(Table1[[#This Row],[Repayment_Status]]="late","high","low")</f>
        <v>low</v>
      </c>
      <c r="W466" s="1">
        <f>(Table1[[#This Row],[monthly_EMI]]/Table1[[#This Row],[monthly_income]])*100</f>
        <v>30</v>
      </c>
      <c r="X466" s="7">
        <v>12444.07</v>
      </c>
    </row>
    <row r="467" spans="1:24" x14ac:dyDescent="0.25">
      <c r="A467" s="1" t="s">
        <v>615</v>
      </c>
      <c r="B467" s="2" t="s">
        <v>890</v>
      </c>
      <c r="C467" s="5">
        <v>49</v>
      </c>
      <c r="D467" s="1" t="s">
        <v>15</v>
      </c>
      <c r="E467" s="1" t="s">
        <v>29</v>
      </c>
      <c r="F467" s="1" t="s">
        <v>22</v>
      </c>
      <c r="G467" s="1">
        <f>YEAR(Table1[[#This Row],[Application_Date]])</f>
        <v>2025</v>
      </c>
      <c r="H467" s="1" t="str">
        <f>TEXT(Table1[[#This Row],[EMI_payment_date]],"mmmm")</f>
        <v>August</v>
      </c>
      <c r="I467" s="3">
        <v>45847</v>
      </c>
      <c r="J467" s="3">
        <f>EDATE(Table1[[#This Row],[Application_Date]],1)</f>
        <v>45878</v>
      </c>
      <c r="K467" s="9">
        <v>7644000</v>
      </c>
      <c r="L467" s="9">
        <f>Table1[[#This Row],[Annual_Income]]/12</f>
        <v>637000</v>
      </c>
      <c r="M467" s="9">
        <v>7844000</v>
      </c>
      <c r="N467" s="5">
        <f ca="1">DATEDIF(Table1[[#This Row],[EMI_payment_date]],TODAY(),"m")</f>
        <v>11</v>
      </c>
      <c r="O467" s="9">
        <f>12*Table1[[#This Row],[monthly_EMI]]</f>
        <v>2293200</v>
      </c>
      <c r="P467" s="1">
        <v>8.82</v>
      </c>
      <c r="Q467" s="9">
        <f>Table1[[#This Row],[monthly_income]]*30%</f>
        <v>191100</v>
      </c>
      <c r="R467" s="1">
        <f>ROUNDUP(NPER(P467/100/12,-Q467,Table1[[#This Row],[Loan_Amount]]),0)</f>
        <v>50</v>
      </c>
      <c r="S467" s="1">
        <v>651</v>
      </c>
      <c r="T467" s="1" t="s">
        <v>20</v>
      </c>
      <c r="U467" s="1" t="str">
        <f>IF(Table1[[#This Row],[Repayment_Status]]="late","bad loan","good loan")</f>
        <v>good loan</v>
      </c>
      <c r="V467" s="1" t="str">
        <f>IF(Table1[[#This Row],[Repayment_Status]]="late","high","low")</f>
        <v>low</v>
      </c>
      <c r="W467" s="1">
        <f>(Table1[[#This Row],[monthly_EMI]]/Table1[[#This Row],[monthly_income]])*100</f>
        <v>30</v>
      </c>
      <c r="X467" s="7">
        <v>11289.55</v>
      </c>
    </row>
    <row r="468" spans="1:24" x14ac:dyDescent="0.25">
      <c r="A468" s="1" t="s">
        <v>381</v>
      </c>
      <c r="B468" s="2" t="s">
        <v>769</v>
      </c>
      <c r="C468" s="5">
        <v>27</v>
      </c>
      <c r="D468" s="1" t="s">
        <v>15</v>
      </c>
      <c r="E468" s="1" t="s">
        <v>33</v>
      </c>
      <c r="F468" s="1" t="s">
        <v>22</v>
      </c>
      <c r="G468" s="1">
        <f>YEAR(Table1[[#This Row],[Application_Date]])</f>
        <v>2025</v>
      </c>
      <c r="H468" s="1" t="str">
        <f>TEXT(Table1[[#This Row],[EMI_payment_date]],"mmmm")</f>
        <v>August</v>
      </c>
      <c r="I468" s="3">
        <v>45848</v>
      </c>
      <c r="J468" s="3">
        <f>EDATE(Table1[[#This Row],[Application_Date]],1)</f>
        <v>45879</v>
      </c>
      <c r="K468" s="9">
        <v>4836000</v>
      </c>
      <c r="L468" s="9">
        <f>Table1[[#This Row],[Annual_Income]]/12</f>
        <v>403000</v>
      </c>
      <c r="M468" s="9">
        <v>5036000</v>
      </c>
      <c r="N468" s="5">
        <f ca="1">DATEDIF(Table1[[#This Row],[EMI_payment_date]],TODAY(),"m")</f>
        <v>11</v>
      </c>
      <c r="O468" s="9">
        <f>12*Table1[[#This Row],[monthly_EMI]]</f>
        <v>1450800</v>
      </c>
      <c r="P468" s="1">
        <v>5.91</v>
      </c>
      <c r="Q468" s="9">
        <f>Table1[[#This Row],[monthly_income]]*30%</f>
        <v>120900</v>
      </c>
      <c r="R468" s="1">
        <f>ROUNDUP(NPER(P468/100/12,-Q468,Table1[[#This Row],[Loan_Amount]]),0)</f>
        <v>47</v>
      </c>
      <c r="S468" s="1">
        <v>740</v>
      </c>
      <c r="T468" s="1" t="s">
        <v>20</v>
      </c>
      <c r="U468" s="1" t="str">
        <f>IF(Table1[[#This Row],[Repayment_Status]]="late","bad loan","good loan")</f>
        <v>good loan</v>
      </c>
      <c r="V468" s="1" t="str">
        <f>IF(Table1[[#This Row],[Repayment_Status]]="late","high","low")</f>
        <v>low</v>
      </c>
      <c r="W468" s="1">
        <f>(Table1[[#This Row],[monthly_EMI]]/Table1[[#This Row],[monthly_income]])*100</f>
        <v>30</v>
      </c>
      <c r="X468" s="7">
        <v>25115.919999999998</v>
      </c>
    </row>
    <row r="469" spans="1:24" x14ac:dyDescent="0.25">
      <c r="A469" s="1" t="s">
        <v>105</v>
      </c>
      <c r="B469" s="2" t="s">
        <v>794</v>
      </c>
      <c r="C469" s="5">
        <v>34</v>
      </c>
      <c r="D469" s="1" t="s">
        <v>26</v>
      </c>
      <c r="E469" s="1" t="s">
        <v>36</v>
      </c>
      <c r="F469" s="1" t="s">
        <v>51</v>
      </c>
      <c r="G469" s="1">
        <f>YEAR(Table1[[#This Row],[Application_Date]])</f>
        <v>2025</v>
      </c>
      <c r="H469" s="1" t="str">
        <f>TEXT(Table1[[#This Row],[EMI_payment_date]],"mmmm")</f>
        <v>August</v>
      </c>
      <c r="I469" s="3">
        <v>45849</v>
      </c>
      <c r="J469" s="3">
        <f>EDATE(Table1[[#This Row],[Application_Date]],1)</f>
        <v>45880</v>
      </c>
      <c r="K469" s="9">
        <v>1524000</v>
      </c>
      <c r="L469" s="9">
        <f>Table1[[#This Row],[Annual_Income]]/12</f>
        <v>127000</v>
      </c>
      <c r="M469" s="9">
        <v>1724000</v>
      </c>
      <c r="N469" s="5">
        <f ca="1">DATEDIF(Table1[[#This Row],[EMI_payment_date]],TODAY(),"m")</f>
        <v>11</v>
      </c>
      <c r="O469" s="9">
        <f>12*Table1[[#This Row],[monthly_EMI]]</f>
        <v>457200</v>
      </c>
      <c r="P469" s="1">
        <v>6.97</v>
      </c>
      <c r="Q469" s="9">
        <f>Table1[[#This Row],[monthly_income]]*30%</f>
        <v>38100</v>
      </c>
      <c r="R469" s="1">
        <f>ROUNDUP(NPER(P469/100/12,-Q469,Table1[[#This Row],[Loan_Amount]]),0)</f>
        <v>53</v>
      </c>
      <c r="S469" s="1">
        <v>651</v>
      </c>
      <c r="T469" s="1" t="s">
        <v>20</v>
      </c>
      <c r="U469" s="1" t="str">
        <f>IF(Table1[[#This Row],[Repayment_Status]]="late","bad loan","good loan")</f>
        <v>good loan</v>
      </c>
      <c r="V469" s="1" t="str">
        <f>IF(Table1[[#This Row],[Repayment_Status]]="late","high","low")</f>
        <v>low</v>
      </c>
      <c r="W469" s="1">
        <f>(Table1[[#This Row],[monthly_EMI]]/Table1[[#This Row],[monthly_income]])*100</f>
        <v>30</v>
      </c>
      <c r="X469" s="7">
        <v>23434.51</v>
      </c>
    </row>
    <row r="470" spans="1:24" x14ac:dyDescent="0.25">
      <c r="A470" s="1" t="s">
        <v>519</v>
      </c>
      <c r="B470" s="2" t="s">
        <v>868</v>
      </c>
      <c r="C470" s="5">
        <v>53</v>
      </c>
      <c r="D470" s="1" t="s">
        <v>26</v>
      </c>
      <c r="E470" s="1" t="s">
        <v>16</v>
      </c>
      <c r="F470" s="1" t="s">
        <v>31</v>
      </c>
      <c r="G470" s="1">
        <f>YEAR(Table1[[#This Row],[Application_Date]])</f>
        <v>2025</v>
      </c>
      <c r="H470" s="1" t="str">
        <f>TEXT(Table1[[#This Row],[EMI_payment_date]],"mmmm")</f>
        <v>August</v>
      </c>
      <c r="I470" s="3">
        <v>45850</v>
      </c>
      <c r="J470" s="3">
        <f>EDATE(Table1[[#This Row],[Application_Date]],1)</f>
        <v>45881</v>
      </c>
      <c r="K470" s="9">
        <v>6492000</v>
      </c>
      <c r="L470" s="9">
        <f>Table1[[#This Row],[Annual_Income]]/12</f>
        <v>541000</v>
      </c>
      <c r="M470" s="9">
        <v>6692000</v>
      </c>
      <c r="N470" s="5">
        <f ca="1">DATEDIF(Table1[[#This Row],[EMI_payment_date]],TODAY(),"m")</f>
        <v>11</v>
      </c>
      <c r="O470" s="9">
        <f>12*Table1[[#This Row],[monthly_EMI]]</f>
        <v>1947600</v>
      </c>
      <c r="P470" s="1">
        <v>6.79</v>
      </c>
      <c r="Q470" s="9">
        <f>Table1[[#This Row],[monthly_income]]*30%</f>
        <v>162300</v>
      </c>
      <c r="R470" s="1">
        <f>ROUNDUP(NPER(P470/100/12,-Q470,Table1[[#This Row],[Loan_Amount]]),0)</f>
        <v>48</v>
      </c>
      <c r="S470" s="1">
        <v>766</v>
      </c>
      <c r="T470" s="1" t="s">
        <v>20</v>
      </c>
      <c r="U470" s="1" t="str">
        <f>IF(Table1[[#This Row],[Repayment_Status]]="late","bad loan","good loan")</f>
        <v>good loan</v>
      </c>
      <c r="V470" s="1" t="str">
        <f>IF(Table1[[#This Row],[Repayment_Status]]="late","high","low")</f>
        <v>low</v>
      </c>
      <c r="W470" s="1">
        <f>(Table1[[#This Row],[monthly_EMI]]/Table1[[#This Row],[monthly_income]])*100</f>
        <v>30</v>
      </c>
      <c r="X470" s="7">
        <v>21923.54</v>
      </c>
    </row>
    <row r="471" spans="1:24" x14ac:dyDescent="0.25">
      <c r="A471" s="1" t="s">
        <v>345</v>
      </c>
      <c r="B471" s="2" t="s">
        <v>887</v>
      </c>
      <c r="C471" s="5">
        <v>24</v>
      </c>
      <c r="D471" s="1" t="s">
        <v>15</v>
      </c>
      <c r="E471" s="1" t="s">
        <v>27</v>
      </c>
      <c r="F471" s="1" t="s">
        <v>31</v>
      </c>
      <c r="G471" s="1">
        <f>YEAR(Table1[[#This Row],[Application_Date]])</f>
        <v>2025</v>
      </c>
      <c r="H471" s="1" t="str">
        <f>TEXT(Table1[[#This Row],[EMI_payment_date]],"mmmm")</f>
        <v>August</v>
      </c>
      <c r="I471" s="3">
        <v>45851</v>
      </c>
      <c r="J471" s="3">
        <f>EDATE(Table1[[#This Row],[Application_Date]],1)</f>
        <v>45882</v>
      </c>
      <c r="K471" s="9">
        <v>4404000</v>
      </c>
      <c r="L471" s="9">
        <f>Table1[[#This Row],[Annual_Income]]/12</f>
        <v>367000</v>
      </c>
      <c r="M471" s="9">
        <v>4604000</v>
      </c>
      <c r="N471" s="5">
        <f ca="1">DATEDIF(Table1[[#This Row],[EMI_payment_date]],TODAY(),"m")</f>
        <v>11</v>
      </c>
      <c r="O471" s="9">
        <f>12*Table1[[#This Row],[monthly_EMI]]</f>
        <v>1321200</v>
      </c>
      <c r="P471" s="1">
        <v>6.46</v>
      </c>
      <c r="Q471" s="9">
        <f>Table1[[#This Row],[monthly_income]]*30%</f>
        <v>110100</v>
      </c>
      <c r="R471" s="1">
        <f>ROUNDUP(NPER(P471/100/12,-Q471,Table1[[#This Row],[Loan_Amount]]),0)</f>
        <v>48</v>
      </c>
      <c r="S471" s="1">
        <v>799</v>
      </c>
      <c r="T471" s="1" t="s">
        <v>37</v>
      </c>
      <c r="U471" s="1" t="str">
        <f>IF(Table1[[#This Row],[Repayment_Status]]="late","bad loan","good loan")</f>
        <v>bad loan</v>
      </c>
      <c r="V471" s="1" t="str">
        <f>IF(Table1[[#This Row],[Repayment_Status]]="late","high","low")</f>
        <v>high</v>
      </c>
      <c r="W471" s="1">
        <f>(Table1[[#This Row],[monthly_EMI]]/Table1[[#This Row],[monthly_income]])*100</f>
        <v>30</v>
      </c>
      <c r="X471" s="7">
        <v>24001.19</v>
      </c>
    </row>
    <row r="472" spans="1:24" x14ac:dyDescent="0.25">
      <c r="A472" s="1" t="s">
        <v>621</v>
      </c>
      <c r="B472" s="2" t="s">
        <v>880</v>
      </c>
      <c r="C472" s="5">
        <v>35</v>
      </c>
      <c r="D472" s="1" t="s">
        <v>15</v>
      </c>
      <c r="E472" s="1" t="s">
        <v>24</v>
      </c>
      <c r="F472" s="1" t="s">
        <v>51</v>
      </c>
      <c r="G472" s="1">
        <f>YEAR(Table1[[#This Row],[Application_Date]])</f>
        <v>2025</v>
      </c>
      <c r="H472" s="1" t="str">
        <f>TEXT(Table1[[#This Row],[EMI_payment_date]],"mmmm")</f>
        <v>August</v>
      </c>
      <c r="I472" s="3">
        <v>45852</v>
      </c>
      <c r="J472" s="3">
        <f>EDATE(Table1[[#This Row],[Application_Date]],1)</f>
        <v>45883</v>
      </c>
      <c r="K472" s="9">
        <v>7716000</v>
      </c>
      <c r="L472" s="9">
        <f>Table1[[#This Row],[Annual_Income]]/12</f>
        <v>643000</v>
      </c>
      <c r="M472" s="9">
        <v>7916000</v>
      </c>
      <c r="N472" s="5">
        <f ca="1">DATEDIF(Table1[[#This Row],[EMI_payment_date]],TODAY(),"m")</f>
        <v>11</v>
      </c>
      <c r="O472" s="9">
        <f>12*Table1[[#This Row],[monthly_EMI]]</f>
        <v>2314800</v>
      </c>
      <c r="P472" s="1">
        <v>8.2899999999999991</v>
      </c>
      <c r="Q472" s="9">
        <f>Table1[[#This Row],[monthly_income]]*30%</f>
        <v>192900</v>
      </c>
      <c r="R472" s="1">
        <f>ROUNDUP(NPER(P472/100/12,-Q472,Table1[[#This Row],[Loan_Amount]]),0)</f>
        <v>49</v>
      </c>
      <c r="S472" s="1">
        <v>746</v>
      </c>
      <c r="T472" s="1" t="s">
        <v>37</v>
      </c>
      <c r="U472" s="1" t="str">
        <f>IF(Table1[[#This Row],[Repayment_Status]]="late","bad loan","good loan")</f>
        <v>bad loan</v>
      </c>
      <c r="V472" s="1" t="str">
        <f>IF(Table1[[#This Row],[Repayment_Status]]="late","high","low")</f>
        <v>high</v>
      </c>
      <c r="W472" s="1">
        <f>(Table1[[#This Row],[monthly_EMI]]/Table1[[#This Row],[monthly_income]])*100</f>
        <v>30</v>
      </c>
      <c r="X472" s="7">
        <v>24708.06</v>
      </c>
    </row>
    <row r="473" spans="1:24" x14ac:dyDescent="0.25">
      <c r="A473" s="1" t="s">
        <v>533</v>
      </c>
      <c r="B473" s="2" t="s">
        <v>902</v>
      </c>
      <c r="C473" s="5">
        <v>55</v>
      </c>
      <c r="D473" s="1" t="s">
        <v>26</v>
      </c>
      <c r="E473" s="1" t="s">
        <v>29</v>
      </c>
      <c r="F473" s="1" t="s">
        <v>51</v>
      </c>
      <c r="G473" s="1">
        <f>YEAR(Table1[[#This Row],[Application_Date]])</f>
        <v>2025</v>
      </c>
      <c r="H473" s="1" t="str">
        <f>TEXT(Table1[[#This Row],[EMI_payment_date]],"mmmm")</f>
        <v>August</v>
      </c>
      <c r="I473" s="3">
        <v>45853</v>
      </c>
      <c r="J473" s="3">
        <f>EDATE(Table1[[#This Row],[Application_Date]],1)</f>
        <v>45884</v>
      </c>
      <c r="K473" s="9">
        <v>6660000</v>
      </c>
      <c r="L473" s="9">
        <f>Table1[[#This Row],[Annual_Income]]/12</f>
        <v>555000</v>
      </c>
      <c r="M473" s="9">
        <v>6860000</v>
      </c>
      <c r="N473" s="5">
        <f ca="1">DATEDIF(Table1[[#This Row],[EMI_payment_date]],TODAY(),"m")</f>
        <v>11</v>
      </c>
      <c r="O473" s="9">
        <f>12*Table1[[#This Row],[monthly_EMI]]</f>
        <v>1998000</v>
      </c>
      <c r="P473" s="1">
        <v>7.48</v>
      </c>
      <c r="Q473" s="9">
        <f>Table1[[#This Row],[monthly_income]]*30%</f>
        <v>166500</v>
      </c>
      <c r="R473" s="1">
        <f>ROUNDUP(NPER(P473/100/12,-Q473,Table1[[#This Row],[Loan_Amount]]),0)</f>
        <v>48</v>
      </c>
      <c r="S473" s="1">
        <v>823</v>
      </c>
      <c r="T473" s="1" t="s">
        <v>20</v>
      </c>
      <c r="U473" s="1" t="str">
        <f>IF(Table1[[#This Row],[Repayment_Status]]="late","bad loan","good loan")</f>
        <v>good loan</v>
      </c>
      <c r="V473" s="1" t="str">
        <f>IF(Table1[[#This Row],[Repayment_Status]]="late","high","low")</f>
        <v>low</v>
      </c>
      <c r="W473" s="1">
        <f>(Table1[[#This Row],[monthly_EMI]]/Table1[[#This Row],[monthly_income]])*100</f>
        <v>30</v>
      </c>
      <c r="X473" s="7">
        <v>13214.24</v>
      </c>
    </row>
    <row r="474" spans="1:24" x14ac:dyDescent="0.25">
      <c r="A474" s="1" t="s">
        <v>534</v>
      </c>
      <c r="B474" s="2" t="s">
        <v>818</v>
      </c>
      <c r="C474" s="5">
        <v>38</v>
      </c>
      <c r="D474" s="1" t="s">
        <v>15</v>
      </c>
      <c r="E474" s="1" t="s">
        <v>33</v>
      </c>
      <c r="F474" s="1" t="s">
        <v>19</v>
      </c>
      <c r="G474" s="1">
        <f>YEAR(Table1[[#This Row],[Application_Date]])</f>
        <v>2025</v>
      </c>
      <c r="H474" s="1" t="str">
        <f>TEXT(Table1[[#This Row],[EMI_payment_date]],"mmmm")</f>
        <v>August</v>
      </c>
      <c r="I474" s="3">
        <v>45854</v>
      </c>
      <c r="J474" s="3">
        <f>EDATE(Table1[[#This Row],[Application_Date]],1)</f>
        <v>45885</v>
      </c>
      <c r="K474" s="9">
        <v>6672000</v>
      </c>
      <c r="L474" s="9">
        <f>Table1[[#This Row],[Annual_Income]]/12</f>
        <v>556000</v>
      </c>
      <c r="M474" s="9">
        <v>6872000</v>
      </c>
      <c r="N474" s="5">
        <f ca="1">DATEDIF(Table1[[#This Row],[EMI_payment_date]],TODAY(),"m")</f>
        <v>11</v>
      </c>
      <c r="O474" s="9">
        <f>12*Table1[[#This Row],[monthly_EMI]]</f>
        <v>2001600</v>
      </c>
      <c r="P474" s="1">
        <v>7.2</v>
      </c>
      <c r="Q474" s="9">
        <f>Table1[[#This Row],[monthly_income]]*30%</f>
        <v>166800</v>
      </c>
      <c r="R474" s="1">
        <f>ROUNDUP(NPER(P474/100/12,-Q474,Table1[[#This Row],[Loan_Amount]]),0)</f>
        <v>48</v>
      </c>
      <c r="S474" s="1">
        <v>718</v>
      </c>
      <c r="T474" s="1" t="s">
        <v>37</v>
      </c>
      <c r="U474" s="1" t="str">
        <f>IF(Table1[[#This Row],[Repayment_Status]]="late","bad loan","good loan")</f>
        <v>bad loan</v>
      </c>
      <c r="V474" s="1" t="str">
        <f>IF(Table1[[#This Row],[Repayment_Status]]="late","high","low")</f>
        <v>high</v>
      </c>
      <c r="W474" s="1">
        <f>(Table1[[#This Row],[monthly_EMI]]/Table1[[#This Row],[monthly_income]])*100</f>
        <v>30</v>
      </c>
      <c r="X474" s="7">
        <v>31964.33</v>
      </c>
    </row>
    <row r="475" spans="1:24" x14ac:dyDescent="0.25">
      <c r="A475" s="1" t="s">
        <v>39</v>
      </c>
      <c r="B475" s="2" t="s">
        <v>740</v>
      </c>
      <c r="C475" s="5">
        <v>46</v>
      </c>
      <c r="D475" s="1" t="s">
        <v>26</v>
      </c>
      <c r="E475" s="1" t="s">
        <v>27</v>
      </c>
      <c r="F475" s="1" t="s">
        <v>22</v>
      </c>
      <c r="G475" s="1">
        <f>YEAR(Table1[[#This Row],[Application_Date]])</f>
        <v>2025</v>
      </c>
      <c r="H475" s="1" t="str">
        <f>TEXT(Table1[[#This Row],[EMI_payment_date]],"mmmm")</f>
        <v>August</v>
      </c>
      <c r="I475" s="3">
        <v>45855</v>
      </c>
      <c r="J475" s="3">
        <f>EDATE(Table1[[#This Row],[Application_Date]],1)</f>
        <v>45886</v>
      </c>
      <c r="K475" s="9">
        <v>732000</v>
      </c>
      <c r="L475" s="9">
        <f>Table1[[#This Row],[Annual_Income]]/12</f>
        <v>61000</v>
      </c>
      <c r="M475" s="9">
        <v>932000</v>
      </c>
      <c r="N475" s="5">
        <f ca="1">DATEDIF(Table1[[#This Row],[EMI_payment_date]],TODAY(),"m")</f>
        <v>11</v>
      </c>
      <c r="O475" s="9">
        <f>12*Table1[[#This Row],[monthly_EMI]]</f>
        <v>219600</v>
      </c>
      <c r="P475" s="1">
        <v>5.41</v>
      </c>
      <c r="Q475" s="9">
        <f>Table1[[#This Row],[monthly_income]]*30%</f>
        <v>18300</v>
      </c>
      <c r="R475" s="1">
        <f>ROUNDUP(NPER(P475/100/12,-Q475,Table1[[#This Row],[Loan_Amount]]),0)</f>
        <v>58</v>
      </c>
      <c r="S475" s="1">
        <v>771</v>
      </c>
      <c r="T475" s="1" t="s">
        <v>37</v>
      </c>
      <c r="U475" s="1" t="str">
        <f>IF(Table1[[#This Row],[Repayment_Status]]="late","bad loan","good loan")</f>
        <v>bad loan</v>
      </c>
      <c r="V475" s="1" t="str">
        <f>IF(Table1[[#This Row],[Repayment_Status]]="late","high","low")</f>
        <v>high</v>
      </c>
      <c r="W475" s="1">
        <f>(Table1[[#This Row],[monthly_EMI]]/Table1[[#This Row],[monthly_income]])*100</f>
        <v>30</v>
      </c>
      <c r="X475" s="7">
        <v>7786.87</v>
      </c>
    </row>
    <row r="476" spans="1:24" x14ac:dyDescent="0.25">
      <c r="A476" s="1" t="s">
        <v>596</v>
      </c>
      <c r="B476" s="2" t="s">
        <v>895</v>
      </c>
      <c r="C476" s="5">
        <v>49</v>
      </c>
      <c r="D476" s="1" t="s">
        <v>15</v>
      </c>
      <c r="E476" s="1" t="s">
        <v>29</v>
      </c>
      <c r="F476" s="1" t="s">
        <v>19</v>
      </c>
      <c r="G476" s="1">
        <f>YEAR(Table1[[#This Row],[Application_Date]])</f>
        <v>2025</v>
      </c>
      <c r="H476" s="1" t="str">
        <f>TEXT(Table1[[#This Row],[EMI_payment_date]],"mmmm")</f>
        <v>August</v>
      </c>
      <c r="I476" s="3">
        <v>45856</v>
      </c>
      <c r="J476" s="3">
        <f>EDATE(Table1[[#This Row],[Application_Date]],1)</f>
        <v>45887</v>
      </c>
      <c r="K476" s="9">
        <v>7416000</v>
      </c>
      <c r="L476" s="9">
        <f>Table1[[#This Row],[Annual_Income]]/12</f>
        <v>618000</v>
      </c>
      <c r="M476" s="9">
        <v>7616000</v>
      </c>
      <c r="N476" s="5">
        <f ca="1">DATEDIF(Table1[[#This Row],[EMI_payment_date]],TODAY(),"m")</f>
        <v>11</v>
      </c>
      <c r="O476" s="9">
        <f>12*Table1[[#This Row],[monthly_EMI]]</f>
        <v>2224800</v>
      </c>
      <c r="P476" s="1">
        <v>8.36</v>
      </c>
      <c r="Q476" s="9">
        <f>Table1[[#This Row],[monthly_income]]*30%</f>
        <v>185400</v>
      </c>
      <c r="R476" s="1">
        <f>ROUNDUP(NPER(P476/100/12,-Q476,Table1[[#This Row],[Loan_Amount]]),0)</f>
        <v>49</v>
      </c>
      <c r="S476" s="1">
        <v>743</v>
      </c>
      <c r="T476" s="1" t="s">
        <v>20</v>
      </c>
      <c r="U476" s="1" t="str">
        <f>IF(Table1[[#This Row],[Repayment_Status]]="late","bad loan","good loan")</f>
        <v>good loan</v>
      </c>
      <c r="V476" s="1" t="str">
        <f>IF(Table1[[#This Row],[Repayment_Status]]="late","high","low")</f>
        <v>low</v>
      </c>
      <c r="W476" s="1">
        <f>(Table1[[#This Row],[monthly_EMI]]/Table1[[#This Row],[monthly_income]])*100</f>
        <v>30</v>
      </c>
      <c r="X476" s="7">
        <v>13190.91</v>
      </c>
    </row>
    <row r="477" spans="1:24" x14ac:dyDescent="0.25">
      <c r="A477" s="1" t="s">
        <v>209</v>
      </c>
      <c r="B477" s="2" t="s">
        <v>750</v>
      </c>
      <c r="C477" s="5">
        <v>21</v>
      </c>
      <c r="D477" s="1" t="s">
        <v>26</v>
      </c>
      <c r="E477" s="1" t="s">
        <v>27</v>
      </c>
      <c r="F477" s="1" t="s">
        <v>31</v>
      </c>
      <c r="G477" s="1">
        <f>YEAR(Table1[[#This Row],[Application_Date]])</f>
        <v>2025</v>
      </c>
      <c r="H477" s="1" t="str">
        <f>TEXT(Table1[[#This Row],[EMI_payment_date]],"mmmm")</f>
        <v>August</v>
      </c>
      <c r="I477" s="3">
        <v>45857</v>
      </c>
      <c r="J477" s="3">
        <f>EDATE(Table1[[#This Row],[Application_Date]],1)</f>
        <v>45888</v>
      </c>
      <c r="K477" s="9">
        <v>2772000</v>
      </c>
      <c r="L477" s="9">
        <f>Table1[[#This Row],[Annual_Income]]/12</f>
        <v>231000</v>
      </c>
      <c r="M477" s="9">
        <v>2972000</v>
      </c>
      <c r="N477" s="5">
        <f ca="1">DATEDIF(Table1[[#This Row],[EMI_payment_date]],TODAY(),"m")</f>
        <v>11</v>
      </c>
      <c r="O477" s="9">
        <f>12*Table1[[#This Row],[monthly_EMI]]</f>
        <v>831600</v>
      </c>
      <c r="P477" s="1">
        <v>6.63</v>
      </c>
      <c r="Q477" s="9">
        <f>Table1[[#This Row],[monthly_income]]*30%</f>
        <v>69300</v>
      </c>
      <c r="R477" s="1">
        <f>ROUNDUP(NPER(P477/100/12,-Q477,Table1[[#This Row],[Loan_Amount]]),0)</f>
        <v>50</v>
      </c>
      <c r="S477" s="1">
        <v>652</v>
      </c>
      <c r="T477" s="1" t="s">
        <v>20</v>
      </c>
      <c r="U477" s="1" t="str">
        <f>IF(Table1[[#This Row],[Repayment_Status]]="late","bad loan","good loan")</f>
        <v>good loan</v>
      </c>
      <c r="V477" s="1" t="str">
        <f>IF(Table1[[#This Row],[Repayment_Status]]="late","high","low")</f>
        <v>low</v>
      </c>
      <c r="W477" s="1">
        <f>(Table1[[#This Row],[monthly_EMI]]/Table1[[#This Row],[monthly_income]])*100</f>
        <v>30</v>
      </c>
      <c r="X477" s="7">
        <v>5928.51</v>
      </c>
    </row>
    <row r="478" spans="1:24" x14ac:dyDescent="0.25">
      <c r="A478" s="1" t="s">
        <v>504</v>
      </c>
      <c r="B478" s="2" t="s">
        <v>911</v>
      </c>
      <c r="C478" s="5">
        <v>55</v>
      </c>
      <c r="D478" s="1" t="s">
        <v>26</v>
      </c>
      <c r="E478" s="1" t="s">
        <v>36</v>
      </c>
      <c r="F478" s="1" t="s">
        <v>51</v>
      </c>
      <c r="G478" s="1">
        <f>YEAR(Table1[[#This Row],[Application_Date]])</f>
        <v>2025</v>
      </c>
      <c r="H478" s="1" t="str">
        <f>TEXT(Table1[[#This Row],[EMI_payment_date]],"mmmm")</f>
        <v>August</v>
      </c>
      <c r="I478" s="3">
        <v>45858</v>
      </c>
      <c r="J478" s="3">
        <f>EDATE(Table1[[#This Row],[Application_Date]],1)</f>
        <v>45889</v>
      </c>
      <c r="K478" s="9">
        <v>6312000</v>
      </c>
      <c r="L478" s="9">
        <f>Table1[[#This Row],[Annual_Income]]/12</f>
        <v>526000</v>
      </c>
      <c r="M478" s="9">
        <v>6512000</v>
      </c>
      <c r="N478" s="5">
        <f ca="1">DATEDIF(Table1[[#This Row],[EMI_payment_date]],TODAY(),"m")</f>
        <v>11</v>
      </c>
      <c r="O478" s="9">
        <f>12*Table1[[#This Row],[monthly_EMI]]</f>
        <v>1893600</v>
      </c>
      <c r="P478" s="1">
        <v>8.81</v>
      </c>
      <c r="Q478" s="9">
        <f>Table1[[#This Row],[monthly_income]]*30%</f>
        <v>157800</v>
      </c>
      <c r="R478" s="1">
        <f>ROUNDUP(NPER(P478/100/12,-Q478,Table1[[#This Row],[Loan_Amount]]),0)</f>
        <v>50</v>
      </c>
      <c r="S478" s="1">
        <v>693</v>
      </c>
      <c r="T478" s="1" t="s">
        <v>20</v>
      </c>
      <c r="U478" s="1" t="str">
        <f>IF(Table1[[#This Row],[Repayment_Status]]="late","bad loan","good loan")</f>
        <v>good loan</v>
      </c>
      <c r="V478" s="1" t="str">
        <f>IF(Table1[[#This Row],[Repayment_Status]]="late","high","low")</f>
        <v>low</v>
      </c>
      <c r="W478" s="1">
        <f>(Table1[[#This Row],[monthly_EMI]]/Table1[[#This Row],[monthly_income]])*100</f>
        <v>30</v>
      </c>
      <c r="X478" s="7">
        <v>16250.84</v>
      </c>
    </row>
    <row r="479" spans="1:24" x14ac:dyDescent="0.25">
      <c r="A479" s="1" t="s">
        <v>513</v>
      </c>
      <c r="B479" s="2" t="s">
        <v>756</v>
      </c>
      <c r="C479" s="5">
        <v>33</v>
      </c>
      <c r="D479" s="1" t="s">
        <v>15</v>
      </c>
      <c r="E479" s="1" t="s">
        <v>16</v>
      </c>
      <c r="F479" s="1" t="s">
        <v>17</v>
      </c>
      <c r="G479" s="1">
        <f>YEAR(Table1[[#This Row],[Application_Date]])</f>
        <v>2025</v>
      </c>
      <c r="H479" s="1" t="str">
        <f>TEXT(Table1[[#This Row],[EMI_payment_date]],"mmmm")</f>
        <v>August</v>
      </c>
      <c r="I479" s="3">
        <v>45859</v>
      </c>
      <c r="J479" s="3">
        <f>EDATE(Table1[[#This Row],[Application_Date]],1)</f>
        <v>45890</v>
      </c>
      <c r="K479" s="9">
        <v>6420000</v>
      </c>
      <c r="L479" s="9">
        <f>Table1[[#This Row],[Annual_Income]]/12</f>
        <v>535000</v>
      </c>
      <c r="M479" s="9">
        <v>6620000</v>
      </c>
      <c r="N479" s="5">
        <f ca="1">DATEDIF(Table1[[#This Row],[EMI_payment_date]],TODAY(),"m")</f>
        <v>11</v>
      </c>
      <c r="O479" s="9">
        <f>12*Table1[[#This Row],[monthly_EMI]]</f>
        <v>1926000</v>
      </c>
      <c r="P479" s="1">
        <v>7.86</v>
      </c>
      <c r="Q479" s="9">
        <f>Table1[[#This Row],[monthly_income]]*30%</f>
        <v>160500</v>
      </c>
      <c r="R479" s="1">
        <f>ROUNDUP(NPER(P479/100/12,-Q479,Table1[[#This Row],[Loan_Amount]]),0)</f>
        <v>49</v>
      </c>
      <c r="S479" s="1">
        <v>741</v>
      </c>
      <c r="T479" s="1" t="s">
        <v>37</v>
      </c>
      <c r="U479" s="1" t="str">
        <f>IF(Table1[[#This Row],[Repayment_Status]]="late","bad loan","good loan")</f>
        <v>bad loan</v>
      </c>
      <c r="V479" s="1" t="str">
        <f>IF(Table1[[#This Row],[Repayment_Status]]="late","high","low")</f>
        <v>high</v>
      </c>
      <c r="W479" s="1">
        <f>(Table1[[#This Row],[monthly_EMI]]/Table1[[#This Row],[monthly_income]])*100</f>
        <v>30</v>
      </c>
      <c r="X479" s="7">
        <v>11938.96</v>
      </c>
    </row>
    <row r="480" spans="1:24" x14ac:dyDescent="0.25">
      <c r="A480" s="1" t="s">
        <v>399</v>
      </c>
      <c r="B480" s="2" t="s">
        <v>889</v>
      </c>
      <c r="C480" s="5">
        <v>55</v>
      </c>
      <c r="D480" s="1" t="s">
        <v>26</v>
      </c>
      <c r="E480" s="1" t="s">
        <v>24</v>
      </c>
      <c r="F480" s="1" t="s">
        <v>31</v>
      </c>
      <c r="G480" s="1">
        <f>YEAR(Table1[[#This Row],[Application_Date]])</f>
        <v>2025</v>
      </c>
      <c r="H480" s="1" t="str">
        <f>TEXT(Table1[[#This Row],[EMI_payment_date]],"mmmm")</f>
        <v>August</v>
      </c>
      <c r="I480" s="3">
        <v>45860</v>
      </c>
      <c r="J480" s="3">
        <f>EDATE(Table1[[#This Row],[Application_Date]],1)</f>
        <v>45891</v>
      </c>
      <c r="K480" s="9">
        <v>5052000</v>
      </c>
      <c r="L480" s="9">
        <f>Table1[[#This Row],[Annual_Income]]/12</f>
        <v>421000</v>
      </c>
      <c r="M480" s="9">
        <v>5252000</v>
      </c>
      <c r="N480" s="5">
        <f ca="1">DATEDIF(Table1[[#This Row],[EMI_payment_date]],TODAY(),"m")</f>
        <v>11</v>
      </c>
      <c r="O480" s="9">
        <f>12*Table1[[#This Row],[monthly_EMI]]</f>
        <v>1515600</v>
      </c>
      <c r="P480" s="1">
        <v>8.2200000000000006</v>
      </c>
      <c r="Q480" s="9">
        <f>Table1[[#This Row],[monthly_income]]*30%</f>
        <v>126300</v>
      </c>
      <c r="R480" s="1">
        <f>ROUNDUP(NPER(P480/100/12,-Q480,Table1[[#This Row],[Loan_Amount]]),0)</f>
        <v>50</v>
      </c>
      <c r="S480" s="1">
        <v>731</v>
      </c>
      <c r="T480" s="1" t="s">
        <v>20</v>
      </c>
      <c r="U480" s="1" t="str">
        <f>IF(Table1[[#This Row],[Repayment_Status]]="late","bad loan","good loan")</f>
        <v>good loan</v>
      </c>
      <c r="V480" s="1" t="str">
        <f>IF(Table1[[#This Row],[Repayment_Status]]="late","high","low")</f>
        <v>low</v>
      </c>
      <c r="W480" s="1">
        <f>(Table1[[#This Row],[monthly_EMI]]/Table1[[#This Row],[monthly_income]])*100</f>
        <v>30</v>
      </c>
      <c r="X480" s="7">
        <v>13910.9</v>
      </c>
    </row>
    <row r="481" spans="1:24" x14ac:dyDescent="0.25">
      <c r="A481" s="1" t="s">
        <v>148</v>
      </c>
      <c r="B481" s="2" t="s">
        <v>787</v>
      </c>
      <c r="C481" s="5">
        <v>31</v>
      </c>
      <c r="D481" s="1" t="s">
        <v>26</v>
      </c>
      <c r="E481" s="1" t="s">
        <v>16</v>
      </c>
      <c r="F481" s="1" t="s">
        <v>22</v>
      </c>
      <c r="G481" s="1">
        <f>YEAR(Table1[[#This Row],[Application_Date]])</f>
        <v>2025</v>
      </c>
      <c r="H481" s="1" t="str">
        <f>TEXT(Table1[[#This Row],[EMI_payment_date]],"mmmm")</f>
        <v>August</v>
      </c>
      <c r="I481" s="3">
        <v>45861</v>
      </c>
      <c r="J481" s="3">
        <f>EDATE(Table1[[#This Row],[Application_Date]],1)</f>
        <v>45892</v>
      </c>
      <c r="K481" s="9">
        <v>2040000</v>
      </c>
      <c r="L481" s="9">
        <f>Table1[[#This Row],[Annual_Income]]/12</f>
        <v>170000</v>
      </c>
      <c r="M481" s="9">
        <v>2240000</v>
      </c>
      <c r="N481" s="5">
        <f ca="1">DATEDIF(Table1[[#This Row],[EMI_payment_date]],TODAY(),"m")</f>
        <v>11</v>
      </c>
      <c r="O481" s="9">
        <f>12*Table1[[#This Row],[monthly_EMI]]</f>
        <v>612000</v>
      </c>
      <c r="P481" s="1">
        <v>8.2100000000000009</v>
      </c>
      <c r="Q481" s="9">
        <f>Table1[[#This Row],[monthly_income]]*30%</f>
        <v>51000</v>
      </c>
      <c r="R481" s="1">
        <f>ROUNDUP(NPER(P481/100/12,-Q481,Table1[[#This Row],[Loan_Amount]]),0)</f>
        <v>53</v>
      </c>
      <c r="S481" s="1">
        <v>703</v>
      </c>
      <c r="T481" s="1" t="s">
        <v>37</v>
      </c>
      <c r="U481" s="1" t="str">
        <f>IF(Table1[[#This Row],[Repayment_Status]]="late","bad loan","good loan")</f>
        <v>bad loan</v>
      </c>
      <c r="V481" s="1" t="str">
        <f>IF(Table1[[#This Row],[Repayment_Status]]="late","high","low")</f>
        <v>high</v>
      </c>
      <c r="W481" s="1">
        <f>(Table1[[#This Row],[monthly_EMI]]/Table1[[#This Row],[monthly_income]])*100</f>
        <v>30</v>
      </c>
      <c r="X481" s="7">
        <v>13452.68</v>
      </c>
    </row>
    <row r="482" spans="1:24" x14ac:dyDescent="0.25">
      <c r="A482" s="1" t="s">
        <v>680</v>
      </c>
      <c r="B482" s="2" t="s">
        <v>742</v>
      </c>
      <c r="C482" s="5">
        <v>25</v>
      </c>
      <c r="D482" s="1" t="s">
        <v>15</v>
      </c>
      <c r="E482" s="1" t="s">
        <v>33</v>
      </c>
      <c r="F482" s="1" t="s">
        <v>22</v>
      </c>
      <c r="G482" s="1">
        <f>YEAR(Table1[[#This Row],[Application_Date]])</f>
        <v>2025</v>
      </c>
      <c r="H482" s="1" t="str">
        <f>TEXT(Table1[[#This Row],[EMI_payment_date]],"mmmm")</f>
        <v>August</v>
      </c>
      <c r="I482" s="3">
        <v>45862</v>
      </c>
      <c r="J482" s="3">
        <f>EDATE(Table1[[#This Row],[Application_Date]],1)</f>
        <v>45893</v>
      </c>
      <c r="K482" s="9">
        <v>8424000</v>
      </c>
      <c r="L482" s="9">
        <f>Table1[[#This Row],[Annual_Income]]/12</f>
        <v>702000</v>
      </c>
      <c r="M482" s="9">
        <v>8624000</v>
      </c>
      <c r="N482" s="5">
        <f ca="1">DATEDIF(Table1[[#This Row],[EMI_payment_date]],TODAY(),"m")</f>
        <v>11</v>
      </c>
      <c r="O482" s="9">
        <f>12*Table1[[#This Row],[monthly_EMI]]</f>
        <v>2527200</v>
      </c>
      <c r="P482" s="1">
        <v>8.3800000000000008</v>
      </c>
      <c r="Q482" s="9">
        <f>Table1[[#This Row],[monthly_income]]*30%</f>
        <v>210600</v>
      </c>
      <c r="R482" s="1">
        <f>ROUNDUP(NPER(P482/100/12,-Q482,Table1[[#This Row],[Loan_Amount]]),0)</f>
        <v>49</v>
      </c>
      <c r="S482" s="1">
        <v>674</v>
      </c>
      <c r="T482" s="1" t="s">
        <v>37</v>
      </c>
      <c r="U482" s="1" t="str">
        <f>IF(Table1[[#This Row],[Repayment_Status]]="late","bad loan","good loan")</f>
        <v>bad loan</v>
      </c>
      <c r="V482" s="1" t="str">
        <f>IF(Table1[[#This Row],[Repayment_Status]]="late","high","low")</f>
        <v>high</v>
      </c>
      <c r="W482" s="1">
        <f>(Table1[[#This Row],[monthly_EMI]]/Table1[[#This Row],[monthly_income]])*100</f>
        <v>30</v>
      </c>
      <c r="X482" s="7">
        <v>21812.1</v>
      </c>
    </row>
    <row r="483" spans="1:24" x14ac:dyDescent="0.25">
      <c r="A483" s="1" t="s">
        <v>274</v>
      </c>
      <c r="B483" s="2" t="s">
        <v>797</v>
      </c>
      <c r="C483" s="5">
        <v>43</v>
      </c>
      <c r="D483" s="1" t="s">
        <v>26</v>
      </c>
      <c r="E483" s="1" t="s">
        <v>33</v>
      </c>
      <c r="F483" s="1" t="s">
        <v>31</v>
      </c>
      <c r="G483" s="1">
        <f>YEAR(Table1[[#This Row],[Application_Date]])</f>
        <v>2025</v>
      </c>
      <c r="H483" s="1" t="str">
        <f>TEXT(Table1[[#This Row],[EMI_payment_date]],"mmmm")</f>
        <v>August</v>
      </c>
      <c r="I483" s="3">
        <v>45863</v>
      </c>
      <c r="J483" s="3">
        <f>EDATE(Table1[[#This Row],[Application_Date]],1)</f>
        <v>45894</v>
      </c>
      <c r="K483" s="9">
        <v>3552000</v>
      </c>
      <c r="L483" s="9">
        <f>Table1[[#This Row],[Annual_Income]]/12</f>
        <v>296000</v>
      </c>
      <c r="M483" s="9">
        <v>3752000</v>
      </c>
      <c r="N483" s="5">
        <f ca="1">DATEDIF(Table1[[#This Row],[EMI_payment_date]],TODAY(),"m")</f>
        <v>11</v>
      </c>
      <c r="O483" s="9">
        <f>12*Table1[[#This Row],[monthly_EMI]]</f>
        <v>1065600</v>
      </c>
      <c r="P483" s="1">
        <v>5.78</v>
      </c>
      <c r="Q483" s="9">
        <f>Table1[[#This Row],[monthly_income]]*30%</f>
        <v>88800</v>
      </c>
      <c r="R483" s="1">
        <f>ROUNDUP(NPER(P483/100/12,-Q483,Table1[[#This Row],[Loan_Amount]]),0)</f>
        <v>48</v>
      </c>
      <c r="S483" s="1">
        <v>631</v>
      </c>
      <c r="T483" s="1" t="s">
        <v>37</v>
      </c>
      <c r="U483" s="1" t="str">
        <f>IF(Table1[[#This Row],[Repayment_Status]]="late","bad loan","good loan")</f>
        <v>bad loan</v>
      </c>
      <c r="V483" s="1" t="str">
        <f>IF(Table1[[#This Row],[Repayment_Status]]="late","high","low")</f>
        <v>high</v>
      </c>
      <c r="W483" s="1">
        <f>(Table1[[#This Row],[monthly_EMI]]/Table1[[#This Row],[monthly_income]])*100</f>
        <v>30</v>
      </c>
      <c r="X483" s="7">
        <v>7088.65</v>
      </c>
    </row>
    <row r="484" spans="1:24" x14ac:dyDescent="0.25">
      <c r="A484" s="1" t="s">
        <v>497</v>
      </c>
      <c r="B484" s="2" t="s">
        <v>839</v>
      </c>
      <c r="C484" s="5">
        <v>54</v>
      </c>
      <c r="D484" s="1" t="s">
        <v>26</v>
      </c>
      <c r="E484" s="1" t="s">
        <v>29</v>
      </c>
      <c r="F484" s="1" t="s">
        <v>22</v>
      </c>
      <c r="G484" s="1">
        <f>YEAR(Table1[[#This Row],[Application_Date]])</f>
        <v>2025</v>
      </c>
      <c r="H484" s="1" t="str">
        <f>TEXT(Table1[[#This Row],[EMI_payment_date]],"mmmm")</f>
        <v>August</v>
      </c>
      <c r="I484" s="3">
        <v>45864</v>
      </c>
      <c r="J484" s="3">
        <f>EDATE(Table1[[#This Row],[Application_Date]],1)</f>
        <v>45895</v>
      </c>
      <c r="K484" s="9">
        <v>6228000</v>
      </c>
      <c r="L484" s="9">
        <f>Table1[[#This Row],[Annual_Income]]/12</f>
        <v>519000</v>
      </c>
      <c r="M484" s="9">
        <v>6428000</v>
      </c>
      <c r="N484" s="5">
        <f ca="1">DATEDIF(Table1[[#This Row],[EMI_payment_date]],TODAY(),"m")</f>
        <v>11</v>
      </c>
      <c r="O484" s="9">
        <f>12*Table1[[#This Row],[monthly_EMI]]</f>
        <v>1868400</v>
      </c>
      <c r="P484" s="1">
        <v>6.81</v>
      </c>
      <c r="Q484" s="9">
        <f>Table1[[#This Row],[monthly_income]]*30%</f>
        <v>155700</v>
      </c>
      <c r="R484" s="1">
        <f>ROUNDUP(NPER(P484/100/12,-Q484,Table1[[#This Row],[Loan_Amount]]),0)</f>
        <v>48</v>
      </c>
      <c r="S484" s="1">
        <v>823</v>
      </c>
      <c r="T484" s="1" t="s">
        <v>20</v>
      </c>
      <c r="U484" s="1" t="str">
        <f>IF(Table1[[#This Row],[Repayment_Status]]="late","bad loan","good loan")</f>
        <v>good loan</v>
      </c>
      <c r="V484" s="1" t="str">
        <f>IF(Table1[[#This Row],[Repayment_Status]]="late","high","low")</f>
        <v>low</v>
      </c>
      <c r="W484" s="1">
        <f>(Table1[[#This Row],[monthly_EMI]]/Table1[[#This Row],[monthly_income]])*100</f>
        <v>30</v>
      </c>
      <c r="X484" s="7">
        <v>22521.01</v>
      </c>
    </row>
    <row r="485" spans="1:24" x14ac:dyDescent="0.25">
      <c r="A485" s="1" t="s">
        <v>115</v>
      </c>
      <c r="B485" s="2" t="s">
        <v>801</v>
      </c>
      <c r="C485" s="5">
        <v>54</v>
      </c>
      <c r="D485" s="1" t="s">
        <v>15</v>
      </c>
      <c r="E485" s="1" t="s">
        <v>36</v>
      </c>
      <c r="F485" s="1" t="s">
        <v>17</v>
      </c>
      <c r="G485" s="1">
        <f>YEAR(Table1[[#This Row],[Application_Date]])</f>
        <v>2025</v>
      </c>
      <c r="H485" s="1" t="str">
        <f>TEXT(Table1[[#This Row],[EMI_payment_date]],"mmmm")</f>
        <v>August</v>
      </c>
      <c r="I485" s="3">
        <v>45865</v>
      </c>
      <c r="J485" s="3">
        <f>EDATE(Table1[[#This Row],[Application_Date]],1)</f>
        <v>45896</v>
      </c>
      <c r="K485" s="9">
        <v>1644000</v>
      </c>
      <c r="L485" s="9">
        <f>Table1[[#This Row],[Annual_Income]]/12</f>
        <v>137000</v>
      </c>
      <c r="M485" s="9">
        <v>1844000</v>
      </c>
      <c r="N485" s="5">
        <f ca="1">DATEDIF(Table1[[#This Row],[EMI_payment_date]],TODAY(),"m")</f>
        <v>11</v>
      </c>
      <c r="O485" s="9">
        <f>12*Table1[[#This Row],[monthly_EMI]]</f>
        <v>493200</v>
      </c>
      <c r="P485" s="1">
        <v>6.37</v>
      </c>
      <c r="Q485" s="9">
        <f>Table1[[#This Row],[monthly_income]]*30%</f>
        <v>41100</v>
      </c>
      <c r="R485" s="1">
        <f>ROUNDUP(NPER(P485/100/12,-Q485,Table1[[#This Row],[Loan_Amount]]),0)</f>
        <v>52</v>
      </c>
      <c r="S485" s="1">
        <v>608</v>
      </c>
      <c r="T485" s="1" t="s">
        <v>20</v>
      </c>
      <c r="U485" s="1" t="str">
        <f>IF(Table1[[#This Row],[Repayment_Status]]="late","bad loan","good loan")</f>
        <v>good loan</v>
      </c>
      <c r="V485" s="1" t="str">
        <f>IF(Table1[[#This Row],[Repayment_Status]]="late","high","low")</f>
        <v>low</v>
      </c>
      <c r="W485" s="1">
        <f>(Table1[[#This Row],[monthly_EMI]]/Table1[[#This Row],[monthly_income]])*100</f>
        <v>30</v>
      </c>
      <c r="X485" s="7">
        <v>21051.74</v>
      </c>
    </row>
    <row r="486" spans="1:24" x14ac:dyDescent="0.25">
      <c r="A486" s="1" t="s">
        <v>521</v>
      </c>
      <c r="B486" s="2" t="s">
        <v>901</v>
      </c>
      <c r="C486" s="5">
        <v>55</v>
      </c>
      <c r="D486" s="1" t="s">
        <v>15</v>
      </c>
      <c r="E486" s="1" t="s">
        <v>36</v>
      </c>
      <c r="F486" s="1" t="s">
        <v>17</v>
      </c>
      <c r="G486" s="1">
        <f>YEAR(Table1[[#This Row],[Application_Date]])</f>
        <v>2025</v>
      </c>
      <c r="H486" s="1" t="str">
        <f>TEXT(Table1[[#This Row],[EMI_payment_date]],"mmmm")</f>
        <v>August</v>
      </c>
      <c r="I486" s="3">
        <v>45866</v>
      </c>
      <c r="J486" s="3">
        <f>EDATE(Table1[[#This Row],[Application_Date]],1)</f>
        <v>45897</v>
      </c>
      <c r="K486" s="9">
        <v>6516000</v>
      </c>
      <c r="L486" s="9">
        <f>Table1[[#This Row],[Annual_Income]]/12</f>
        <v>543000</v>
      </c>
      <c r="M486" s="9">
        <v>6716000</v>
      </c>
      <c r="N486" s="5">
        <f ca="1">DATEDIF(Table1[[#This Row],[EMI_payment_date]],TODAY(),"m")</f>
        <v>11</v>
      </c>
      <c r="O486" s="9">
        <f>12*Table1[[#This Row],[monthly_EMI]]</f>
        <v>1954800</v>
      </c>
      <c r="P486" s="1">
        <v>6.22</v>
      </c>
      <c r="Q486" s="9">
        <f>Table1[[#This Row],[monthly_income]]*30%</f>
        <v>162900</v>
      </c>
      <c r="R486" s="1">
        <f>ROUNDUP(NPER(P486/100/12,-Q486,Table1[[#This Row],[Loan_Amount]]),0)</f>
        <v>47</v>
      </c>
      <c r="S486" s="1">
        <v>716</v>
      </c>
      <c r="T486" s="1" t="s">
        <v>20</v>
      </c>
      <c r="U486" s="1" t="str">
        <f>IF(Table1[[#This Row],[Repayment_Status]]="late","bad loan","good loan")</f>
        <v>good loan</v>
      </c>
      <c r="V486" s="1" t="str">
        <f>IF(Table1[[#This Row],[Repayment_Status]]="late","high","low")</f>
        <v>low</v>
      </c>
      <c r="W486" s="1">
        <f>(Table1[[#This Row],[monthly_EMI]]/Table1[[#This Row],[monthly_income]])*100</f>
        <v>30</v>
      </c>
      <c r="X486" s="7">
        <v>26620.74</v>
      </c>
    </row>
    <row r="487" spans="1:24" x14ac:dyDescent="0.25">
      <c r="A487" s="1" t="s">
        <v>309</v>
      </c>
      <c r="B487" s="2" t="s">
        <v>863</v>
      </c>
      <c r="C487" s="5">
        <v>39</v>
      </c>
      <c r="D487" s="1" t="s">
        <v>15</v>
      </c>
      <c r="E487" s="1" t="s">
        <v>29</v>
      </c>
      <c r="F487" s="1" t="s">
        <v>51</v>
      </c>
      <c r="G487" s="1">
        <f>YEAR(Table1[[#This Row],[Application_Date]])</f>
        <v>2025</v>
      </c>
      <c r="H487" s="1" t="str">
        <f>TEXT(Table1[[#This Row],[EMI_payment_date]],"mmmm")</f>
        <v>August</v>
      </c>
      <c r="I487" s="3">
        <v>45867</v>
      </c>
      <c r="J487" s="3">
        <f>EDATE(Table1[[#This Row],[Application_Date]],1)</f>
        <v>45898</v>
      </c>
      <c r="K487" s="9">
        <v>3972000</v>
      </c>
      <c r="L487" s="9">
        <f>Table1[[#This Row],[Annual_Income]]/12</f>
        <v>331000</v>
      </c>
      <c r="M487" s="9">
        <v>4172000</v>
      </c>
      <c r="N487" s="5">
        <f ca="1">DATEDIF(Table1[[#This Row],[EMI_payment_date]],TODAY(),"m")</f>
        <v>11</v>
      </c>
      <c r="O487" s="9">
        <f>12*Table1[[#This Row],[monthly_EMI]]</f>
        <v>1191600</v>
      </c>
      <c r="P487" s="1">
        <v>6.36</v>
      </c>
      <c r="Q487" s="9">
        <f>Table1[[#This Row],[monthly_income]]*30%</f>
        <v>99300</v>
      </c>
      <c r="R487" s="1">
        <f>ROUNDUP(NPER(P487/100/12,-Q487,Table1[[#This Row],[Loan_Amount]]),0)</f>
        <v>48</v>
      </c>
      <c r="S487" s="1">
        <v>830</v>
      </c>
      <c r="T487" s="1" t="s">
        <v>37</v>
      </c>
      <c r="U487" s="1" t="str">
        <f>IF(Table1[[#This Row],[Repayment_Status]]="late","bad loan","good loan")</f>
        <v>bad loan</v>
      </c>
      <c r="V487" s="1" t="str">
        <f>IF(Table1[[#This Row],[Repayment_Status]]="late","high","low")</f>
        <v>high</v>
      </c>
      <c r="W487" s="1">
        <f>(Table1[[#This Row],[monthly_EMI]]/Table1[[#This Row],[monthly_income]])*100</f>
        <v>30</v>
      </c>
      <c r="X487" s="7">
        <v>12455.37</v>
      </c>
    </row>
    <row r="488" spans="1:24" x14ac:dyDescent="0.25">
      <c r="A488" s="1" t="s">
        <v>627</v>
      </c>
      <c r="B488" s="2" t="s">
        <v>756</v>
      </c>
      <c r="C488" s="5">
        <v>25</v>
      </c>
      <c r="D488" s="1" t="s">
        <v>15</v>
      </c>
      <c r="E488" s="1" t="s">
        <v>24</v>
      </c>
      <c r="F488" s="1" t="s">
        <v>19</v>
      </c>
      <c r="G488" s="1">
        <f>YEAR(Table1[[#This Row],[Application_Date]])</f>
        <v>2025</v>
      </c>
      <c r="H488" s="1" t="str">
        <f>TEXT(Table1[[#This Row],[EMI_payment_date]],"mmmm")</f>
        <v>August</v>
      </c>
      <c r="I488" s="3">
        <v>45868</v>
      </c>
      <c r="J488" s="3">
        <f>EDATE(Table1[[#This Row],[Application_Date]],1)</f>
        <v>45899</v>
      </c>
      <c r="K488" s="9">
        <v>7788000</v>
      </c>
      <c r="L488" s="9">
        <f>Table1[[#This Row],[Annual_Income]]/12</f>
        <v>649000</v>
      </c>
      <c r="M488" s="9">
        <v>7988000</v>
      </c>
      <c r="N488" s="5">
        <f ca="1">DATEDIF(Table1[[#This Row],[EMI_payment_date]],TODAY(),"m")</f>
        <v>11</v>
      </c>
      <c r="O488" s="9">
        <f>12*Table1[[#This Row],[monthly_EMI]]</f>
        <v>2336400</v>
      </c>
      <c r="P488" s="1">
        <v>8.27</v>
      </c>
      <c r="Q488" s="9">
        <f>Table1[[#This Row],[monthly_income]]*30%</f>
        <v>194700</v>
      </c>
      <c r="R488" s="1">
        <f>ROUNDUP(NPER(P488/100/12,-Q488,Table1[[#This Row],[Loan_Amount]]),0)</f>
        <v>49</v>
      </c>
      <c r="S488" s="1">
        <v>718</v>
      </c>
      <c r="T488" s="1" t="s">
        <v>20</v>
      </c>
      <c r="U488" s="1" t="str">
        <f>IF(Table1[[#This Row],[Repayment_Status]]="late","bad loan","good loan")</f>
        <v>good loan</v>
      </c>
      <c r="V488" s="1" t="str">
        <f>IF(Table1[[#This Row],[Repayment_Status]]="late","high","low")</f>
        <v>low</v>
      </c>
      <c r="W488" s="1">
        <f>(Table1[[#This Row],[monthly_EMI]]/Table1[[#This Row],[monthly_income]])*100</f>
        <v>30</v>
      </c>
      <c r="X488" s="7">
        <v>24041.72</v>
      </c>
    </row>
    <row r="489" spans="1:24" x14ac:dyDescent="0.25">
      <c r="A489" s="1" t="s">
        <v>72</v>
      </c>
      <c r="B489" s="2" t="s">
        <v>771</v>
      </c>
      <c r="C489" s="5">
        <v>33</v>
      </c>
      <c r="D489" s="1" t="s">
        <v>26</v>
      </c>
      <c r="E489" s="1" t="s">
        <v>36</v>
      </c>
      <c r="F489" s="1" t="s">
        <v>31</v>
      </c>
      <c r="G489" s="1">
        <f>YEAR(Table1[[#This Row],[Application_Date]])</f>
        <v>2025</v>
      </c>
      <c r="H489" s="1" t="str">
        <f>TEXT(Table1[[#This Row],[EMI_payment_date]],"mmmm")</f>
        <v>August</v>
      </c>
      <c r="I489" s="3">
        <v>45869</v>
      </c>
      <c r="J489" s="3">
        <f>EDATE(Table1[[#This Row],[Application_Date]],1)</f>
        <v>45900</v>
      </c>
      <c r="K489" s="9">
        <v>1116000</v>
      </c>
      <c r="L489" s="9">
        <f>Table1[[#This Row],[Annual_Income]]/12</f>
        <v>93000</v>
      </c>
      <c r="M489" s="9">
        <v>1316000</v>
      </c>
      <c r="N489" s="5">
        <f ca="1">DATEDIF(Table1[[#This Row],[EMI_payment_date]],TODAY(),"m")</f>
        <v>10</v>
      </c>
      <c r="O489" s="9">
        <f>12*Table1[[#This Row],[monthly_EMI]]</f>
        <v>334800</v>
      </c>
      <c r="P489" s="1">
        <v>6.15</v>
      </c>
      <c r="Q489" s="9">
        <f>Table1[[#This Row],[monthly_income]]*30%</f>
        <v>27900</v>
      </c>
      <c r="R489" s="1">
        <f>ROUNDUP(NPER(P489/100/12,-Q489,Table1[[#This Row],[Loan_Amount]]),0)</f>
        <v>55</v>
      </c>
      <c r="S489" s="1">
        <v>828</v>
      </c>
      <c r="T489" s="1" t="s">
        <v>20</v>
      </c>
      <c r="U489" s="1" t="str">
        <f>IF(Table1[[#This Row],[Repayment_Status]]="late","bad loan","good loan")</f>
        <v>good loan</v>
      </c>
      <c r="V489" s="1" t="str">
        <f>IF(Table1[[#This Row],[Repayment_Status]]="late","high","low")</f>
        <v>low</v>
      </c>
      <c r="W489" s="1">
        <f>(Table1[[#This Row],[monthly_EMI]]/Table1[[#This Row],[monthly_income]])*100</f>
        <v>30</v>
      </c>
      <c r="X489" s="7">
        <v>16546.37</v>
      </c>
    </row>
    <row r="490" spans="1:24" x14ac:dyDescent="0.25">
      <c r="A490" s="1" t="s">
        <v>276</v>
      </c>
      <c r="B490" s="2" t="s">
        <v>876</v>
      </c>
      <c r="C490" s="5">
        <v>33</v>
      </c>
      <c r="D490" s="1" t="s">
        <v>15</v>
      </c>
      <c r="E490" s="1" t="s">
        <v>29</v>
      </c>
      <c r="F490" s="1" t="s">
        <v>51</v>
      </c>
      <c r="G490" s="1">
        <f>YEAR(Table1[[#This Row],[Application_Date]])</f>
        <v>2025</v>
      </c>
      <c r="H490" s="1" t="str">
        <f>TEXT(Table1[[#This Row],[EMI_payment_date]],"mmmm")</f>
        <v>September</v>
      </c>
      <c r="I490" s="3">
        <v>45870</v>
      </c>
      <c r="J490" s="3">
        <f>EDATE(Table1[[#This Row],[Application_Date]],1)</f>
        <v>45901</v>
      </c>
      <c r="K490" s="9">
        <v>3576000</v>
      </c>
      <c r="L490" s="9">
        <f>Table1[[#This Row],[Annual_Income]]/12</f>
        <v>298000</v>
      </c>
      <c r="M490" s="9">
        <v>3776000</v>
      </c>
      <c r="N490" s="5">
        <f ca="1">DATEDIF(Table1[[#This Row],[EMI_payment_date]],TODAY(),"m")</f>
        <v>10</v>
      </c>
      <c r="O490" s="9">
        <f>11*Table1[[#This Row],[monthly_EMI]]</f>
        <v>983400</v>
      </c>
      <c r="P490" s="1">
        <v>5.39</v>
      </c>
      <c r="Q490" s="9">
        <f>Table1[[#This Row],[monthly_income]]*30%</f>
        <v>89400</v>
      </c>
      <c r="R490" s="1">
        <f>ROUNDUP(NPER(P490/100/12,-Q490,Table1[[#This Row],[Loan_Amount]]),0)</f>
        <v>47</v>
      </c>
      <c r="S490" s="1">
        <v>760</v>
      </c>
      <c r="T490" s="1" t="s">
        <v>20</v>
      </c>
      <c r="U490" s="1" t="str">
        <f>IF(Table1[[#This Row],[Repayment_Status]]="late","bad loan","good loan")</f>
        <v>good loan</v>
      </c>
      <c r="V490" s="1" t="str">
        <f>IF(Table1[[#This Row],[Repayment_Status]]="late","high","low")</f>
        <v>low</v>
      </c>
      <c r="W490" s="1">
        <f>(Table1[[#This Row],[monthly_EMI]]/Table1[[#This Row],[monthly_income]])*100</f>
        <v>30</v>
      </c>
      <c r="X490" s="7">
        <v>22460.25</v>
      </c>
    </row>
    <row r="491" spans="1:24" x14ac:dyDescent="0.25">
      <c r="A491" s="1" t="s">
        <v>659</v>
      </c>
      <c r="B491" s="2" t="s">
        <v>787</v>
      </c>
      <c r="C491" s="5">
        <v>23</v>
      </c>
      <c r="D491" s="1" t="s">
        <v>26</v>
      </c>
      <c r="E491" s="1" t="s">
        <v>16</v>
      </c>
      <c r="F491" s="1" t="s">
        <v>31</v>
      </c>
      <c r="G491" s="1">
        <f>YEAR(Table1[[#This Row],[Application_Date]])</f>
        <v>2025</v>
      </c>
      <c r="H491" s="1" t="str">
        <f>TEXT(Table1[[#This Row],[EMI_payment_date]],"mmmm")</f>
        <v>September</v>
      </c>
      <c r="I491" s="3">
        <v>45871</v>
      </c>
      <c r="J491" s="3">
        <f>EDATE(Table1[[#This Row],[Application_Date]],1)</f>
        <v>45902</v>
      </c>
      <c r="K491" s="9">
        <v>8172000</v>
      </c>
      <c r="L491" s="9">
        <f>Table1[[#This Row],[Annual_Income]]/12</f>
        <v>681000</v>
      </c>
      <c r="M491" s="9">
        <v>8372000</v>
      </c>
      <c r="N491" s="5">
        <f ca="1">DATEDIF(Table1[[#This Row],[EMI_payment_date]],TODAY(),"m")</f>
        <v>10</v>
      </c>
      <c r="O491" s="9">
        <f>11*Table1[[#This Row],[monthly_EMI]]</f>
        <v>2247300</v>
      </c>
      <c r="P491" s="1">
        <v>7.99</v>
      </c>
      <c r="Q491" s="9">
        <f>Table1[[#This Row],[monthly_income]]*30%</f>
        <v>204300</v>
      </c>
      <c r="R491" s="1">
        <f>ROUNDUP(NPER(P491/100/12,-Q491,Table1[[#This Row],[Loan_Amount]]),0)</f>
        <v>49</v>
      </c>
      <c r="S491" s="1">
        <v>716</v>
      </c>
      <c r="T491" s="1" t="s">
        <v>20</v>
      </c>
      <c r="U491" s="1" t="str">
        <f>IF(Table1[[#This Row],[Repayment_Status]]="late","bad loan","good loan")</f>
        <v>good loan</v>
      </c>
      <c r="V491" s="1" t="str">
        <f>IF(Table1[[#This Row],[Repayment_Status]]="late","high","low")</f>
        <v>low</v>
      </c>
      <c r="W491" s="1">
        <f>(Table1[[#This Row],[monthly_EMI]]/Table1[[#This Row],[monthly_income]])*100</f>
        <v>30</v>
      </c>
      <c r="X491" s="7">
        <v>37095.81</v>
      </c>
    </row>
    <row r="492" spans="1:24" x14ac:dyDescent="0.25">
      <c r="A492" s="1" t="s">
        <v>385</v>
      </c>
      <c r="B492" s="2" t="s">
        <v>859</v>
      </c>
      <c r="C492" s="5">
        <v>21</v>
      </c>
      <c r="D492" s="1" t="s">
        <v>15</v>
      </c>
      <c r="E492" s="1" t="s">
        <v>33</v>
      </c>
      <c r="F492" s="1" t="s">
        <v>17</v>
      </c>
      <c r="G492" s="1">
        <f>YEAR(Table1[[#This Row],[Application_Date]])</f>
        <v>2025</v>
      </c>
      <c r="H492" s="1" t="str">
        <f>TEXT(Table1[[#This Row],[EMI_payment_date]],"mmmm")</f>
        <v>September</v>
      </c>
      <c r="I492" s="3">
        <v>45872</v>
      </c>
      <c r="J492" s="3">
        <f>EDATE(Table1[[#This Row],[Application_Date]],1)</f>
        <v>45903</v>
      </c>
      <c r="K492" s="9">
        <v>4884000</v>
      </c>
      <c r="L492" s="9">
        <f>Table1[[#This Row],[Annual_Income]]/12</f>
        <v>407000</v>
      </c>
      <c r="M492" s="9">
        <v>5084000</v>
      </c>
      <c r="N492" s="5">
        <f ca="1">DATEDIF(Table1[[#This Row],[EMI_payment_date]],TODAY(),"m")</f>
        <v>10</v>
      </c>
      <c r="O492" s="9">
        <f>11*Table1[[#This Row],[monthly_EMI]]</f>
        <v>1343100</v>
      </c>
      <c r="P492" s="1">
        <v>7.72</v>
      </c>
      <c r="Q492" s="9">
        <f>Table1[[#This Row],[monthly_income]]*30%</f>
        <v>122100</v>
      </c>
      <c r="R492" s="1">
        <f>ROUNDUP(NPER(P492/100/12,-Q492,Table1[[#This Row],[Loan_Amount]]),0)</f>
        <v>49</v>
      </c>
      <c r="S492" s="1">
        <v>678</v>
      </c>
      <c r="T492" s="1" t="s">
        <v>20</v>
      </c>
      <c r="U492" s="1" t="str">
        <f>IF(Table1[[#This Row],[Repayment_Status]]="late","bad loan","good loan")</f>
        <v>good loan</v>
      </c>
      <c r="V492" s="1" t="str">
        <f>IF(Table1[[#This Row],[Repayment_Status]]="late","high","low")</f>
        <v>low</v>
      </c>
      <c r="W492" s="1">
        <f>(Table1[[#This Row],[monthly_EMI]]/Table1[[#This Row],[monthly_income]])*100</f>
        <v>30</v>
      </c>
      <c r="X492" s="7">
        <v>27562.81</v>
      </c>
    </row>
    <row r="493" spans="1:24" x14ac:dyDescent="0.25">
      <c r="A493" s="1" t="s">
        <v>234</v>
      </c>
      <c r="B493" s="2" t="s">
        <v>829</v>
      </c>
      <c r="C493" s="5">
        <v>60</v>
      </c>
      <c r="D493" s="1" t="s">
        <v>26</v>
      </c>
      <c r="E493" s="1" t="s">
        <v>36</v>
      </c>
      <c r="F493" s="1" t="s">
        <v>17</v>
      </c>
      <c r="G493" s="1">
        <f>YEAR(Table1[[#This Row],[Application_Date]])</f>
        <v>2025</v>
      </c>
      <c r="H493" s="1" t="str">
        <f>TEXT(Table1[[#This Row],[EMI_payment_date]],"mmmm")</f>
        <v>September</v>
      </c>
      <c r="I493" s="3">
        <v>45873</v>
      </c>
      <c r="J493" s="3">
        <f>EDATE(Table1[[#This Row],[Application_Date]],1)</f>
        <v>45904</v>
      </c>
      <c r="K493" s="9">
        <v>3072000</v>
      </c>
      <c r="L493" s="9">
        <f>Table1[[#This Row],[Annual_Income]]/12</f>
        <v>256000</v>
      </c>
      <c r="M493" s="9">
        <v>3272000</v>
      </c>
      <c r="N493" s="5">
        <f ca="1">DATEDIF(Table1[[#This Row],[EMI_payment_date]],TODAY(),"m")</f>
        <v>10</v>
      </c>
      <c r="O493" s="9">
        <f>11*Table1[[#This Row],[monthly_EMI]]</f>
        <v>844800</v>
      </c>
      <c r="P493" s="1">
        <v>6.11</v>
      </c>
      <c r="Q493" s="9">
        <f>Table1[[#This Row],[monthly_income]]*30%</f>
        <v>76800</v>
      </c>
      <c r="R493" s="1">
        <f>ROUNDUP(NPER(P493/100/12,-Q493,Table1[[#This Row],[Loan_Amount]]),0)</f>
        <v>49</v>
      </c>
      <c r="S493" s="1">
        <v>827</v>
      </c>
      <c r="T493" s="1" t="s">
        <v>20</v>
      </c>
      <c r="U493" s="1" t="str">
        <f>IF(Table1[[#This Row],[Repayment_Status]]="late","bad loan","good loan")</f>
        <v>good loan</v>
      </c>
      <c r="V493" s="1" t="str">
        <f>IF(Table1[[#This Row],[Repayment_Status]]="late","high","low")</f>
        <v>low</v>
      </c>
      <c r="W493" s="1">
        <f>(Table1[[#This Row],[monthly_EMI]]/Table1[[#This Row],[monthly_income]])*100</f>
        <v>30</v>
      </c>
      <c r="X493" s="7">
        <v>13220.78</v>
      </c>
    </row>
    <row r="494" spans="1:24" x14ac:dyDescent="0.25">
      <c r="A494" s="1" t="s">
        <v>458</v>
      </c>
      <c r="B494" s="2" t="s">
        <v>773</v>
      </c>
      <c r="C494" s="5">
        <v>47</v>
      </c>
      <c r="D494" s="1" t="s">
        <v>26</v>
      </c>
      <c r="E494" s="1" t="s">
        <v>27</v>
      </c>
      <c r="F494" s="1" t="s">
        <v>31</v>
      </c>
      <c r="G494" s="1">
        <f>YEAR(Table1[[#This Row],[Application_Date]])</f>
        <v>2025</v>
      </c>
      <c r="H494" s="1" t="str">
        <f>TEXT(Table1[[#This Row],[EMI_payment_date]],"mmmm")</f>
        <v>September</v>
      </c>
      <c r="I494" s="3">
        <v>45874</v>
      </c>
      <c r="J494" s="3">
        <f>EDATE(Table1[[#This Row],[Application_Date]],1)</f>
        <v>45905</v>
      </c>
      <c r="K494" s="9">
        <v>5760000</v>
      </c>
      <c r="L494" s="9">
        <f>Table1[[#This Row],[Annual_Income]]/12</f>
        <v>480000</v>
      </c>
      <c r="M494" s="9">
        <v>5960000</v>
      </c>
      <c r="N494" s="5">
        <f ca="1">DATEDIF(Table1[[#This Row],[EMI_payment_date]],TODAY(),"m")</f>
        <v>10</v>
      </c>
      <c r="O494" s="9">
        <f>11*Table1[[#This Row],[monthly_EMI]]</f>
        <v>1584000</v>
      </c>
      <c r="P494" s="1">
        <v>8.7200000000000006</v>
      </c>
      <c r="Q494" s="9">
        <f>Table1[[#This Row],[monthly_income]]*30%</f>
        <v>144000</v>
      </c>
      <c r="R494" s="1">
        <f>ROUNDUP(NPER(P494/100/12,-Q494,Table1[[#This Row],[Loan_Amount]]),0)</f>
        <v>50</v>
      </c>
      <c r="S494" s="1">
        <v>848</v>
      </c>
      <c r="T494" s="1" t="s">
        <v>37</v>
      </c>
      <c r="U494" s="1" t="str">
        <f>IF(Table1[[#This Row],[Repayment_Status]]="late","bad loan","good loan")</f>
        <v>bad loan</v>
      </c>
      <c r="V494" s="1" t="str">
        <f>IF(Table1[[#This Row],[Repayment_Status]]="late","high","low")</f>
        <v>high</v>
      </c>
      <c r="W494" s="1">
        <f>(Table1[[#This Row],[monthly_EMI]]/Table1[[#This Row],[monthly_income]])*100</f>
        <v>30</v>
      </c>
      <c r="X494" s="7">
        <v>20505.55</v>
      </c>
    </row>
    <row r="495" spans="1:24" x14ac:dyDescent="0.25">
      <c r="A495" s="1" t="s">
        <v>113</v>
      </c>
      <c r="B495" s="2" t="s">
        <v>788</v>
      </c>
      <c r="C495" s="5">
        <v>60</v>
      </c>
      <c r="D495" s="1" t="s">
        <v>15</v>
      </c>
      <c r="E495" s="1" t="s">
        <v>33</v>
      </c>
      <c r="F495" s="1" t="s">
        <v>31</v>
      </c>
      <c r="G495" s="1">
        <f>YEAR(Table1[[#This Row],[Application_Date]])</f>
        <v>2025</v>
      </c>
      <c r="H495" s="1" t="str">
        <f>TEXT(Table1[[#This Row],[EMI_payment_date]],"mmmm")</f>
        <v>September</v>
      </c>
      <c r="I495" s="3">
        <v>45875</v>
      </c>
      <c r="J495" s="3">
        <f>EDATE(Table1[[#This Row],[Application_Date]],1)</f>
        <v>45906</v>
      </c>
      <c r="K495" s="9">
        <v>1620000</v>
      </c>
      <c r="L495" s="9">
        <f>Table1[[#This Row],[Annual_Income]]/12</f>
        <v>135000</v>
      </c>
      <c r="M495" s="9">
        <v>1820000</v>
      </c>
      <c r="N495" s="5">
        <f ca="1">DATEDIF(Table1[[#This Row],[EMI_payment_date]],TODAY(),"m")</f>
        <v>10</v>
      </c>
      <c r="O495" s="9">
        <f>11*Table1[[#This Row],[monthly_EMI]]</f>
        <v>445500</v>
      </c>
      <c r="P495" s="1">
        <v>6.77</v>
      </c>
      <c r="Q495" s="9">
        <f>Table1[[#This Row],[monthly_income]]*30%</f>
        <v>40500</v>
      </c>
      <c r="R495" s="1">
        <f>ROUNDUP(NPER(P495/100/12,-Q495,Table1[[#This Row],[Loan_Amount]]),0)</f>
        <v>52</v>
      </c>
      <c r="S495" s="1">
        <v>694</v>
      </c>
      <c r="T495" s="1" t="s">
        <v>37</v>
      </c>
      <c r="U495" s="1" t="str">
        <f>IF(Table1[[#This Row],[Repayment_Status]]="late","bad loan","good loan")</f>
        <v>bad loan</v>
      </c>
      <c r="V495" s="1" t="str">
        <f>IF(Table1[[#This Row],[Repayment_Status]]="late","high","low")</f>
        <v>high</v>
      </c>
      <c r="W495" s="1">
        <f>(Table1[[#This Row],[monthly_EMI]]/Table1[[#This Row],[monthly_income]])*100</f>
        <v>30</v>
      </c>
      <c r="X495" s="7">
        <v>20847.21</v>
      </c>
    </row>
    <row r="496" spans="1:24" x14ac:dyDescent="0.25">
      <c r="A496" s="1" t="s">
        <v>498</v>
      </c>
      <c r="B496" s="2" t="s">
        <v>841</v>
      </c>
      <c r="C496" s="5">
        <v>50</v>
      </c>
      <c r="D496" s="1" t="s">
        <v>15</v>
      </c>
      <c r="E496" s="1" t="s">
        <v>27</v>
      </c>
      <c r="F496" s="1" t="s">
        <v>17</v>
      </c>
      <c r="G496" s="1">
        <f>YEAR(Table1[[#This Row],[Application_Date]])</f>
        <v>2025</v>
      </c>
      <c r="H496" s="1" t="str">
        <f>TEXT(Table1[[#This Row],[EMI_payment_date]],"mmmm")</f>
        <v>September</v>
      </c>
      <c r="I496" s="3">
        <v>45876</v>
      </c>
      <c r="J496" s="3">
        <f>EDATE(Table1[[#This Row],[Application_Date]],1)</f>
        <v>45907</v>
      </c>
      <c r="K496" s="9">
        <v>6240000</v>
      </c>
      <c r="L496" s="9">
        <f>Table1[[#This Row],[Annual_Income]]/12</f>
        <v>520000</v>
      </c>
      <c r="M496" s="9">
        <v>6440000</v>
      </c>
      <c r="N496" s="5">
        <f ca="1">DATEDIF(Table1[[#This Row],[EMI_payment_date]],TODAY(),"m")</f>
        <v>10</v>
      </c>
      <c r="O496" s="9">
        <f>11*Table1[[#This Row],[monthly_EMI]]</f>
        <v>1716000</v>
      </c>
      <c r="P496" s="1">
        <v>5.1100000000000003</v>
      </c>
      <c r="Q496" s="9">
        <f>Table1[[#This Row],[monthly_income]]*30%</f>
        <v>156000</v>
      </c>
      <c r="R496" s="1">
        <f>ROUNDUP(NPER(P496/100/12,-Q496,Table1[[#This Row],[Loan_Amount]]),0)</f>
        <v>46</v>
      </c>
      <c r="S496" s="1">
        <v>754</v>
      </c>
      <c r="T496" s="1" t="s">
        <v>20</v>
      </c>
      <c r="U496" s="1" t="str">
        <f>IF(Table1[[#This Row],[Repayment_Status]]="late","bad loan","good loan")</f>
        <v>good loan</v>
      </c>
      <c r="V496" s="1" t="str">
        <f>IF(Table1[[#This Row],[Repayment_Status]]="late","high","low")</f>
        <v>low</v>
      </c>
      <c r="W496" s="1">
        <f>(Table1[[#This Row],[monthly_EMI]]/Table1[[#This Row],[monthly_income]])*100</f>
        <v>30</v>
      </c>
      <c r="X496" s="7">
        <v>19661.41</v>
      </c>
    </row>
    <row r="497" spans="1:24" x14ac:dyDescent="0.25">
      <c r="A497" s="1" t="s">
        <v>641</v>
      </c>
      <c r="B497" s="2" t="s">
        <v>866</v>
      </c>
      <c r="C497" s="5">
        <v>50</v>
      </c>
      <c r="D497" s="1" t="s">
        <v>15</v>
      </c>
      <c r="E497" s="1" t="s">
        <v>24</v>
      </c>
      <c r="F497" s="1" t="s">
        <v>17</v>
      </c>
      <c r="G497" s="1">
        <f>YEAR(Table1[[#This Row],[Application_Date]])</f>
        <v>2025</v>
      </c>
      <c r="H497" s="1" t="str">
        <f>TEXT(Table1[[#This Row],[EMI_payment_date]],"mmmm")</f>
        <v>September</v>
      </c>
      <c r="I497" s="3">
        <v>45877</v>
      </c>
      <c r="J497" s="3">
        <f>EDATE(Table1[[#This Row],[Application_Date]],1)</f>
        <v>45908</v>
      </c>
      <c r="K497" s="9">
        <v>7956000</v>
      </c>
      <c r="L497" s="9">
        <f>Table1[[#This Row],[Annual_Income]]/12</f>
        <v>663000</v>
      </c>
      <c r="M497" s="9">
        <v>8156000</v>
      </c>
      <c r="N497" s="5">
        <f ca="1">DATEDIF(Table1[[#This Row],[EMI_payment_date]],TODAY(),"m")</f>
        <v>10</v>
      </c>
      <c r="O497" s="9">
        <f>11*Table1[[#This Row],[monthly_EMI]]</f>
        <v>2187900</v>
      </c>
      <c r="P497" s="1">
        <v>5.93</v>
      </c>
      <c r="Q497" s="9">
        <f>Table1[[#This Row],[monthly_income]]*30%</f>
        <v>198900</v>
      </c>
      <c r="R497" s="1">
        <f>ROUNDUP(NPER(P497/100/12,-Q497,Table1[[#This Row],[Loan_Amount]]),0)</f>
        <v>46</v>
      </c>
      <c r="S497" s="1">
        <v>710</v>
      </c>
      <c r="T497" s="1" t="s">
        <v>20</v>
      </c>
      <c r="U497" s="1" t="str">
        <f>IF(Table1[[#This Row],[Repayment_Status]]="late","bad loan","good loan")</f>
        <v>good loan</v>
      </c>
      <c r="V497" s="1" t="str">
        <f>IF(Table1[[#This Row],[Repayment_Status]]="late","high","low")</f>
        <v>low</v>
      </c>
      <c r="W497" s="1">
        <f>(Table1[[#This Row],[monthly_EMI]]/Table1[[#This Row],[monthly_income]])*100</f>
        <v>30</v>
      </c>
      <c r="X497" s="7">
        <v>11196.11</v>
      </c>
    </row>
    <row r="498" spans="1:24" x14ac:dyDescent="0.25">
      <c r="A498" s="1" t="s">
        <v>715</v>
      </c>
      <c r="B498" s="2" t="s">
        <v>892</v>
      </c>
      <c r="C498" s="5">
        <v>26</v>
      </c>
      <c r="D498" s="1" t="s">
        <v>15</v>
      </c>
      <c r="E498" s="1" t="s">
        <v>24</v>
      </c>
      <c r="F498" s="1" t="s">
        <v>19</v>
      </c>
      <c r="G498" s="1">
        <f>YEAR(Table1[[#This Row],[Application_Date]])</f>
        <v>2025</v>
      </c>
      <c r="H498" s="1" t="str">
        <f>TEXT(Table1[[#This Row],[EMI_payment_date]],"mmmm")</f>
        <v>September</v>
      </c>
      <c r="I498" s="3">
        <v>45878</v>
      </c>
      <c r="J498" s="3">
        <f>EDATE(Table1[[#This Row],[Application_Date]],1)</f>
        <v>45909</v>
      </c>
      <c r="K498" s="9">
        <v>8844000</v>
      </c>
      <c r="L498" s="9">
        <f>Table1[[#This Row],[Annual_Income]]/12</f>
        <v>737000</v>
      </c>
      <c r="M498" s="9">
        <v>9044000</v>
      </c>
      <c r="N498" s="5">
        <f ca="1">DATEDIF(Table1[[#This Row],[EMI_payment_date]],TODAY(),"m")</f>
        <v>10</v>
      </c>
      <c r="O498" s="9">
        <f>11*Table1[[#This Row],[monthly_EMI]]</f>
        <v>2432100</v>
      </c>
      <c r="P498" s="1">
        <v>5.21</v>
      </c>
      <c r="Q498" s="9">
        <f>Table1[[#This Row],[monthly_income]]*30%</f>
        <v>221100</v>
      </c>
      <c r="R498" s="1">
        <f>ROUNDUP(NPER(P498/100/12,-Q498,Table1[[#This Row],[Loan_Amount]]),0)</f>
        <v>46</v>
      </c>
      <c r="S498" s="1">
        <v>614</v>
      </c>
      <c r="T498" s="1" t="s">
        <v>20</v>
      </c>
      <c r="U498" s="1" t="str">
        <f>IF(Table1[[#This Row],[Repayment_Status]]="late","bad loan","good loan")</f>
        <v>good loan</v>
      </c>
      <c r="V498" s="1" t="str">
        <f>IF(Table1[[#This Row],[Repayment_Status]]="late","high","low")</f>
        <v>low</v>
      </c>
      <c r="W498" s="1">
        <f>(Table1[[#This Row],[monthly_EMI]]/Table1[[#This Row],[monthly_income]])*100</f>
        <v>30</v>
      </c>
      <c r="X498" s="7">
        <v>17416.669999999998</v>
      </c>
    </row>
    <row r="499" spans="1:24" x14ac:dyDescent="0.25">
      <c r="A499" s="1" t="s">
        <v>416</v>
      </c>
      <c r="B499" s="2" t="s">
        <v>836</v>
      </c>
      <c r="C499" s="5">
        <v>26</v>
      </c>
      <c r="D499" s="1" t="s">
        <v>15</v>
      </c>
      <c r="E499" s="1" t="s">
        <v>29</v>
      </c>
      <c r="F499" s="1" t="s">
        <v>22</v>
      </c>
      <c r="G499" s="1">
        <f>YEAR(Table1[[#This Row],[Application_Date]])</f>
        <v>2025</v>
      </c>
      <c r="H499" s="1" t="str">
        <f>TEXT(Table1[[#This Row],[EMI_payment_date]],"mmmm")</f>
        <v>September</v>
      </c>
      <c r="I499" s="3">
        <v>45879</v>
      </c>
      <c r="J499" s="3">
        <f>EDATE(Table1[[#This Row],[Application_Date]],1)</f>
        <v>45910</v>
      </c>
      <c r="K499" s="9">
        <v>5256000</v>
      </c>
      <c r="L499" s="9">
        <f>Table1[[#This Row],[Annual_Income]]/12</f>
        <v>438000</v>
      </c>
      <c r="M499" s="9">
        <v>5456000</v>
      </c>
      <c r="N499" s="5">
        <f ca="1">DATEDIF(Table1[[#This Row],[EMI_payment_date]],TODAY(),"m")</f>
        <v>10</v>
      </c>
      <c r="O499" s="9">
        <f>11*Table1[[#This Row],[monthly_EMI]]</f>
        <v>1445400</v>
      </c>
      <c r="P499" s="1">
        <v>6.97</v>
      </c>
      <c r="Q499" s="9">
        <f>Table1[[#This Row],[monthly_income]]*30%</f>
        <v>131400</v>
      </c>
      <c r="R499" s="1">
        <f>ROUNDUP(NPER(P499/100/12,-Q499,Table1[[#This Row],[Loan_Amount]]),0)</f>
        <v>48</v>
      </c>
      <c r="S499" s="1">
        <v>755</v>
      </c>
      <c r="T499" s="1" t="s">
        <v>20</v>
      </c>
      <c r="U499" s="1" t="str">
        <f>IF(Table1[[#This Row],[Repayment_Status]]="late","bad loan","good loan")</f>
        <v>good loan</v>
      </c>
      <c r="V499" s="1" t="str">
        <f>IF(Table1[[#This Row],[Repayment_Status]]="late","high","low")</f>
        <v>low</v>
      </c>
      <c r="W499" s="1">
        <f>(Table1[[#This Row],[monthly_EMI]]/Table1[[#This Row],[monthly_income]])*100</f>
        <v>30</v>
      </c>
      <c r="X499" s="7">
        <v>14537.58</v>
      </c>
    </row>
    <row r="500" spans="1:24" x14ac:dyDescent="0.25">
      <c r="A500" s="1" t="s">
        <v>439</v>
      </c>
      <c r="B500" s="2" t="s">
        <v>902</v>
      </c>
      <c r="C500" s="5">
        <v>38</v>
      </c>
      <c r="D500" s="1" t="s">
        <v>26</v>
      </c>
      <c r="E500" s="1" t="s">
        <v>24</v>
      </c>
      <c r="F500" s="1" t="s">
        <v>31</v>
      </c>
      <c r="G500" s="1">
        <f>YEAR(Table1[[#This Row],[Application_Date]])</f>
        <v>2025</v>
      </c>
      <c r="H500" s="1" t="str">
        <f>TEXT(Table1[[#This Row],[EMI_payment_date]],"mmmm")</f>
        <v>September</v>
      </c>
      <c r="I500" s="3">
        <v>45880</v>
      </c>
      <c r="J500" s="3">
        <f>EDATE(Table1[[#This Row],[Application_Date]],1)</f>
        <v>45911</v>
      </c>
      <c r="K500" s="9">
        <v>5532000</v>
      </c>
      <c r="L500" s="9">
        <f>Table1[[#This Row],[Annual_Income]]/12</f>
        <v>461000</v>
      </c>
      <c r="M500" s="9">
        <v>5732000</v>
      </c>
      <c r="N500" s="5">
        <f ca="1">DATEDIF(Table1[[#This Row],[EMI_payment_date]],TODAY(),"m")</f>
        <v>10</v>
      </c>
      <c r="O500" s="9">
        <f>11*Table1[[#This Row],[monthly_EMI]]</f>
        <v>1521300</v>
      </c>
      <c r="P500" s="1">
        <v>5.87</v>
      </c>
      <c r="Q500" s="9">
        <f>Table1[[#This Row],[monthly_income]]*30%</f>
        <v>138300</v>
      </c>
      <c r="R500" s="1">
        <f>ROUNDUP(NPER(P500/100/12,-Q500,Table1[[#This Row],[Loan_Amount]]),0)</f>
        <v>47</v>
      </c>
      <c r="S500" s="1">
        <v>811</v>
      </c>
      <c r="T500" s="1" t="s">
        <v>20</v>
      </c>
      <c r="U500" s="1" t="str">
        <f>IF(Table1[[#This Row],[Repayment_Status]]="late","bad loan","good loan")</f>
        <v>good loan</v>
      </c>
      <c r="V500" s="1" t="str">
        <f>IF(Table1[[#This Row],[Repayment_Status]]="late","high","low")</f>
        <v>low</v>
      </c>
      <c r="W500" s="1">
        <f>(Table1[[#This Row],[monthly_EMI]]/Table1[[#This Row],[monthly_income]])*100</f>
        <v>30</v>
      </c>
      <c r="X500" s="7">
        <v>6380.7</v>
      </c>
    </row>
    <row r="501" spans="1:24" x14ac:dyDescent="0.25">
      <c r="A501" s="1" t="s">
        <v>265</v>
      </c>
      <c r="B501" s="2" t="s">
        <v>765</v>
      </c>
      <c r="C501" s="5">
        <v>56</v>
      </c>
      <c r="D501" s="1" t="s">
        <v>15</v>
      </c>
      <c r="E501" s="1" t="s">
        <v>29</v>
      </c>
      <c r="F501" s="1" t="s">
        <v>22</v>
      </c>
      <c r="G501" s="1">
        <f>YEAR(Table1[[#This Row],[Application_Date]])</f>
        <v>2025</v>
      </c>
      <c r="H501" s="1" t="str">
        <f>TEXT(Table1[[#This Row],[EMI_payment_date]],"mmmm")</f>
        <v>September</v>
      </c>
      <c r="I501" s="3">
        <v>45881</v>
      </c>
      <c r="J501" s="3">
        <f>EDATE(Table1[[#This Row],[Application_Date]],1)</f>
        <v>45912</v>
      </c>
      <c r="K501" s="9">
        <v>3444000</v>
      </c>
      <c r="L501" s="9">
        <f>Table1[[#This Row],[Annual_Income]]/12</f>
        <v>287000</v>
      </c>
      <c r="M501" s="9">
        <v>3644000</v>
      </c>
      <c r="N501" s="5">
        <f ca="1">DATEDIF(Table1[[#This Row],[EMI_payment_date]],TODAY(),"m")</f>
        <v>10</v>
      </c>
      <c r="O501" s="9">
        <f>11*Table1[[#This Row],[monthly_EMI]]</f>
        <v>947100</v>
      </c>
      <c r="P501" s="1">
        <v>7.66</v>
      </c>
      <c r="Q501" s="9">
        <f>Table1[[#This Row],[monthly_income]]*30%</f>
        <v>86100</v>
      </c>
      <c r="R501" s="1">
        <f>ROUNDUP(NPER(P501/100/12,-Q501,Table1[[#This Row],[Loan_Amount]]),0)</f>
        <v>50</v>
      </c>
      <c r="S501" s="1">
        <v>729</v>
      </c>
      <c r="T501" s="1" t="s">
        <v>37</v>
      </c>
      <c r="U501" s="1" t="str">
        <f>IF(Table1[[#This Row],[Repayment_Status]]="late","bad loan","good loan")</f>
        <v>bad loan</v>
      </c>
      <c r="V501" s="1" t="str">
        <f>IF(Table1[[#This Row],[Repayment_Status]]="late","high","low")</f>
        <v>high</v>
      </c>
      <c r="W501" s="1">
        <f>(Table1[[#This Row],[monthly_EMI]]/Table1[[#This Row],[monthly_income]])*100</f>
        <v>30</v>
      </c>
      <c r="X501" s="7">
        <v>18165.080000000002</v>
      </c>
    </row>
    <row r="502" spans="1:24" x14ac:dyDescent="0.25">
      <c r="A502" s="1" t="s">
        <v>293</v>
      </c>
      <c r="B502" s="2" t="s">
        <v>750</v>
      </c>
      <c r="C502" s="5">
        <v>58</v>
      </c>
      <c r="D502" s="1" t="s">
        <v>26</v>
      </c>
      <c r="E502" s="1" t="s">
        <v>33</v>
      </c>
      <c r="F502" s="1" t="s">
        <v>51</v>
      </c>
      <c r="G502" s="1">
        <f>YEAR(Table1[[#This Row],[Application_Date]])</f>
        <v>2025</v>
      </c>
      <c r="H502" s="1" t="str">
        <f>TEXT(Table1[[#This Row],[EMI_payment_date]],"mmmm")</f>
        <v>September</v>
      </c>
      <c r="I502" s="3">
        <v>45882</v>
      </c>
      <c r="J502" s="3">
        <f>EDATE(Table1[[#This Row],[Application_Date]],1)</f>
        <v>45913</v>
      </c>
      <c r="K502" s="9">
        <v>3780000</v>
      </c>
      <c r="L502" s="9">
        <f>Table1[[#This Row],[Annual_Income]]/12</f>
        <v>315000</v>
      </c>
      <c r="M502" s="9">
        <v>3980000</v>
      </c>
      <c r="N502" s="5">
        <f ca="1">DATEDIF(Table1[[#This Row],[EMI_payment_date]],TODAY(),"m")</f>
        <v>10</v>
      </c>
      <c r="O502" s="9">
        <f>11*Table1[[#This Row],[monthly_EMI]]</f>
        <v>1039500</v>
      </c>
      <c r="P502" s="1">
        <v>6.41</v>
      </c>
      <c r="Q502" s="9">
        <f>Table1[[#This Row],[monthly_income]]*30%</f>
        <v>94500</v>
      </c>
      <c r="R502" s="1">
        <f>ROUNDUP(NPER(P502/100/12,-Q502,Table1[[#This Row],[Loan_Amount]]),0)</f>
        <v>48</v>
      </c>
      <c r="S502" s="1">
        <v>631</v>
      </c>
      <c r="T502" s="1" t="s">
        <v>20</v>
      </c>
      <c r="U502" s="1" t="str">
        <f>IF(Table1[[#This Row],[Repayment_Status]]="late","bad loan","good loan")</f>
        <v>good loan</v>
      </c>
      <c r="V502" s="1" t="str">
        <f>IF(Table1[[#This Row],[Repayment_Status]]="late","high","low")</f>
        <v>low</v>
      </c>
      <c r="W502" s="1">
        <f>(Table1[[#This Row],[monthly_EMI]]/Table1[[#This Row],[monthly_income]])*100</f>
        <v>30</v>
      </c>
      <c r="X502" s="7">
        <v>21352.61</v>
      </c>
    </row>
    <row r="503" spans="1:24" x14ac:dyDescent="0.25">
      <c r="A503" s="1" t="s">
        <v>58</v>
      </c>
      <c r="B503" s="2" t="s">
        <v>757</v>
      </c>
      <c r="C503" s="5">
        <v>54</v>
      </c>
      <c r="D503" s="1" t="s">
        <v>15</v>
      </c>
      <c r="E503" s="1" t="s">
        <v>36</v>
      </c>
      <c r="F503" s="1" t="s">
        <v>17</v>
      </c>
      <c r="G503" s="1">
        <f>YEAR(Table1[[#This Row],[Application_Date]])</f>
        <v>2025</v>
      </c>
      <c r="H503" s="1" t="str">
        <f>TEXT(Table1[[#This Row],[EMI_payment_date]],"mmmm")</f>
        <v>September</v>
      </c>
      <c r="I503" s="3">
        <v>45883</v>
      </c>
      <c r="J503" s="3">
        <f>EDATE(Table1[[#This Row],[Application_Date]],1)</f>
        <v>45914</v>
      </c>
      <c r="K503" s="9">
        <v>948000</v>
      </c>
      <c r="L503" s="9">
        <f>Table1[[#This Row],[Annual_Income]]/12</f>
        <v>79000</v>
      </c>
      <c r="M503" s="9">
        <v>1148000</v>
      </c>
      <c r="N503" s="5">
        <f ca="1">DATEDIF(Table1[[#This Row],[EMI_payment_date]],TODAY(),"m")</f>
        <v>10</v>
      </c>
      <c r="O503" s="9">
        <f>11*Table1[[#This Row],[monthly_EMI]]</f>
        <v>260700</v>
      </c>
      <c r="P503" s="1">
        <v>5.29</v>
      </c>
      <c r="Q503" s="9">
        <f>Table1[[#This Row],[monthly_income]]*30%</f>
        <v>23700</v>
      </c>
      <c r="R503" s="1">
        <f>ROUNDUP(NPER(P503/100/12,-Q503,Table1[[#This Row],[Loan_Amount]]),0)</f>
        <v>55</v>
      </c>
      <c r="S503" s="1">
        <v>822</v>
      </c>
      <c r="T503" s="1" t="s">
        <v>37</v>
      </c>
      <c r="U503" s="1" t="str">
        <f>IF(Table1[[#This Row],[Repayment_Status]]="late","bad loan","good loan")</f>
        <v>bad loan</v>
      </c>
      <c r="V503" s="1" t="str">
        <f>IF(Table1[[#This Row],[Repayment_Status]]="late","high","low")</f>
        <v>high</v>
      </c>
      <c r="W503" s="1">
        <f>(Table1[[#This Row],[monthly_EMI]]/Table1[[#This Row],[monthly_income]])*100</f>
        <v>30</v>
      </c>
      <c r="X503" s="7">
        <v>6722.38</v>
      </c>
    </row>
    <row r="504" spans="1:24" x14ac:dyDescent="0.25">
      <c r="A504" s="1" t="s">
        <v>173</v>
      </c>
      <c r="B504" s="2" t="s">
        <v>832</v>
      </c>
      <c r="C504" s="5">
        <v>29</v>
      </c>
      <c r="D504" s="1" t="s">
        <v>26</v>
      </c>
      <c r="E504" s="1" t="s">
        <v>33</v>
      </c>
      <c r="F504" s="1" t="s">
        <v>22</v>
      </c>
      <c r="G504" s="1">
        <f>YEAR(Table1[[#This Row],[Application_Date]])</f>
        <v>2025</v>
      </c>
      <c r="H504" s="1" t="str">
        <f>TEXT(Table1[[#This Row],[EMI_payment_date]],"mmmm")</f>
        <v>September</v>
      </c>
      <c r="I504" s="3">
        <v>45884</v>
      </c>
      <c r="J504" s="3">
        <f>EDATE(Table1[[#This Row],[Application_Date]],1)</f>
        <v>45915</v>
      </c>
      <c r="K504" s="9">
        <v>2340000</v>
      </c>
      <c r="L504" s="9">
        <f>Table1[[#This Row],[Annual_Income]]/12</f>
        <v>195000</v>
      </c>
      <c r="M504" s="9">
        <v>2540000</v>
      </c>
      <c r="N504" s="5">
        <f ca="1">DATEDIF(Table1[[#This Row],[EMI_payment_date]],TODAY(),"m")</f>
        <v>10</v>
      </c>
      <c r="O504" s="9">
        <f>11*Table1[[#This Row],[monthly_EMI]]</f>
        <v>643500</v>
      </c>
      <c r="P504" s="1">
        <v>6.25</v>
      </c>
      <c r="Q504" s="9">
        <f>Table1[[#This Row],[monthly_income]]*30%</f>
        <v>58500</v>
      </c>
      <c r="R504" s="1">
        <f>ROUNDUP(NPER(P504/100/12,-Q504,Table1[[#This Row],[Loan_Amount]]),0)</f>
        <v>50</v>
      </c>
      <c r="S504" s="1">
        <v>621</v>
      </c>
      <c r="T504" s="1" t="s">
        <v>20</v>
      </c>
      <c r="U504" s="1" t="str">
        <f>IF(Table1[[#This Row],[Repayment_Status]]="late","bad loan","good loan")</f>
        <v>good loan</v>
      </c>
      <c r="V504" s="1" t="str">
        <f>IF(Table1[[#This Row],[Repayment_Status]]="late","high","low")</f>
        <v>low</v>
      </c>
      <c r="W504" s="1">
        <f>(Table1[[#This Row],[monthly_EMI]]/Table1[[#This Row],[monthly_income]])*100</f>
        <v>30</v>
      </c>
      <c r="X504" s="7">
        <v>27743.11</v>
      </c>
    </row>
    <row r="505" spans="1:24" x14ac:dyDescent="0.25">
      <c r="A505" s="1" t="s">
        <v>86</v>
      </c>
      <c r="B505" s="2" t="s">
        <v>778</v>
      </c>
      <c r="C505" s="5">
        <v>25</v>
      </c>
      <c r="D505" s="1" t="s">
        <v>15</v>
      </c>
      <c r="E505" s="1" t="s">
        <v>33</v>
      </c>
      <c r="F505" s="1" t="s">
        <v>19</v>
      </c>
      <c r="G505" s="1">
        <f>YEAR(Table1[[#This Row],[Application_Date]])</f>
        <v>2025</v>
      </c>
      <c r="H505" s="1" t="str">
        <f>TEXT(Table1[[#This Row],[EMI_payment_date]],"mmmm")</f>
        <v>September</v>
      </c>
      <c r="I505" s="3">
        <v>45885</v>
      </c>
      <c r="J505" s="3">
        <f>EDATE(Table1[[#This Row],[Application_Date]],1)</f>
        <v>45916</v>
      </c>
      <c r="K505" s="9">
        <v>1284000</v>
      </c>
      <c r="L505" s="9">
        <f>Table1[[#This Row],[Annual_Income]]/12</f>
        <v>107000</v>
      </c>
      <c r="M505" s="9">
        <v>1484000</v>
      </c>
      <c r="N505" s="5">
        <f ca="1">DATEDIF(Table1[[#This Row],[EMI_payment_date]],TODAY(),"m")</f>
        <v>10</v>
      </c>
      <c r="O505" s="9">
        <f>11*Table1[[#This Row],[monthly_EMI]]</f>
        <v>353100</v>
      </c>
      <c r="P505" s="1">
        <v>9.43</v>
      </c>
      <c r="Q505" s="9">
        <f>Table1[[#This Row],[monthly_income]]*30%</f>
        <v>32100</v>
      </c>
      <c r="R505" s="1">
        <f>ROUNDUP(NPER(P505/100/12,-Q505,Table1[[#This Row],[Loan_Amount]]),0)</f>
        <v>58</v>
      </c>
      <c r="S505" s="1">
        <v>603</v>
      </c>
      <c r="T505" s="1" t="s">
        <v>37</v>
      </c>
      <c r="U505" s="1" t="str">
        <f>IF(Table1[[#This Row],[Repayment_Status]]="late","bad loan","good loan")</f>
        <v>bad loan</v>
      </c>
      <c r="V505" s="1" t="str">
        <f>IF(Table1[[#This Row],[Repayment_Status]]="late","high","low")</f>
        <v>high</v>
      </c>
      <c r="W505" s="1">
        <f>(Table1[[#This Row],[monthly_EMI]]/Table1[[#This Row],[monthly_income]])*100</f>
        <v>30</v>
      </c>
      <c r="X505" s="7">
        <v>42254.68</v>
      </c>
    </row>
    <row r="506" spans="1:24" x14ac:dyDescent="0.25">
      <c r="A506" s="1" t="s">
        <v>312</v>
      </c>
      <c r="B506" s="2" t="s">
        <v>845</v>
      </c>
      <c r="C506" s="5">
        <v>25</v>
      </c>
      <c r="D506" s="1" t="s">
        <v>26</v>
      </c>
      <c r="E506" s="1" t="s">
        <v>24</v>
      </c>
      <c r="F506" s="1" t="s">
        <v>17</v>
      </c>
      <c r="G506" s="1">
        <f>YEAR(Table1[[#This Row],[Application_Date]])</f>
        <v>2025</v>
      </c>
      <c r="H506" s="1" t="str">
        <f>TEXT(Table1[[#This Row],[EMI_payment_date]],"mmmm")</f>
        <v>September</v>
      </c>
      <c r="I506" s="3">
        <v>45886</v>
      </c>
      <c r="J506" s="3">
        <f>EDATE(Table1[[#This Row],[Application_Date]],1)</f>
        <v>45917</v>
      </c>
      <c r="K506" s="9">
        <v>4008000</v>
      </c>
      <c r="L506" s="9">
        <f>Table1[[#This Row],[Annual_Income]]/12</f>
        <v>334000</v>
      </c>
      <c r="M506" s="9">
        <v>4208000</v>
      </c>
      <c r="N506" s="5">
        <f ca="1">DATEDIF(Table1[[#This Row],[EMI_payment_date]],TODAY(),"m")</f>
        <v>10</v>
      </c>
      <c r="O506" s="9">
        <f>11*Table1[[#This Row],[monthly_EMI]]</f>
        <v>1102200</v>
      </c>
      <c r="P506" s="1">
        <v>8.9499999999999993</v>
      </c>
      <c r="Q506" s="9">
        <f>Table1[[#This Row],[monthly_income]]*30%</f>
        <v>100200</v>
      </c>
      <c r="R506" s="1">
        <f>ROUNDUP(NPER(P506/100/12,-Q506,Table1[[#This Row],[Loan_Amount]]),0)</f>
        <v>51</v>
      </c>
      <c r="S506" s="1">
        <v>618</v>
      </c>
      <c r="T506" s="1" t="s">
        <v>20</v>
      </c>
      <c r="U506" s="1" t="str">
        <f>IF(Table1[[#This Row],[Repayment_Status]]="late","bad loan","good loan")</f>
        <v>good loan</v>
      </c>
      <c r="V506" s="1" t="str">
        <f>IF(Table1[[#This Row],[Repayment_Status]]="late","high","low")</f>
        <v>low</v>
      </c>
      <c r="W506" s="1">
        <f>(Table1[[#This Row],[monthly_EMI]]/Table1[[#This Row],[monthly_income]])*100</f>
        <v>30</v>
      </c>
      <c r="X506" s="7">
        <v>24038.48</v>
      </c>
    </row>
    <row r="507" spans="1:24" x14ac:dyDescent="0.25">
      <c r="A507" s="1" t="s">
        <v>417</v>
      </c>
      <c r="B507" s="2" t="s">
        <v>855</v>
      </c>
      <c r="C507" s="5">
        <v>33</v>
      </c>
      <c r="D507" s="1" t="s">
        <v>15</v>
      </c>
      <c r="E507" s="1" t="s">
        <v>27</v>
      </c>
      <c r="F507" s="1" t="s">
        <v>19</v>
      </c>
      <c r="G507" s="1">
        <f>YEAR(Table1[[#This Row],[Application_Date]])</f>
        <v>2025</v>
      </c>
      <c r="H507" s="1" t="str">
        <f>TEXT(Table1[[#This Row],[EMI_payment_date]],"mmmm")</f>
        <v>September</v>
      </c>
      <c r="I507" s="3">
        <v>45887</v>
      </c>
      <c r="J507" s="3">
        <f>EDATE(Table1[[#This Row],[Application_Date]],1)</f>
        <v>45918</v>
      </c>
      <c r="K507" s="9">
        <v>5268000</v>
      </c>
      <c r="L507" s="9">
        <f>Table1[[#This Row],[Annual_Income]]/12</f>
        <v>439000</v>
      </c>
      <c r="M507" s="9">
        <v>5468000</v>
      </c>
      <c r="N507" s="5">
        <f ca="1">DATEDIF(Table1[[#This Row],[EMI_payment_date]],TODAY(),"m")</f>
        <v>10</v>
      </c>
      <c r="O507" s="9">
        <f>11*Table1[[#This Row],[monthly_EMI]]</f>
        <v>1448700</v>
      </c>
      <c r="P507" s="1">
        <v>5.34</v>
      </c>
      <c r="Q507" s="9">
        <f>Table1[[#This Row],[monthly_income]]*30%</f>
        <v>131700</v>
      </c>
      <c r="R507" s="1">
        <f>ROUNDUP(NPER(P507/100/12,-Q507,Table1[[#This Row],[Loan_Amount]]),0)</f>
        <v>47</v>
      </c>
      <c r="S507" s="1">
        <v>841</v>
      </c>
      <c r="T507" s="1" t="s">
        <v>20</v>
      </c>
      <c r="U507" s="1" t="str">
        <f>IF(Table1[[#This Row],[Repayment_Status]]="late","bad loan","good loan")</f>
        <v>good loan</v>
      </c>
      <c r="V507" s="1" t="str">
        <f>IF(Table1[[#This Row],[Repayment_Status]]="late","high","low")</f>
        <v>low</v>
      </c>
      <c r="W507" s="1">
        <f>(Table1[[#This Row],[monthly_EMI]]/Table1[[#This Row],[monthly_income]])*100</f>
        <v>30</v>
      </c>
      <c r="X507" s="7">
        <v>19818.14</v>
      </c>
    </row>
    <row r="508" spans="1:24" x14ac:dyDescent="0.25">
      <c r="A508" s="1" t="s">
        <v>480</v>
      </c>
      <c r="B508" s="2" t="s">
        <v>888</v>
      </c>
      <c r="C508" s="5">
        <v>59</v>
      </c>
      <c r="D508" s="1" t="s">
        <v>15</v>
      </c>
      <c r="E508" s="1" t="s">
        <v>27</v>
      </c>
      <c r="F508" s="1" t="s">
        <v>22</v>
      </c>
      <c r="G508" s="1">
        <f>YEAR(Table1[[#This Row],[Application_Date]])</f>
        <v>2025</v>
      </c>
      <c r="H508" s="1" t="str">
        <f>TEXT(Table1[[#This Row],[EMI_payment_date]],"mmmm")</f>
        <v>September</v>
      </c>
      <c r="I508" s="3">
        <v>45888</v>
      </c>
      <c r="J508" s="3">
        <f>EDATE(Table1[[#This Row],[Application_Date]],1)</f>
        <v>45919</v>
      </c>
      <c r="K508" s="9">
        <v>6024000</v>
      </c>
      <c r="L508" s="9">
        <f>Table1[[#This Row],[Annual_Income]]/12</f>
        <v>502000</v>
      </c>
      <c r="M508" s="9">
        <v>6224000</v>
      </c>
      <c r="N508" s="5">
        <f ca="1">DATEDIF(Table1[[#This Row],[EMI_payment_date]],TODAY(),"m")</f>
        <v>10</v>
      </c>
      <c r="O508" s="9">
        <f>11*Table1[[#This Row],[monthly_EMI]]</f>
        <v>1656600</v>
      </c>
      <c r="P508" s="1">
        <v>6.53</v>
      </c>
      <c r="Q508" s="9">
        <f>Table1[[#This Row],[monthly_income]]*30%</f>
        <v>150600</v>
      </c>
      <c r="R508" s="1">
        <f>ROUNDUP(NPER(P508/100/12,-Q508,Table1[[#This Row],[Loan_Amount]]),0)</f>
        <v>47</v>
      </c>
      <c r="S508" s="1">
        <v>694</v>
      </c>
      <c r="T508" s="1" t="s">
        <v>20</v>
      </c>
      <c r="U508" s="1" t="str">
        <f>IF(Table1[[#This Row],[Repayment_Status]]="late","bad loan","good loan")</f>
        <v>good loan</v>
      </c>
      <c r="V508" s="1" t="str">
        <f>IF(Table1[[#This Row],[Repayment_Status]]="late","high","low")</f>
        <v>low</v>
      </c>
      <c r="W508" s="1">
        <f>(Table1[[#This Row],[monthly_EMI]]/Table1[[#This Row],[monthly_income]])*100</f>
        <v>30</v>
      </c>
      <c r="X508" s="7">
        <v>22964.55</v>
      </c>
    </row>
    <row r="509" spans="1:24" x14ac:dyDescent="0.25">
      <c r="A509" s="1" t="s">
        <v>292</v>
      </c>
      <c r="B509" s="2" t="s">
        <v>827</v>
      </c>
      <c r="C509" s="5">
        <v>44</v>
      </c>
      <c r="D509" s="1" t="s">
        <v>26</v>
      </c>
      <c r="E509" s="1" t="s">
        <v>33</v>
      </c>
      <c r="F509" s="1" t="s">
        <v>22</v>
      </c>
      <c r="G509" s="1">
        <f>YEAR(Table1[[#This Row],[Application_Date]])</f>
        <v>2025</v>
      </c>
      <c r="H509" s="1" t="str">
        <f>TEXT(Table1[[#This Row],[EMI_payment_date]],"mmmm")</f>
        <v>September</v>
      </c>
      <c r="I509" s="3">
        <v>45889</v>
      </c>
      <c r="J509" s="3">
        <f>EDATE(Table1[[#This Row],[Application_Date]],1)</f>
        <v>45920</v>
      </c>
      <c r="K509" s="9">
        <v>3768000</v>
      </c>
      <c r="L509" s="9">
        <f>Table1[[#This Row],[Annual_Income]]/12</f>
        <v>314000</v>
      </c>
      <c r="M509" s="9">
        <v>3968000</v>
      </c>
      <c r="N509" s="5">
        <f ca="1">DATEDIF(Table1[[#This Row],[EMI_payment_date]],TODAY(),"m")</f>
        <v>10</v>
      </c>
      <c r="O509" s="9">
        <f>11*Table1[[#This Row],[monthly_EMI]]</f>
        <v>1036200</v>
      </c>
      <c r="P509" s="1">
        <v>5.76</v>
      </c>
      <c r="Q509" s="9">
        <f>Table1[[#This Row],[monthly_income]]*30%</f>
        <v>94200</v>
      </c>
      <c r="R509" s="1">
        <f>ROUNDUP(NPER(P509/100/12,-Q509,Table1[[#This Row],[Loan_Amount]]),0)</f>
        <v>48</v>
      </c>
      <c r="S509" s="1">
        <v>770</v>
      </c>
      <c r="T509" s="1" t="s">
        <v>37</v>
      </c>
      <c r="U509" s="1" t="str">
        <f>IF(Table1[[#This Row],[Repayment_Status]]="late","bad loan","good loan")</f>
        <v>bad loan</v>
      </c>
      <c r="V509" s="1" t="str">
        <f>IF(Table1[[#This Row],[Repayment_Status]]="late","high","low")</f>
        <v>high</v>
      </c>
      <c r="W509" s="1">
        <f>(Table1[[#This Row],[monthly_EMI]]/Table1[[#This Row],[monthly_income]])*100</f>
        <v>30</v>
      </c>
      <c r="X509" s="7">
        <v>8556</v>
      </c>
    </row>
    <row r="510" spans="1:24" x14ac:dyDescent="0.25">
      <c r="A510" s="1" t="s">
        <v>294</v>
      </c>
      <c r="B510" s="2" t="s">
        <v>881</v>
      </c>
      <c r="C510" s="5">
        <v>59</v>
      </c>
      <c r="D510" s="1" t="s">
        <v>15</v>
      </c>
      <c r="E510" s="1" t="s">
        <v>29</v>
      </c>
      <c r="F510" s="1" t="s">
        <v>51</v>
      </c>
      <c r="G510" s="1">
        <f>YEAR(Table1[[#This Row],[Application_Date]])</f>
        <v>2025</v>
      </c>
      <c r="H510" s="1" t="str">
        <f>TEXT(Table1[[#This Row],[EMI_payment_date]],"mmmm")</f>
        <v>September</v>
      </c>
      <c r="I510" s="3">
        <v>45890</v>
      </c>
      <c r="J510" s="3">
        <f>EDATE(Table1[[#This Row],[Application_Date]],1)</f>
        <v>45921</v>
      </c>
      <c r="K510" s="9">
        <v>3792000</v>
      </c>
      <c r="L510" s="9">
        <f>Table1[[#This Row],[Annual_Income]]/12</f>
        <v>316000</v>
      </c>
      <c r="M510" s="9">
        <v>3992000</v>
      </c>
      <c r="N510" s="5">
        <f ca="1">DATEDIF(Table1[[#This Row],[EMI_payment_date]],TODAY(),"m")</f>
        <v>10</v>
      </c>
      <c r="O510" s="9">
        <f>11*Table1[[#This Row],[monthly_EMI]]</f>
        <v>1042800</v>
      </c>
      <c r="P510" s="1">
        <v>7.97</v>
      </c>
      <c r="Q510" s="9">
        <f>Table1[[#This Row],[monthly_income]]*30%</f>
        <v>94800</v>
      </c>
      <c r="R510" s="1">
        <f>ROUNDUP(NPER(P510/100/12,-Q510,Table1[[#This Row],[Loan_Amount]]),0)</f>
        <v>50</v>
      </c>
      <c r="S510" s="1">
        <v>664</v>
      </c>
      <c r="T510" s="1" t="s">
        <v>20</v>
      </c>
      <c r="U510" s="1" t="str">
        <f>IF(Table1[[#This Row],[Repayment_Status]]="late","bad loan","good loan")</f>
        <v>good loan</v>
      </c>
      <c r="V510" s="1" t="str">
        <f>IF(Table1[[#This Row],[Repayment_Status]]="late","high","low")</f>
        <v>low</v>
      </c>
      <c r="W510" s="1">
        <f>(Table1[[#This Row],[monthly_EMI]]/Table1[[#This Row],[monthly_income]])*100</f>
        <v>30</v>
      </c>
      <c r="X510" s="7">
        <v>31555.17</v>
      </c>
    </row>
    <row r="511" spans="1:24" x14ac:dyDescent="0.25">
      <c r="A511" s="1" t="s">
        <v>716</v>
      </c>
      <c r="B511" s="2" t="s">
        <v>775</v>
      </c>
      <c r="C511" s="5">
        <v>27</v>
      </c>
      <c r="D511" s="1" t="s">
        <v>26</v>
      </c>
      <c r="E511" s="1" t="s">
        <v>36</v>
      </c>
      <c r="F511" s="1" t="s">
        <v>22</v>
      </c>
      <c r="G511" s="1">
        <f>YEAR(Table1[[#This Row],[Application_Date]])</f>
        <v>2025</v>
      </c>
      <c r="H511" s="1" t="str">
        <f>TEXT(Table1[[#This Row],[EMI_payment_date]],"mmmm")</f>
        <v>September</v>
      </c>
      <c r="I511" s="3">
        <v>45891</v>
      </c>
      <c r="J511" s="3">
        <f>EDATE(Table1[[#This Row],[Application_Date]],1)</f>
        <v>45922</v>
      </c>
      <c r="K511" s="9">
        <v>8856000</v>
      </c>
      <c r="L511" s="9">
        <f>Table1[[#This Row],[Annual_Income]]/12</f>
        <v>738000</v>
      </c>
      <c r="M511" s="9">
        <v>9056000</v>
      </c>
      <c r="N511" s="5">
        <f ca="1">DATEDIF(Table1[[#This Row],[EMI_payment_date]],TODAY(),"m")</f>
        <v>10</v>
      </c>
      <c r="O511" s="9">
        <f>11*Table1[[#This Row],[monthly_EMI]]</f>
        <v>2435400</v>
      </c>
      <c r="P511" s="1">
        <v>8.48</v>
      </c>
      <c r="Q511" s="9">
        <f>Table1[[#This Row],[monthly_income]]*30%</f>
        <v>221400</v>
      </c>
      <c r="R511" s="1">
        <f>ROUNDUP(NPER(P511/100/12,-Q511,Table1[[#This Row],[Loan_Amount]]),0)</f>
        <v>49</v>
      </c>
      <c r="S511" s="1">
        <v>744</v>
      </c>
      <c r="T511" s="1" t="s">
        <v>20</v>
      </c>
      <c r="U511" s="1" t="str">
        <f>IF(Table1[[#This Row],[Repayment_Status]]="late","bad loan","good loan")</f>
        <v>good loan</v>
      </c>
      <c r="V511" s="1" t="str">
        <f>IF(Table1[[#This Row],[Repayment_Status]]="late","high","low")</f>
        <v>low</v>
      </c>
      <c r="W511" s="1">
        <f>(Table1[[#This Row],[monthly_EMI]]/Table1[[#This Row],[monthly_income]])*100</f>
        <v>30</v>
      </c>
      <c r="X511" s="7">
        <v>34568.11</v>
      </c>
    </row>
    <row r="512" spans="1:24" x14ac:dyDescent="0.25">
      <c r="A512" s="1" t="s">
        <v>217</v>
      </c>
      <c r="B512" s="2" t="s">
        <v>733</v>
      </c>
      <c r="C512" s="5">
        <v>37</v>
      </c>
      <c r="D512" s="1" t="s">
        <v>26</v>
      </c>
      <c r="E512" s="1" t="s">
        <v>24</v>
      </c>
      <c r="F512" s="1" t="s">
        <v>31</v>
      </c>
      <c r="G512" s="1">
        <f>YEAR(Table1[[#This Row],[Application_Date]])</f>
        <v>2025</v>
      </c>
      <c r="H512" s="1" t="str">
        <f>TEXT(Table1[[#This Row],[EMI_payment_date]],"mmmm")</f>
        <v>September</v>
      </c>
      <c r="I512" s="3">
        <v>45892</v>
      </c>
      <c r="J512" s="3">
        <f>EDATE(Table1[[#This Row],[Application_Date]],1)</f>
        <v>45923</v>
      </c>
      <c r="K512" s="9">
        <v>2868000</v>
      </c>
      <c r="L512" s="9">
        <f>Table1[[#This Row],[Annual_Income]]/12</f>
        <v>239000</v>
      </c>
      <c r="M512" s="9">
        <v>3068000</v>
      </c>
      <c r="N512" s="5">
        <f ca="1">DATEDIF(Table1[[#This Row],[EMI_payment_date]],TODAY(),"m")</f>
        <v>10</v>
      </c>
      <c r="O512" s="9">
        <f>11*Table1[[#This Row],[monthly_EMI]]</f>
        <v>788700</v>
      </c>
      <c r="P512" s="1">
        <v>9.68</v>
      </c>
      <c r="Q512" s="9">
        <f>Table1[[#This Row],[monthly_income]]*30%</f>
        <v>71700</v>
      </c>
      <c r="R512" s="1">
        <f>ROUNDUP(NPER(P512/100/12,-Q512,Table1[[#This Row],[Loan_Amount]]),0)</f>
        <v>53</v>
      </c>
      <c r="S512" s="1">
        <v>669</v>
      </c>
      <c r="T512" s="1" t="s">
        <v>20</v>
      </c>
      <c r="U512" s="1" t="str">
        <f>IF(Table1[[#This Row],[Repayment_Status]]="late","bad loan","good loan")</f>
        <v>good loan</v>
      </c>
      <c r="V512" s="1" t="str">
        <f>IF(Table1[[#This Row],[Repayment_Status]]="late","high","low")</f>
        <v>low</v>
      </c>
      <c r="W512" s="1">
        <f>(Table1[[#This Row],[monthly_EMI]]/Table1[[#This Row],[monthly_income]])*100</f>
        <v>30</v>
      </c>
      <c r="X512" s="7">
        <v>23019.52</v>
      </c>
    </row>
    <row r="513" spans="1:24" x14ac:dyDescent="0.25">
      <c r="A513" s="1" t="s">
        <v>718</v>
      </c>
      <c r="B513" s="2" t="s">
        <v>843</v>
      </c>
      <c r="C513" s="5">
        <v>54</v>
      </c>
      <c r="D513" s="1" t="s">
        <v>15</v>
      </c>
      <c r="E513" s="1" t="s">
        <v>16</v>
      </c>
      <c r="F513" s="1" t="s">
        <v>31</v>
      </c>
      <c r="G513" s="1">
        <f>YEAR(Table1[[#This Row],[Application_Date]])</f>
        <v>2025</v>
      </c>
      <c r="H513" s="1" t="str">
        <f>TEXT(Table1[[#This Row],[EMI_payment_date]],"mmmm")</f>
        <v>September</v>
      </c>
      <c r="I513" s="3">
        <v>45893</v>
      </c>
      <c r="J513" s="3">
        <f>EDATE(Table1[[#This Row],[Application_Date]],1)</f>
        <v>45924</v>
      </c>
      <c r="K513" s="9">
        <v>8880000</v>
      </c>
      <c r="L513" s="9">
        <f>Table1[[#This Row],[Annual_Income]]/12</f>
        <v>740000</v>
      </c>
      <c r="M513" s="9">
        <v>9080000</v>
      </c>
      <c r="N513" s="5">
        <f ca="1">DATEDIF(Table1[[#This Row],[EMI_payment_date]],TODAY(),"m")</f>
        <v>10</v>
      </c>
      <c r="O513" s="9">
        <f>11*Table1[[#This Row],[monthly_EMI]]</f>
        <v>2442000</v>
      </c>
      <c r="P513" s="1">
        <v>9.9600000000000009</v>
      </c>
      <c r="Q513" s="9">
        <f>Table1[[#This Row],[monthly_income]]*30%</f>
        <v>222000</v>
      </c>
      <c r="R513" s="1">
        <f>ROUNDUP(NPER(P513/100/12,-Q513,Table1[[#This Row],[Loan_Amount]]),0)</f>
        <v>51</v>
      </c>
      <c r="S513" s="1">
        <v>643</v>
      </c>
      <c r="T513" s="1" t="s">
        <v>20</v>
      </c>
      <c r="U513" s="1" t="str">
        <f>IF(Table1[[#This Row],[Repayment_Status]]="late","bad loan","good loan")</f>
        <v>good loan</v>
      </c>
      <c r="V513" s="1" t="str">
        <f>IF(Table1[[#This Row],[Repayment_Status]]="late","high","low")</f>
        <v>low</v>
      </c>
      <c r="W513" s="1">
        <f>(Table1[[#This Row],[monthly_EMI]]/Table1[[#This Row],[monthly_income]])*100</f>
        <v>30</v>
      </c>
      <c r="X513" s="7">
        <v>37345.379999999997</v>
      </c>
    </row>
    <row r="514" spans="1:24" x14ac:dyDescent="0.25">
      <c r="A514" s="1" t="s">
        <v>452</v>
      </c>
      <c r="B514" s="2" t="s">
        <v>800</v>
      </c>
      <c r="C514" s="5">
        <v>36</v>
      </c>
      <c r="D514" s="1" t="s">
        <v>26</v>
      </c>
      <c r="E514" s="1" t="s">
        <v>33</v>
      </c>
      <c r="F514" s="1" t="s">
        <v>51</v>
      </c>
      <c r="G514" s="1">
        <f>YEAR(Table1[[#This Row],[Application_Date]])</f>
        <v>2025</v>
      </c>
      <c r="H514" s="1" t="str">
        <f>TEXT(Table1[[#This Row],[EMI_payment_date]],"mmmm")</f>
        <v>September</v>
      </c>
      <c r="I514" s="3">
        <v>45894</v>
      </c>
      <c r="J514" s="3">
        <f>EDATE(Table1[[#This Row],[Application_Date]],1)</f>
        <v>45925</v>
      </c>
      <c r="K514" s="9">
        <v>5688000</v>
      </c>
      <c r="L514" s="9">
        <f>Table1[[#This Row],[Annual_Income]]/12</f>
        <v>474000</v>
      </c>
      <c r="M514" s="9">
        <v>5888000</v>
      </c>
      <c r="N514" s="5">
        <f ca="1">DATEDIF(Table1[[#This Row],[EMI_payment_date]],TODAY(),"m")</f>
        <v>10</v>
      </c>
      <c r="O514" s="9">
        <f>11*Table1[[#This Row],[monthly_EMI]]</f>
        <v>1564200</v>
      </c>
      <c r="P514" s="1">
        <v>9.81</v>
      </c>
      <c r="Q514" s="9">
        <f>Table1[[#This Row],[monthly_income]]*30%</f>
        <v>142200</v>
      </c>
      <c r="R514" s="1">
        <f>ROUNDUP(NPER(P514/100/12,-Q514,Table1[[#This Row],[Loan_Amount]]),0)</f>
        <v>51</v>
      </c>
      <c r="S514" s="1">
        <v>770</v>
      </c>
      <c r="T514" s="1" t="s">
        <v>37</v>
      </c>
      <c r="U514" s="1" t="str">
        <f>IF(Table1[[#This Row],[Repayment_Status]]="late","bad loan","good loan")</f>
        <v>bad loan</v>
      </c>
      <c r="V514" s="1" t="str">
        <f>IF(Table1[[#This Row],[Repayment_Status]]="late","high","low")</f>
        <v>high</v>
      </c>
      <c r="W514" s="1">
        <f>(Table1[[#This Row],[monthly_EMI]]/Table1[[#This Row],[monthly_income]])*100</f>
        <v>30</v>
      </c>
      <c r="X514" s="7">
        <v>9909.8700000000008</v>
      </c>
    </row>
    <row r="515" spans="1:24" x14ac:dyDescent="0.25">
      <c r="A515" s="1" t="s">
        <v>347</v>
      </c>
      <c r="B515" s="2" t="s">
        <v>838</v>
      </c>
      <c r="C515" s="5">
        <v>31</v>
      </c>
      <c r="D515" s="1" t="s">
        <v>26</v>
      </c>
      <c r="E515" s="1" t="s">
        <v>29</v>
      </c>
      <c r="F515" s="1" t="s">
        <v>31</v>
      </c>
      <c r="G515" s="1">
        <f>YEAR(Table1[[#This Row],[Application_Date]])</f>
        <v>2025</v>
      </c>
      <c r="H515" s="1" t="str">
        <f>TEXT(Table1[[#This Row],[EMI_payment_date]],"mmmm")</f>
        <v>September</v>
      </c>
      <c r="I515" s="3">
        <v>45895</v>
      </c>
      <c r="J515" s="3">
        <f>EDATE(Table1[[#This Row],[Application_Date]],1)</f>
        <v>45926</v>
      </c>
      <c r="K515" s="9">
        <v>4428000</v>
      </c>
      <c r="L515" s="9">
        <f>Table1[[#This Row],[Annual_Income]]/12</f>
        <v>369000</v>
      </c>
      <c r="M515" s="9">
        <v>4628000</v>
      </c>
      <c r="N515" s="5">
        <f ca="1">DATEDIF(Table1[[#This Row],[EMI_payment_date]],TODAY(),"m")</f>
        <v>10</v>
      </c>
      <c r="O515" s="9">
        <f>11*Table1[[#This Row],[monthly_EMI]]</f>
        <v>1217700</v>
      </c>
      <c r="P515" s="1">
        <v>7.91</v>
      </c>
      <c r="Q515" s="9">
        <f>Table1[[#This Row],[monthly_income]]*30%</f>
        <v>110700</v>
      </c>
      <c r="R515" s="1">
        <f>ROUNDUP(NPER(P515/100/12,-Q515,Table1[[#This Row],[Loan_Amount]]),0)</f>
        <v>50</v>
      </c>
      <c r="S515" s="1">
        <v>607</v>
      </c>
      <c r="T515" s="1" t="s">
        <v>37</v>
      </c>
      <c r="U515" s="1" t="str">
        <f>IF(Table1[[#This Row],[Repayment_Status]]="late","bad loan","good loan")</f>
        <v>bad loan</v>
      </c>
      <c r="V515" s="1" t="str">
        <f>IF(Table1[[#This Row],[Repayment_Status]]="late","high","low")</f>
        <v>high</v>
      </c>
      <c r="W515" s="1">
        <f>(Table1[[#This Row],[monthly_EMI]]/Table1[[#This Row],[monthly_income]])*100</f>
        <v>30</v>
      </c>
      <c r="X515" s="7">
        <v>7850.79</v>
      </c>
    </row>
    <row r="516" spans="1:24" x14ac:dyDescent="0.25">
      <c r="A516" s="1" t="s">
        <v>600</v>
      </c>
      <c r="B516" s="2" t="s">
        <v>915</v>
      </c>
      <c r="C516" s="5">
        <v>42</v>
      </c>
      <c r="D516" s="1" t="s">
        <v>26</v>
      </c>
      <c r="E516" s="1" t="s">
        <v>16</v>
      </c>
      <c r="F516" s="1" t="s">
        <v>51</v>
      </c>
      <c r="G516" s="1">
        <f>YEAR(Table1[[#This Row],[Application_Date]])</f>
        <v>2025</v>
      </c>
      <c r="H516" s="1" t="str">
        <f>TEXT(Table1[[#This Row],[EMI_payment_date]],"mmmm")</f>
        <v>September</v>
      </c>
      <c r="I516" s="3">
        <v>45896</v>
      </c>
      <c r="J516" s="3">
        <f>EDATE(Table1[[#This Row],[Application_Date]],1)</f>
        <v>45927</v>
      </c>
      <c r="K516" s="9">
        <v>7464000</v>
      </c>
      <c r="L516" s="9">
        <f>Table1[[#This Row],[Annual_Income]]/12</f>
        <v>622000</v>
      </c>
      <c r="M516" s="9">
        <v>7664000</v>
      </c>
      <c r="N516" s="5">
        <f ca="1">DATEDIF(Table1[[#This Row],[EMI_payment_date]],TODAY(),"m")</f>
        <v>10</v>
      </c>
      <c r="O516" s="9">
        <f>11*Table1[[#This Row],[monthly_EMI]]</f>
        <v>2052600</v>
      </c>
      <c r="P516" s="1">
        <v>8.5399999999999991</v>
      </c>
      <c r="Q516" s="9">
        <f>Table1[[#This Row],[monthly_income]]*30%</f>
        <v>186600</v>
      </c>
      <c r="R516" s="1">
        <f>ROUNDUP(NPER(P516/100/12,-Q516,Table1[[#This Row],[Loan_Amount]]),0)</f>
        <v>49</v>
      </c>
      <c r="S516" s="1">
        <v>646</v>
      </c>
      <c r="T516" s="1" t="s">
        <v>37</v>
      </c>
      <c r="U516" s="1" t="str">
        <f>IF(Table1[[#This Row],[Repayment_Status]]="late","bad loan","good loan")</f>
        <v>bad loan</v>
      </c>
      <c r="V516" s="1" t="str">
        <f>IF(Table1[[#This Row],[Repayment_Status]]="late","high","low")</f>
        <v>high</v>
      </c>
      <c r="W516" s="1">
        <f>(Table1[[#This Row],[monthly_EMI]]/Table1[[#This Row],[monthly_income]])*100</f>
        <v>30</v>
      </c>
      <c r="X516" s="7">
        <v>25057.93</v>
      </c>
    </row>
    <row r="517" spans="1:24" x14ac:dyDescent="0.25">
      <c r="A517" s="1" t="s">
        <v>25</v>
      </c>
      <c r="B517" s="2" t="s">
        <v>733</v>
      </c>
      <c r="C517" s="5">
        <v>40</v>
      </c>
      <c r="D517" s="1" t="s">
        <v>26</v>
      </c>
      <c r="E517" s="1" t="s">
        <v>27</v>
      </c>
      <c r="F517" s="1" t="s">
        <v>17</v>
      </c>
      <c r="G517" s="1">
        <f>YEAR(Table1[[#This Row],[Application_Date]])</f>
        <v>2025</v>
      </c>
      <c r="H517" s="1" t="str">
        <f>TEXT(Table1[[#This Row],[EMI_payment_date]],"mmmm")</f>
        <v>September</v>
      </c>
      <c r="I517" s="3">
        <v>45897</v>
      </c>
      <c r="J517" s="3">
        <f>EDATE(Table1[[#This Row],[Application_Date]],1)</f>
        <v>45928</v>
      </c>
      <c r="K517" s="9">
        <v>648000</v>
      </c>
      <c r="L517" s="9">
        <f>Table1[[#This Row],[Annual_Income]]/12</f>
        <v>54000</v>
      </c>
      <c r="M517" s="9">
        <v>848000</v>
      </c>
      <c r="N517" s="5">
        <f ca="1">DATEDIF(Table1[[#This Row],[EMI_payment_date]],TODAY(),"m")</f>
        <v>10</v>
      </c>
      <c r="O517" s="9">
        <f>11*Table1[[#This Row],[monthly_EMI]]</f>
        <v>178200</v>
      </c>
      <c r="P517" s="1">
        <v>8.25</v>
      </c>
      <c r="Q517" s="9">
        <f>Table1[[#This Row],[monthly_income]]*30%</f>
        <v>16200</v>
      </c>
      <c r="R517" s="1">
        <f>ROUNDUP(NPER(P517/100/12,-Q517,Table1[[#This Row],[Loan_Amount]]),0)</f>
        <v>66</v>
      </c>
      <c r="S517" s="1">
        <v>829</v>
      </c>
      <c r="T517" s="1" t="s">
        <v>20</v>
      </c>
      <c r="U517" s="1" t="str">
        <f>IF(Table1[[#This Row],[Repayment_Status]]="late","bad loan","good loan")</f>
        <v>good loan</v>
      </c>
      <c r="V517" s="1" t="str">
        <f>IF(Table1[[#This Row],[Repayment_Status]]="late","high","low")</f>
        <v>low</v>
      </c>
      <c r="W517" s="1">
        <f>(Table1[[#This Row],[monthly_EMI]]/Table1[[#This Row],[monthly_income]])*100</f>
        <v>30</v>
      </c>
      <c r="X517" s="7">
        <v>10416.66</v>
      </c>
    </row>
    <row r="518" spans="1:24" x14ac:dyDescent="0.25">
      <c r="A518" s="1" t="s">
        <v>227</v>
      </c>
      <c r="B518" s="2" t="s">
        <v>817</v>
      </c>
      <c r="C518" s="5">
        <v>27</v>
      </c>
      <c r="D518" s="1" t="s">
        <v>15</v>
      </c>
      <c r="E518" s="1" t="s">
        <v>24</v>
      </c>
      <c r="F518" s="1" t="s">
        <v>31</v>
      </c>
      <c r="G518" s="1">
        <f>YEAR(Table1[[#This Row],[Application_Date]])</f>
        <v>2025</v>
      </c>
      <c r="H518" s="1" t="str">
        <f>TEXT(Table1[[#This Row],[EMI_payment_date]],"mmmm")</f>
        <v>September</v>
      </c>
      <c r="I518" s="3">
        <v>45898</v>
      </c>
      <c r="J518" s="3">
        <f>EDATE(Table1[[#This Row],[Application_Date]],1)</f>
        <v>45929</v>
      </c>
      <c r="K518" s="9">
        <v>2988000</v>
      </c>
      <c r="L518" s="9">
        <f>Table1[[#This Row],[Annual_Income]]/12</f>
        <v>249000</v>
      </c>
      <c r="M518" s="9">
        <v>3188000</v>
      </c>
      <c r="N518" s="5">
        <f ca="1">DATEDIF(Table1[[#This Row],[EMI_payment_date]],TODAY(),"m")</f>
        <v>10</v>
      </c>
      <c r="O518" s="9">
        <f>11*Table1[[#This Row],[monthly_EMI]]</f>
        <v>821700</v>
      </c>
      <c r="P518" s="1">
        <v>5.09</v>
      </c>
      <c r="Q518" s="9">
        <f>Table1[[#This Row],[monthly_income]]*30%</f>
        <v>74700</v>
      </c>
      <c r="R518" s="1">
        <f>ROUNDUP(NPER(P518/100/12,-Q518,Table1[[#This Row],[Loan_Amount]]),0)</f>
        <v>48</v>
      </c>
      <c r="S518" s="1">
        <v>622</v>
      </c>
      <c r="T518" s="1" t="s">
        <v>20</v>
      </c>
      <c r="U518" s="1" t="str">
        <f>IF(Table1[[#This Row],[Repayment_Status]]="late","bad loan","good loan")</f>
        <v>good loan</v>
      </c>
      <c r="V518" s="1" t="str">
        <f>IF(Table1[[#This Row],[Repayment_Status]]="late","high","low")</f>
        <v>low</v>
      </c>
      <c r="W518" s="1">
        <f>(Table1[[#This Row],[monthly_EMI]]/Table1[[#This Row],[monthly_income]])*100</f>
        <v>30</v>
      </c>
      <c r="X518" s="7">
        <v>6740.22</v>
      </c>
    </row>
    <row r="519" spans="1:24" x14ac:dyDescent="0.25">
      <c r="A519" s="1" t="s">
        <v>682</v>
      </c>
      <c r="B519" s="2" t="s">
        <v>894</v>
      </c>
      <c r="C519" s="5">
        <v>44</v>
      </c>
      <c r="D519" s="1" t="s">
        <v>15</v>
      </c>
      <c r="E519" s="1" t="s">
        <v>24</v>
      </c>
      <c r="F519" s="1" t="s">
        <v>31</v>
      </c>
      <c r="G519" s="1">
        <f>YEAR(Table1[[#This Row],[Application_Date]])</f>
        <v>2025</v>
      </c>
      <c r="H519" s="1" t="str">
        <f>TEXT(Table1[[#This Row],[EMI_payment_date]],"mmmm")</f>
        <v>September</v>
      </c>
      <c r="I519" s="3">
        <v>45899</v>
      </c>
      <c r="J519" s="3">
        <f>EDATE(Table1[[#This Row],[Application_Date]],1)</f>
        <v>45930</v>
      </c>
      <c r="K519" s="9">
        <v>8448000</v>
      </c>
      <c r="L519" s="9">
        <f>Table1[[#This Row],[Annual_Income]]/12</f>
        <v>704000</v>
      </c>
      <c r="M519" s="9">
        <v>8648000</v>
      </c>
      <c r="N519" s="5">
        <f ca="1">DATEDIF(Table1[[#This Row],[EMI_payment_date]],TODAY(),"m")</f>
        <v>10</v>
      </c>
      <c r="O519" s="9">
        <f>11*Table1[[#This Row],[monthly_EMI]]</f>
        <v>2323200</v>
      </c>
      <c r="P519" s="1">
        <v>7.06</v>
      </c>
      <c r="Q519" s="9">
        <f>Table1[[#This Row],[monthly_income]]*30%</f>
        <v>211200</v>
      </c>
      <c r="R519" s="1">
        <f>ROUNDUP(NPER(P519/100/12,-Q519,Table1[[#This Row],[Loan_Amount]]),0)</f>
        <v>47</v>
      </c>
      <c r="S519" s="1">
        <v>655</v>
      </c>
      <c r="T519" s="1" t="s">
        <v>37</v>
      </c>
      <c r="U519" s="1" t="str">
        <f>IF(Table1[[#This Row],[Repayment_Status]]="late","bad loan","good loan")</f>
        <v>bad loan</v>
      </c>
      <c r="V519" s="1" t="str">
        <f>IF(Table1[[#This Row],[Repayment_Status]]="late","high","low")</f>
        <v>high</v>
      </c>
      <c r="W519" s="1">
        <f>(Table1[[#This Row],[monthly_EMI]]/Table1[[#This Row],[monthly_income]])*100</f>
        <v>30</v>
      </c>
      <c r="X519" s="7">
        <v>8977.48</v>
      </c>
    </row>
    <row r="520" spans="1:24" x14ac:dyDescent="0.25">
      <c r="A520" s="1" t="s">
        <v>440</v>
      </c>
      <c r="B520" s="2" t="s">
        <v>775</v>
      </c>
      <c r="C520" s="5">
        <v>44</v>
      </c>
      <c r="D520" s="1" t="s">
        <v>15</v>
      </c>
      <c r="E520" s="1" t="s">
        <v>24</v>
      </c>
      <c r="F520" s="1" t="s">
        <v>22</v>
      </c>
      <c r="G520" s="1">
        <f>YEAR(Table1[[#This Row],[Application_Date]])</f>
        <v>2025</v>
      </c>
      <c r="H520" s="1" t="str">
        <f>TEXT(Table1[[#This Row],[EMI_payment_date]],"mmmm")</f>
        <v>September</v>
      </c>
      <c r="I520" s="3">
        <v>45900</v>
      </c>
      <c r="J520" s="3">
        <f>EDATE(Table1[[#This Row],[Application_Date]],1)</f>
        <v>45930</v>
      </c>
      <c r="K520" s="9">
        <v>5544000</v>
      </c>
      <c r="L520" s="9">
        <f>Table1[[#This Row],[Annual_Income]]/12</f>
        <v>462000</v>
      </c>
      <c r="M520" s="9">
        <v>5744000</v>
      </c>
      <c r="N520" s="5">
        <f ca="1">DATEDIF(Table1[[#This Row],[EMI_payment_date]],TODAY(),"m")</f>
        <v>10</v>
      </c>
      <c r="O520" s="9">
        <f>11*Table1[[#This Row],[monthly_EMI]]</f>
        <v>1524600</v>
      </c>
      <c r="P520" s="1">
        <v>7.56</v>
      </c>
      <c r="Q520" s="9">
        <f>Table1[[#This Row],[monthly_income]]*30%</f>
        <v>138600</v>
      </c>
      <c r="R520" s="1">
        <f>ROUNDUP(NPER(P520/100/12,-Q520,Table1[[#This Row],[Loan_Amount]]),0)</f>
        <v>49</v>
      </c>
      <c r="S520" s="1">
        <v>747</v>
      </c>
      <c r="T520" s="1" t="s">
        <v>20</v>
      </c>
      <c r="U520" s="1" t="str">
        <f>IF(Table1[[#This Row],[Repayment_Status]]="late","bad loan","good loan")</f>
        <v>good loan</v>
      </c>
      <c r="V520" s="1" t="str">
        <f>IF(Table1[[#This Row],[Repayment_Status]]="late","high","low")</f>
        <v>low</v>
      </c>
      <c r="W520" s="1">
        <f>(Table1[[#This Row],[monthly_EMI]]/Table1[[#This Row],[monthly_income]])*100</f>
        <v>30</v>
      </c>
      <c r="X520" s="7">
        <v>18964.14</v>
      </c>
    </row>
    <row r="521" spans="1:24" x14ac:dyDescent="0.25">
      <c r="A521" s="1" t="s">
        <v>283</v>
      </c>
      <c r="B521" s="2" t="s">
        <v>877</v>
      </c>
      <c r="C521" s="5">
        <v>29</v>
      </c>
      <c r="D521" s="1" t="s">
        <v>15</v>
      </c>
      <c r="E521" s="1" t="s">
        <v>36</v>
      </c>
      <c r="F521" s="1" t="s">
        <v>51</v>
      </c>
      <c r="G521" s="1">
        <f>YEAR(Table1[[#This Row],[Application_Date]])</f>
        <v>2025</v>
      </c>
      <c r="H521" s="1" t="str">
        <f>TEXT(Table1[[#This Row],[EMI_payment_date]],"mmmm")</f>
        <v>October</v>
      </c>
      <c r="I521" s="3">
        <v>45901</v>
      </c>
      <c r="J521" s="3">
        <f>EDATE(Table1[[#This Row],[Application_Date]],1)</f>
        <v>45931</v>
      </c>
      <c r="K521" s="9">
        <v>3660000</v>
      </c>
      <c r="L521" s="9">
        <f>Table1[[#This Row],[Annual_Income]]/12</f>
        <v>305000</v>
      </c>
      <c r="M521" s="9">
        <v>3860000</v>
      </c>
      <c r="N521" s="5">
        <f ca="1">DATEDIF(Table1[[#This Row],[EMI_payment_date]],TODAY(),"m")</f>
        <v>9</v>
      </c>
      <c r="O521" s="9">
        <f>10*Table1[[#This Row],[monthly_EMI]]</f>
        <v>915000</v>
      </c>
      <c r="P521" s="1">
        <v>7.48</v>
      </c>
      <c r="Q521" s="9">
        <f>Table1[[#This Row],[monthly_income]]*30%</f>
        <v>91500</v>
      </c>
      <c r="R521" s="1">
        <f>ROUNDUP(NPER(P521/100/12,-Q521,Table1[[#This Row],[Loan_Amount]]),0)</f>
        <v>50</v>
      </c>
      <c r="S521" s="1">
        <v>607</v>
      </c>
      <c r="T521" s="1" t="s">
        <v>20</v>
      </c>
      <c r="U521" s="1" t="str">
        <f>IF(Table1[[#This Row],[Repayment_Status]]="late","bad loan","good loan")</f>
        <v>good loan</v>
      </c>
      <c r="V521" s="1" t="str">
        <f>IF(Table1[[#This Row],[Repayment_Status]]="late","high","low")</f>
        <v>low</v>
      </c>
      <c r="W521" s="1">
        <f>(Table1[[#This Row],[monthly_EMI]]/Table1[[#This Row],[monthly_income]])*100</f>
        <v>30</v>
      </c>
      <c r="X521" s="7">
        <v>11996.04</v>
      </c>
    </row>
    <row r="522" spans="1:24" x14ac:dyDescent="0.25">
      <c r="A522" s="1" t="s">
        <v>299</v>
      </c>
      <c r="B522" s="2" t="s">
        <v>799</v>
      </c>
      <c r="C522" s="5">
        <v>25</v>
      </c>
      <c r="D522" s="1" t="s">
        <v>15</v>
      </c>
      <c r="E522" s="1" t="s">
        <v>27</v>
      </c>
      <c r="F522" s="1" t="s">
        <v>19</v>
      </c>
      <c r="G522" s="1">
        <f>YEAR(Table1[[#This Row],[Application_Date]])</f>
        <v>2025</v>
      </c>
      <c r="H522" s="1" t="str">
        <f>TEXT(Table1[[#This Row],[EMI_payment_date]],"mmmm")</f>
        <v>October</v>
      </c>
      <c r="I522" s="3">
        <v>45902</v>
      </c>
      <c r="J522" s="3">
        <f>EDATE(Table1[[#This Row],[Application_Date]],1)</f>
        <v>45932</v>
      </c>
      <c r="K522" s="9">
        <v>3852000</v>
      </c>
      <c r="L522" s="9">
        <f>Table1[[#This Row],[Annual_Income]]/12</f>
        <v>321000</v>
      </c>
      <c r="M522" s="9">
        <v>4052000</v>
      </c>
      <c r="N522" s="5">
        <f ca="1">DATEDIF(Table1[[#This Row],[EMI_payment_date]],TODAY(),"m")</f>
        <v>9</v>
      </c>
      <c r="O522" s="9">
        <f>10*Table1[[#This Row],[monthly_EMI]]</f>
        <v>963000</v>
      </c>
      <c r="P522" s="1">
        <v>9.26</v>
      </c>
      <c r="Q522" s="9">
        <f>Table1[[#This Row],[monthly_income]]*30%</f>
        <v>96300</v>
      </c>
      <c r="R522" s="1">
        <f>ROUNDUP(NPER(P522/100/12,-Q522,Table1[[#This Row],[Loan_Amount]]),0)</f>
        <v>52</v>
      </c>
      <c r="S522" s="1">
        <v>682</v>
      </c>
      <c r="T522" s="1" t="s">
        <v>37</v>
      </c>
      <c r="U522" s="1" t="str">
        <f>IF(Table1[[#This Row],[Repayment_Status]]="late","bad loan","good loan")</f>
        <v>bad loan</v>
      </c>
      <c r="V522" s="1" t="str">
        <f>IF(Table1[[#This Row],[Repayment_Status]]="late","high","low")</f>
        <v>high</v>
      </c>
      <c r="W522" s="1">
        <f>(Table1[[#This Row],[monthly_EMI]]/Table1[[#This Row],[monthly_income]])*100</f>
        <v>30</v>
      </c>
      <c r="X522" s="7">
        <v>35527.550000000003</v>
      </c>
    </row>
    <row r="523" spans="1:24" x14ac:dyDescent="0.25">
      <c r="A523" s="1" t="s">
        <v>207</v>
      </c>
      <c r="B523" s="2" t="s">
        <v>785</v>
      </c>
      <c r="C523" s="5">
        <v>39</v>
      </c>
      <c r="D523" s="1" t="s">
        <v>15</v>
      </c>
      <c r="E523" s="1" t="s">
        <v>27</v>
      </c>
      <c r="F523" s="1" t="s">
        <v>19</v>
      </c>
      <c r="G523" s="1">
        <f>YEAR(Table1[[#This Row],[Application_Date]])</f>
        <v>2025</v>
      </c>
      <c r="H523" s="1" t="str">
        <f>TEXT(Table1[[#This Row],[EMI_payment_date]],"mmmm")</f>
        <v>October</v>
      </c>
      <c r="I523" s="3">
        <v>45903</v>
      </c>
      <c r="J523" s="3">
        <f>EDATE(Table1[[#This Row],[Application_Date]],1)</f>
        <v>45933</v>
      </c>
      <c r="K523" s="9">
        <v>2748000</v>
      </c>
      <c r="L523" s="9">
        <f>Table1[[#This Row],[Annual_Income]]/12</f>
        <v>229000</v>
      </c>
      <c r="M523" s="9">
        <v>2948000</v>
      </c>
      <c r="N523" s="5">
        <f ca="1">DATEDIF(Table1[[#This Row],[EMI_payment_date]],TODAY(),"m")</f>
        <v>9</v>
      </c>
      <c r="O523" s="9">
        <f>10*Table1[[#This Row],[monthly_EMI]]</f>
        <v>687000</v>
      </c>
      <c r="P523" s="1">
        <v>9.68</v>
      </c>
      <c r="Q523" s="9">
        <f>Table1[[#This Row],[monthly_income]]*30%</f>
        <v>68700</v>
      </c>
      <c r="R523" s="1">
        <f>ROUNDUP(NPER(P523/100/12,-Q523,Table1[[#This Row],[Loan_Amount]]),0)</f>
        <v>53</v>
      </c>
      <c r="S523" s="1">
        <v>673</v>
      </c>
      <c r="T523" s="1" t="s">
        <v>20</v>
      </c>
      <c r="U523" s="1" t="str">
        <f>IF(Table1[[#This Row],[Repayment_Status]]="late","bad loan","good loan")</f>
        <v>good loan</v>
      </c>
      <c r="V523" s="1" t="str">
        <f>IF(Table1[[#This Row],[Repayment_Status]]="late","high","low")</f>
        <v>low</v>
      </c>
      <c r="W523" s="1">
        <f>(Table1[[#This Row],[monthly_EMI]]/Table1[[#This Row],[monthly_income]])*100</f>
        <v>30</v>
      </c>
      <c r="X523" s="7">
        <v>45831.14</v>
      </c>
    </row>
    <row r="524" spans="1:24" x14ac:dyDescent="0.25">
      <c r="A524" s="1" t="s">
        <v>378</v>
      </c>
      <c r="B524" s="2" t="s">
        <v>834</v>
      </c>
      <c r="C524" s="5">
        <v>28</v>
      </c>
      <c r="D524" s="1" t="s">
        <v>15</v>
      </c>
      <c r="E524" s="1" t="s">
        <v>33</v>
      </c>
      <c r="F524" s="1" t="s">
        <v>22</v>
      </c>
      <c r="G524" s="1">
        <f>YEAR(Table1[[#This Row],[Application_Date]])</f>
        <v>2025</v>
      </c>
      <c r="H524" s="1" t="str">
        <f>TEXT(Table1[[#This Row],[EMI_payment_date]],"mmmm")</f>
        <v>October</v>
      </c>
      <c r="I524" s="3">
        <v>45904</v>
      </c>
      <c r="J524" s="3">
        <f>EDATE(Table1[[#This Row],[Application_Date]],1)</f>
        <v>45934</v>
      </c>
      <c r="K524" s="9">
        <v>4800000</v>
      </c>
      <c r="L524" s="9">
        <f>Table1[[#This Row],[Annual_Income]]/12</f>
        <v>400000</v>
      </c>
      <c r="M524" s="9">
        <v>5000000</v>
      </c>
      <c r="N524" s="5">
        <f ca="1">DATEDIF(Table1[[#This Row],[EMI_payment_date]],TODAY(),"m")</f>
        <v>9</v>
      </c>
      <c r="O524" s="9">
        <f>10*Table1[[#This Row],[monthly_EMI]]</f>
        <v>1200000</v>
      </c>
      <c r="P524" s="1">
        <v>5.6</v>
      </c>
      <c r="Q524" s="9">
        <f>Table1[[#This Row],[monthly_income]]*30%</f>
        <v>120000</v>
      </c>
      <c r="R524" s="1">
        <f>ROUNDUP(NPER(P524/100/12,-Q524,Table1[[#This Row],[Loan_Amount]]),0)</f>
        <v>47</v>
      </c>
      <c r="S524" s="1">
        <v>789</v>
      </c>
      <c r="T524" s="1" t="s">
        <v>20</v>
      </c>
      <c r="U524" s="1" t="str">
        <f>IF(Table1[[#This Row],[Repayment_Status]]="late","bad loan","good loan")</f>
        <v>good loan</v>
      </c>
      <c r="V524" s="1" t="str">
        <f>IF(Table1[[#This Row],[Repayment_Status]]="late","high","low")</f>
        <v>low</v>
      </c>
      <c r="W524" s="1">
        <f>(Table1[[#This Row],[monthly_EMI]]/Table1[[#This Row],[monthly_income]])*100</f>
        <v>30</v>
      </c>
      <c r="X524" s="7">
        <v>21174.92</v>
      </c>
    </row>
    <row r="525" spans="1:24" x14ac:dyDescent="0.25">
      <c r="A525" s="1" t="s">
        <v>705</v>
      </c>
      <c r="B525" s="2" t="s">
        <v>822</v>
      </c>
      <c r="C525" s="5">
        <v>58</v>
      </c>
      <c r="D525" s="1" t="s">
        <v>15</v>
      </c>
      <c r="E525" s="1" t="s">
        <v>33</v>
      </c>
      <c r="F525" s="1" t="s">
        <v>22</v>
      </c>
      <c r="G525" s="1">
        <f>YEAR(Table1[[#This Row],[Application_Date]])</f>
        <v>2025</v>
      </c>
      <c r="H525" s="1" t="str">
        <f>TEXT(Table1[[#This Row],[EMI_payment_date]],"mmmm")</f>
        <v>October</v>
      </c>
      <c r="I525" s="3">
        <v>45905</v>
      </c>
      <c r="J525" s="3">
        <f>EDATE(Table1[[#This Row],[Application_Date]],1)</f>
        <v>45935</v>
      </c>
      <c r="K525" s="9">
        <v>8724000</v>
      </c>
      <c r="L525" s="9">
        <f>Table1[[#This Row],[Annual_Income]]/12</f>
        <v>727000</v>
      </c>
      <c r="M525" s="9">
        <v>8924000</v>
      </c>
      <c r="N525" s="5">
        <f ca="1">DATEDIF(Table1[[#This Row],[EMI_payment_date]],TODAY(),"m")</f>
        <v>9</v>
      </c>
      <c r="O525" s="9">
        <f>10*Table1[[#This Row],[monthly_EMI]]</f>
        <v>2181000</v>
      </c>
      <c r="P525" s="1">
        <v>8.24</v>
      </c>
      <c r="Q525" s="9">
        <f>Table1[[#This Row],[monthly_income]]*30%</f>
        <v>218100</v>
      </c>
      <c r="R525" s="1">
        <f>ROUNDUP(NPER(P525/100/12,-Q525,Table1[[#This Row],[Loan_Amount]]),0)</f>
        <v>49</v>
      </c>
      <c r="S525" s="1">
        <v>634</v>
      </c>
      <c r="T525" s="1" t="s">
        <v>20</v>
      </c>
      <c r="U525" s="1" t="str">
        <f>IF(Table1[[#This Row],[Repayment_Status]]="late","bad loan","good loan")</f>
        <v>good loan</v>
      </c>
      <c r="V525" s="1" t="str">
        <f>IF(Table1[[#This Row],[Repayment_Status]]="late","high","low")</f>
        <v>low</v>
      </c>
      <c r="W525" s="1">
        <f>(Table1[[#This Row],[monthly_EMI]]/Table1[[#This Row],[monthly_income]])*100</f>
        <v>30</v>
      </c>
      <c r="X525" s="7">
        <v>21219.91</v>
      </c>
    </row>
    <row r="526" spans="1:24" x14ac:dyDescent="0.25">
      <c r="A526" s="1" t="s">
        <v>160</v>
      </c>
      <c r="B526" s="2" t="s">
        <v>738</v>
      </c>
      <c r="C526" s="5">
        <v>50</v>
      </c>
      <c r="D526" s="1" t="s">
        <v>15</v>
      </c>
      <c r="E526" s="1" t="s">
        <v>36</v>
      </c>
      <c r="F526" s="1" t="s">
        <v>17</v>
      </c>
      <c r="G526" s="1">
        <f>YEAR(Table1[[#This Row],[Application_Date]])</f>
        <v>2025</v>
      </c>
      <c r="H526" s="1" t="str">
        <f>TEXT(Table1[[#This Row],[EMI_payment_date]],"mmmm")</f>
        <v>October</v>
      </c>
      <c r="I526" s="3">
        <v>45906</v>
      </c>
      <c r="J526" s="3">
        <f>EDATE(Table1[[#This Row],[Application_Date]],1)</f>
        <v>45936</v>
      </c>
      <c r="K526" s="9">
        <v>2184000</v>
      </c>
      <c r="L526" s="9">
        <f>Table1[[#This Row],[Annual_Income]]/12</f>
        <v>182000</v>
      </c>
      <c r="M526" s="9">
        <v>2384000</v>
      </c>
      <c r="N526" s="5">
        <f ca="1">DATEDIF(Table1[[#This Row],[EMI_payment_date]],TODAY(),"m")</f>
        <v>9</v>
      </c>
      <c r="O526" s="9">
        <f>10*Table1[[#This Row],[monthly_EMI]]</f>
        <v>546000</v>
      </c>
      <c r="P526" s="1">
        <v>6.39</v>
      </c>
      <c r="Q526" s="9">
        <f>Table1[[#This Row],[monthly_income]]*30%</f>
        <v>54600</v>
      </c>
      <c r="R526" s="1">
        <f>ROUNDUP(NPER(P526/100/12,-Q526,Table1[[#This Row],[Loan_Amount]]),0)</f>
        <v>50</v>
      </c>
      <c r="S526" s="1">
        <v>676</v>
      </c>
      <c r="T526" s="1" t="s">
        <v>20</v>
      </c>
      <c r="U526" s="1" t="str">
        <f>IF(Table1[[#This Row],[Repayment_Status]]="late","bad loan","good loan")</f>
        <v>good loan</v>
      </c>
      <c r="V526" s="1" t="str">
        <f>IF(Table1[[#This Row],[Repayment_Status]]="late","high","low")</f>
        <v>low</v>
      </c>
      <c r="W526" s="1">
        <f>(Table1[[#This Row],[monthly_EMI]]/Table1[[#This Row],[monthly_income]])*100</f>
        <v>30</v>
      </c>
      <c r="X526" s="7">
        <v>16313.99</v>
      </c>
    </row>
    <row r="527" spans="1:24" x14ac:dyDescent="0.25">
      <c r="A527" s="1" t="s">
        <v>211</v>
      </c>
      <c r="B527" s="2" t="s">
        <v>797</v>
      </c>
      <c r="C527" s="5">
        <v>36</v>
      </c>
      <c r="D527" s="1" t="s">
        <v>15</v>
      </c>
      <c r="E527" s="1" t="s">
        <v>29</v>
      </c>
      <c r="F527" s="1" t="s">
        <v>51</v>
      </c>
      <c r="G527" s="1">
        <f>YEAR(Table1[[#This Row],[Application_Date]])</f>
        <v>2025</v>
      </c>
      <c r="H527" s="1" t="str">
        <f>TEXT(Table1[[#This Row],[EMI_payment_date]],"mmmm")</f>
        <v>October</v>
      </c>
      <c r="I527" s="3">
        <v>45907</v>
      </c>
      <c r="J527" s="3">
        <f>EDATE(Table1[[#This Row],[Application_Date]],1)</f>
        <v>45937</v>
      </c>
      <c r="K527" s="9">
        <v>2796000</v>
      </c>
      <c r="L527" s="9">
        <f>Table1[[#This Row],[Annual_Income]]/12</f>
        <v>233000</v>
      </c>
      <c r="M527" s="9">
        <v>2996000</v>
      </c>
      <c r="N527" s="5">
        <f ca="1">DATEDIF(Table1[[#This Row],[EMI_payment_date]],TODAY(),"m")</f>
        <v>9</v>
      </c>
      <c r="O527" s="9">
        <f>10*Table1[[#This Row],[monthly_EMI]]</f>
        <v>699000</v>
      </c>
      <c r="P527" s="1">
        <v>6.05</v>
      </c>
      <c r="Q527" s="9">
        <f>Table1[[#This Row],[monthly_income]]*30%</f>
        <v>69900</v>
      </c>
      <c r="R527" s="1">
        <f>ROUNDUP(NPER(P527/100/12,-Q527,Table1[[#This Row],[Loan_Amount]]),0)</f>
        <v>49</v>
      </c>
      <c r="S527" s="1">
        <v>734</v>
      </c>
      <c r="T527" s="1" t="s">
        <v>37</v>
      </c>
      <c r="U527" s="1" t="str">
        <f>IF(Table1[[#This Row],[Repayment_Status]]="late","bad loan","good loan")</f>
        <v>bad loan</v>
      </c>
      <c r="V527" s="1" t="str">
        <f>IF(Table1[[#This Row],[Repayment_Status]]="late","high","low")</f>
        <v>high</v>
      </c>
      <c r="W527" s="1">
        <f>(Table1[[#This Row],[monthly_EMI]]/Table1[[#This Row],[monthly_income]])*100</f>
        <v>30</v>
      </c>
      <c r="X527" s="7">
        <v>12352.18</v>
      </c>
    </row>
    <row r="528" spans="1:24" x14ac:dyDescent="0.25">
      <c r="A528" s="1" t="s">
        <v>106</v>
      </c>
      <c r="B528" s="2" t="s">
        <v>795</v>
      </c>
      <c r="C528" s="5">
        <v>46</v>
      </c>
      <c r="D528" s="1" t="s">
        <v>26</v>
      </c>
      <c r="E528" s="1" t="s">
        <v>36</v>
      </c>
      <c r="F528" s="1" t="s">
        <v>31</v>
      </c>
      <c r="G528" s="1">
        <f>YEAR(Table1[[#This Row],[Application_Date]])</f>
        <v>2025</v>
      </c>
      <c r="H528" s="1" t="str">
        <f>TEXT(Table1[[#This Row],[EMI_payment_date]],"mmmm")</f>
        <v>October</v>
      </c>
      <c r="I528" s="3">
        <v>45908</v>
      </c>
      <c r="J528" s="3">
        <f>EDATE(Table1[[#This Row],[Application_Date]],1)</f>
        <v>45938</v>
      </c>
      <c r="K528" s="9">
        <v>1536000</v>
      </c>
      <c r="L528" s="9">
        <f>Table1[[#This Row],[Annual_Income]]/12</f>
        <v>128000</v>
      </c>
      <c r="M528" s="9">
        <v>1736000</v>
      </c>
      <c r="N528" s="5">
        <f ca="1">DATEDIF(Table1[[#This Row],[EMI_payment_date]],TODAY(),"m")</f>
        <v>9</v>
      </c>
      <c r="O528" s="9">
        <f>10*Table1[[#This Row],[monthly_EMI]]</f>
        <v>384000</v>
      </c>
      <c r="P528" s="1">
        <v>7.78</v>
      </c>
      <c r="Q528" s="9">
        <f>Table1[[#This Row],[monthly_income]]*30%</f>
        <v>38400</v>
      </c>
      <c r="R528" s="1">
        <f>ROUNDUP(NPER(P528/100/12,-Q528,Table1[[#This Row],[Loan_Amount]]),0)</f>
        <v>54</v>
      </c>
      <c r="S528" s="1">
        <v>758</v>
      </c>
      <c r="T528" s="1" t="s">
        <v>20</v>
      </c>
      <c r="U528" s="1" t="str">
        <f>IF(Table1[[#This Row],[Repayment_Status]]="late","bad loan","good loan")</f>
        <v>good loan</v>
      </c>
      <c r="V528" s="1" t="str">
        <f>IF(Table1[[#This Row],[Repayment_Status]]="late","high","low")</f>
        <v>low</v>
      </c>
      <c r="W528" s="1">
        <f>(Table1[[#This Row],[monthly_EMI]]/Table1[[#This Row],[monthly_income]])*100</f>
        <v>30</v>
      </c>
      <c r="X528" s="7">
        <v>21717.06</v>
      </c>
    </row>
    <row r="529" spans="1:24" x14ac:dyDescent="0.25">
      <c r="A529" s="1" t="s">
        <v>447</v>
      </c>
      <c r="B529" s="2" t="s">
        <v>904</v>
      </c>
      <c r="C529" s="5">
        <v>47</v>
      </c>
      <c r="D529" s="1" t="s">
        <v>15</v>
      </c>
      <c r="E529" s="1" t="s">
        <v>27</v>
      </c>
      <c r="F529" s="1" t="s">
        <v>19</v>
      </c>
      <c r="G529" s="1">
        <f>YEAR(Table1[[#This Row],[Application_Date]])</f>
        <v>2025</v>
      </c>
      <c r="H529" s="1" t="str">
        <f>TEXT(Table1[[#This Row],[EMI_payment_date]],"mmmm")</f>
        <v>October</v>
      </c>
      <c r="I529" s="3">
        <v>45909</v>
      </c>
      <c r="J529" s="3">
        <f>EDATE(Table1[[#This Row],[Application_Date]],1)</f>
        <v>45939</v>
      </c>
      <c r="K529" s="9">
        <v>5628000</v>
      </c>
      <c r="L529" s="9">
        <f>Table1[[#This Row],[Annual_Income]]/12</f>
        <v>469000</v>
      </c>
      <c r="M529" s="9">
        <v>5828000</v>
      </c>
      <c r="N529" s="5">
        <f ca="1">DATEDIF(Table1[[#This Row],[EMI_payment_date]],TODAY(),"m")</f>
        <v>9</v>
      </c>
      <c r="O529" s="9">
        <f>10*Table1[[#This Row],[monthly_EMI]]</f>
        <v>1407000</v>
      </c>
      <c r="P529" s="1">
        <v>8.91</v>
      </c>
      <c r="Q529" s="9">
        <f>Table1[[#This Row],[monthly_income]]*30%</f>
        <v>140700</v>
      </c>
      <c r="R529" s="1">
        <f>ROUNDUP(NPER(P529/100/12,-Q529,Table1[[#This Row],[Loan_Amount]]),0)</f>
        <v>50</v>
      </c>
      <c r="S529" s="1">
        <v>722</v>
      </c>
      <c r="T529" s="1" t="s">
        <v>37</v>
      </c>
      <c r="U529" s="1" t="str">
        <f>IF(Table1[[#This Row],[Repayment_Status]]="late","bad loan","good loan")</f>
        <v>bad loan</v>
      </c>
      <c r="V529" s="1" t="str">
        <f>IF(Table1[[#This Row],[Repayment_Status]]="late","high","low")</f>
        <v>high</v>
      </c>
      <c r="W529" s="1">
        <f>(Table1[[#This Row],[monthly_EMI]]/Table1[[#This Row],[monthly_income]])*100</f>
        <v>30</v>
      </c>
      <c r="X529" s="7">
        <v>24153.01</v>
      </c>
    </row>
    <row r="530" spans="1:24" x14ac:dyDescent="0.25">
      <c r="A530" s="1" t="s">
        <v>431</v>
      </c>
      <c r="B530" s="2" t="s">
        <v>891</v>
      </c>
      <c r="C530" s="5">
        <v>32</v>
      </c>
      <c r="D530" s="1" t="s">
        <v>15</v>
      </c>
      <c r="E530" s="1" t="s">
        <v>36</v>
      </c>
      <c r="F530" s="1" t="s">
        <v>19</v>
      </c>
      <c r="G530" s="1">
        <f>YEAR(Table1[[#This Row],[Application_Date]])</f>
        <v>2025</v>
      </c>
      <c r="H530" s="1" t="str">
        <f>TEXT(Table1[[#This Row],[EMI_payment_date]],"mmmm")</f>
        <v>October</v>
      </c>
      <c r="I530" s="3">
        <v>45910</v>
      </c>
      <c r="J530" s="3">
        <f>EDATE(Table1[[#This Row],[Application_Date]],1)</f>
        <v>45940</v>
      </c>
      <c r="K530" s="9">
        <v>5436000</v>
      </c>
      <c r="L530" s="9">
        <f>Table1[[#This Row],[Annual_Income]]/12</f>
        <v>453000</v>
      </c>
      <c r="M530" s="9">
        <v>5636000</v>
      </c>
      <c r="N530" s="5">
        <f ca="1">DATEDIF(Table1[[#This Row],[EMI_payment_date]],TODAY(),"m")</f>
        <v>9</v>
      </c>
      <c r="O530" s="9">
        <f>10*Table1[[#This Row],[monthly_EMI]]</f>
        <v>1359000</v>
      </c>
      <c r="P530" s="1">
        <v>6.48</v>
      </c>
      <c r="Q530" s="9">
        <f>Table1[[#This Row],[monthly_income]]*30%</f>
        <v>135900</v>
      </c>
      <c r="R530" s="1">
        <f>ROUNDUP(NPER(P530/100/12,-Q530,Table1[[#This Row],[Loan_Amount]]),0)</f>
        <v>48</v>
      </c>
      <c r="S530" s="1">
        <v>653</v>
      </c>
      <c r="T530" s="1" t="s">
        <v>20</v>
      </c>
      <c r="U530" s="1" t="str">
        <f>IF(Table1[[#This Row],[Repayment_Status]]="late","bad loan","good loan")</f>
        <v>good loan</v>
      </c>
      <c r="V530" s="1" t="str">
        <f>IF(Table1[[#This Row],[Repayment_Status]]="late","high","low")</f>
        <v>low</v>
      </c>
      <c r="W530" s="1">
        <f>(Table1[[#This Row],[monthly_EMI]]/Table1[[#This Row],[monthly_income]])*100</f>
        <v>30</v>
      </c>
      <c r="X530" s="7">
        <v>11854.71</v>
      </c>
    </row>
    <row r="531" spans="1:24" x14ac:dyDescent="0.25">
      <c r="A531" s="1" t="s">
        <v>662</v>
      </c>
      <c r="B531" s="2" t="s">
        <v>764</v>
      </c>
      <c r="C531" s="5">
        <v>46</v>
      </c>
      <c r="D531" s="1" t="s">
        <v>15</v>
      </c>
      <c r="E531" s="1" t="s">
        <v>29</v>
      </c>
      <c r="F531" s="1" t="s">
        <v>22</v>
      </c>
      <c r="G531" s="1">
        <f>YEAR(Table1[[#This Row],[Application_Date]])</f>
        <v>2025</v>
      </c>
      <c r="H531" s="1" t="str">
        <f>TEXT(Table1[[#This Row],[EMI_payment_date]],"mmmm")</f>
        <v>October</v>
      </c>
      <c r="I531" s="3">
        <v>45911</v>
      </c>
      <c r="J531" s="3">
        <f>EDATE(Table1[[#This Row],[Application_Date]],1)</f>
        <v>45941</v>
      </c>
      <c r="K531" s="9">
        <v>8208000</v>
      </c>
      <c r="L531" s="9">
        <f>Table1[[#This Row],[Annual_Income]]/12</f>
        <v>684000</v>
      </c>
      <c r="M531" s="9">
        <v>8408000</v>
      </c>
      <c r="N531" s="5">
        <f ca="1">DATEDIF(Table1[[#This Row],[EMI_payment_date]],TODAY(),"m")</f>
        <v>9</v>
      </c>
      <c r="O531" s="9">
        <f>10*Table1[[#This Row],[monthly_EMI]]</f>
        <v>2052000</v>
      </c>
      <c r="P531" s="1">
        <v>8.4</v>
      </c>
      <c r="Q531" s="9">
        <f>Table1[[#This Row],[monthly_income]]*30%</f>
        <v>205200</v>
      </c>
      <c r="R531" s="1">
        <f>ROUNDUP(NPER(P531/100/12,-Q531,Table1[[#This Row],[Loan_Amount]]),0)</f>
        <v>49</v>
      </c>
      <c r="S531" s="1">
        <v>720</v>
      </c>
      <c r="T531" s="1" t="s">
        <v>20</v>
      </c>
      <c r="U531" s="1" t="str">
        <f>IF(Table1[[#This Row],[Repayment_Status]]="late","bad loan","good loan")</f>
        <v>good loan</v>
      </c>
      <c r="V531" s="1" t="str">
        <f>IF(Table1[[#This Row],[Repayment_Status]]="late","high","low")</f>
        <v>low</v>
      </c>
      <c r="W531" s="1">
        <f>(Table1[[#This Row],[monthly_EMI]]/Table1[[#This Row],[monthly_income]])*100</f>
        <v>30</v>
      </c>
      <c r="X531" s="7">
        <v>13647.66</v>
      </c>
    </row>
    <row r="532" spans="1:24" x14ac:dyDescent="0.25">
      <c r="A532" s="1" t="s">
        <v>155</v>
      </c>
      <c r="B532" s="2" t="s">
        <v>826</v>
      </c>
      <c r="C532" s="5">
        <v>25</v>
      </c>
      <c r="D532" s="1" t="s">
        <v>15</v>
      </c>
      <c r="E532" s="1" t="s">
        <v>36</v>
      </c>
      <c r="F532" s="1" t="s">
        <v>19</v>
      </c>
      <c r="G532" s="1">
        <f>YEAR(Table1[[#This Row],[Application_Date]])</f>
        <v>2025</v>
      </c>
      <c r="H532" s="1" t="str">
        <f>TEXT(Table1[[#This Row],[EMI_payment_date]],"mmmm")</f>
        <v>October</v>
      </c>
      <c r="I532" s="3">
        <v>45912</v>
      </c>
      <c r="J532" s="3">
        <f>EDATE(Table1[[#This Row],[Application_Date]],1)</f>
        <v>45942</v>
      </c>
      <c r="K532" s="9">
        <v>2124000</v>
      </c>
      <c r="L532" s="9">
        <f>Table1[[#This Row],[Annual_Income]]/12</f>
        <v>177000</v>
      </c>
      <c r="M532" s="9">
        <v>2324000</v>
      </c>
      <c r="N532" s="5">
        <f ca="1">DATEDIF(Table1[[#This Row],[EMI_payment_date]],TODAY(),"m")</f>
        <v>9</v>
      </c>
      <c r="O532" s="9">
        <f>10*Table1[[#This Row],[monthly_EMI]]</f>
        <v>531000</v>
      </c>
      <c r="P532" s="1">
        <v>8.32</v>
      </c>
      <c r="Q532" s="9">
        <f>Table1[[#This Row],[monthly_income]]*30%</f>
        <v>53100</v>
      </c>
      <c r="R532" s="1">
        <f>ROUNDUP(NPER(P532/100/12,-Q532,Table1[[#This Row],[Loan_Amount]]),0)</f>
        <v>53</v>
      </c>
      <c r="S532" s="1">
        <v>657</v>
      </c>
      <c r="T532" s="1" t="s">
        <v>20</v>
      </c>
      <c r="U532" s="1" t="str">
        <f>IF(Table1[[#This Row],[Repayment_Status]]="late","bad loan","good loan")</f>
        <v>good loan</v>
      </c>
      <c r="V532" s="1" t="str">
        <f>IF(Table1[[#This Row],[Repayment_Status]]="late","high","low")</f>
        <v>low</v>
      </c>
      <c r="W532" s="1">
        <f>(Table1[[#This Row],[monthly_EMI]]/Table1[[#This Row],[monthly_income]])*100</f>
        <v>30</v>
      </c>
      <c r="X532" s="7">
        <v>16068.4</v>
      </c>
    </row>
    <row r="533" spans="1:24" x14ac:dyDescent="0.25">
      <c r="A533" s="1" t="s">
        <v>724</v>
      </c>
      <c r="B533" s="2" t="s">
        <v>812</v>
      </c>
      <c r="C533" s="5">
        <v>30</v>
      </c>
      <c r="D533" s="1" t="s">
        <v>15</v>
      </c>
      <c r="E533" s="1" t="s">
        <v>36</v>
      </c>
      <c r="F533" s="1" t="s">
        <v>51</v>
      </c>
      <c r="G533" s="1">
        <f>YEAR(Table1[[#This Row],[Application_Date]])</f>
        <v>2025</v>
      </c>
      <c r="H533" s="1" t="str">
        <f>TEXT(Table1[[#This Row],[EMI_payment_date]],"mmmm")</f>
        <v>October</v>
      </c>
      <c r="I533" s="3">
        <v>45913</v>
      </c>
      <c r="J533" s="3">
        <f>EDATE(Table1[[#This Row],[Application_Date]],1)</f>
        <v>45943</v>
      </c>
      <c r="K533" s="9">
        <v>8952000</v>
      </c>
      <c r="L533" s="9">
        <f>Table1[[#This Row],[Annual_Income]]/12</f>
        <v>746000</v>
      </c>
      <c r="M533" s="9">
        <v>9152000</v>
      </c>
      <c r="N533" s="5">
        <f ca="1">DATEDIF(Table1[[#This Row],[EMI_payment_date]],TODAY(),"m")</f>
        <v>9</v>
      </c>
      <c r="O533" s="9">
        <f>10*Table1[[#This Row],[monthly_EMI]]</f>
        <v>2238000</v>
      </c>
      <c r="P533" s="1">
        <v>9.9</v>
      </c>
      <c r="Q533" s="9">
        <f>Table1[[#This Row],[monthly_income]]*30%</f>
        <v>223800</v>
      </c>
      <c r="R533" s="1">
        <f>ROUNDUP(NPER(P533/100/12,-Q533,Table1[[#This Row],[Loan_Amount]]),0)</f>
        <v>51</v>
      </c>
      <c r="S533" s="1">
        <v>756</v>
      </c>
      <c r="T533" s="1" t="s">
        <v>37</v>
      </c>
      <c r="U533" s="1" t="str">
        <f>IF(Table1[[#This Row],[Repayment_Status]]="late","bad loan","good loan")</f>
        <v>bad loan</v>
      </c>
      <c r="V533" s="1" t="str">
        <f>IF(Table1[[#This Row],[Repayment_Status]]="late","high","low")</f>
        <v>high</v>
      </c>
      <c r="W533" s="1">
        <f>(Table1[[#This Row],[monthly_EMI]]/Table1[[#This Row],[monthly_income]])*100</f>
        <v>30</v>
      </c>
      <c r="X533" s="7">
        <v>32706.02</v>
      </c>
    </row>
    <row r="534" spans="1:24" x14ac:dyDescent="0.25">
      <c r="A534" s="1" t="s">
        <v>136</v>
      </c>
      <c r="B534" s="2" t="s">
        <v>814</v>
      </c>
      <c r="C534" s="5">
        <v>23</v>
      </c>
      <c r="D534" s="1" t="s">
        <v>26</v>
      </c>
      <c r="E534" s="1" t="s">
        <v>29</v>
      </c>
      <c r="F534" s="1" t="s">
        <v>51</v>
      </c>
      <c r="G534" s="1">
        <f>YEAR(Table1[[#This Row],[Application_Date]])</f>
        <v>2025</v>
      </c>
      <c r="H534" s="1" t="str">
        <f>TEXT(Table1[[#This Row],[EMI_payment_date]],"mmmm")</f>
        <v>October</v>
      </c>
      <c r="I534" s="3">
        <v>45914</v>
      </c>
      <c r="J534" s="3">
        <f>EDATE(Table1[[#This Row],[Application_Date]],1)</f>
        <v>45944</v>
      </c>
      <c r="K534" s="9">
        <v>1896000</v>
      </c>
      <c r="L534" s="9">
        <f>Table1[[#This Row],[Annual_Income]]/12</f>
        <v>158000</v>
      </c>
      <c r="M534" s="9">
        <v>2096000</v>
      </c>
      <c r="N534" s="5">
        <f ca="1">DATEDIF(Table1[[#This Row],[EMI_payment_date]],TODAY(),"m")</f>
        <v>9</v>
      </c>
      <c r="O534" s="9">
        <f>10*Table1[[#This Row],[monthly_EMI]]</f>
        <v>474000</v>
      </c>
      <c r="P534" s="1">
        <v>8.3000000000000007</v>
      </c>
      <c r="Q534" s="9">
        <f>Table1[[#This Row],[monthly_income]]*30%</f>
        <v>47400</v>
      </c>
      <c r="R534" s="1">
        <f>ROUNDUP(NPER(P534/100/12,-Q534,Table1[[#This Row],[Loan_Amount]]),0)</f>
        <v>53</v>
      </c>
      <c r="S534" s="1">
        <v>769</v>
      </c>
      <c r="T534" s="1" t="s">
        <v>20</v>
      </c>
      <c r="U534" s="1" t="str">
        <f>IF(Table1[[#This Row],[Repayment_Status]]="late","bad loan","good loan")</f>
        <v>good loan</v>
      </c>
      <c r="V534" s="1" t="str">
        <f>IF(Table1[[#This Row],[Repayment_Status]]="late","high","low")</f>
        <v>low</v>
      </c>
      <c r="W534" s="1">
        <f>(Table1[[#This Row],[monthly_EMI]]/Table1[[#This Row],[monthly_income]])*100</f>
        <v>30</v>
      </c>
      <c r="X534" s="7">
        <v>11142.75</v>
      </c>
    </row>
    <row r="535" spans="1:24" x14ac:dyDescent="0.25">
      <c r="A535" s="1" t="s">
        <v>189</v>
      </c>
      <c r="B535" s="2" t="s">
        <v>748</v>
      </c>
      <c r="C535" s="5">
        <v>32</v>
      </c>
      <c r="D535" s="1" t="s">
        <v>26</v>
      </c>
      <c r="E535" s="1" t="s">
        <v>27</v>
      </c>
      <c r="F535" s="1" t="s">
        <v>31</v>
      </c>
      <c r="G535" s="1">
        <f>YEAR(Table1[[#This Row],[Application_Date]])</f>
        <v>2025</v>
      </c>
      <c r="H535" s="1" t="str">
        <f>TEXT(Table1[[#This Row],[EMI_payment_date]],"mmmm")</f>
        <v>October</v>
      </c>
      <c r="I535" s="3">
        <v>45915</v>
      </c>
      <c r="J535" s="3">
        <f>EDATE(Table1[[#This Row],[Application_Date]],1)</f>
        <v>45945</v>
      </c>
      <c r="K535" s="9">
        <v>2532000</v>
      </c>
      <c r="L535" s="9">
        <f>Table1[[#This Row],[Annual_Income]]/12</f>
        <v>211000</v>
      </c>
      <c r="M535" s="9">
        <v>2732000</v>
      </c>
      <c r="N535" s="5">
        <f ca="1">DATEDIF(Table1[[#This Row],[EMI_payment_date]],TODAY(),"m")</f>
        <v>9</v>
      </c>
      <c r="O535" s="9">
        <f>10*Table1[[#This Row],[monthly_EMI]]</f>
        <v>633000</v>
      </c>
      <c r="P535" s="1">
        <v>6.1</v>
      </c>
      <c r="Q535" s="9">
        <f>Table1[[#This Row],[monthly_income]]*30%</f>
        <v>63300</v>
      </c>
      <c r="R535" s="1">
        <f>ROUNDUP(NPER(P535/100/12,-Q535,Table1[[#This Row],[Loan_Amount]]),0)</f>
        <v>49</v>
      </c>
      <c r="S535" s="1">
        <v>812</v>
      </c>
      <c r="T535" s="1" t="s">
        <v>20</v>
      </c>
      <c r="U535" s="1" t="str">
        <f>IF(Table1[[#This Row],[Repayment_Status]]="late","bad loan","good loan")</f>
        <v>good loan</v>
      </c>
      <c r="V535" s="1" t="str">
        <f>IF(Table1[[#This Row],[Repayment_Status]]="late","high","low")</f>
        <v>low</v>
      </c>
      <c r="W535" s="1">
        <f>(Table1[[#This Row],[monthly_EMI]]/Table1[[#This Row],[monthly_income]])*100</f>
        <v>30</v>
      </c>
      <c r="X535" s="7">
        <v>24694.95</v>
      </c>
    </row>
    <row r="536" spans="1:24" x14ac:dyDescent="0.25">
      <c r="A536" s="1" t="s">
        <v>501</v>
      </c>
      <c r="B536" s="2" t="s">
        <v>757</v>
      </c>
      <c r="C536" s="5">
        <v>39</v>
      </c>
      <c r="D536" s="1" t="s">
        <v>26</v>
      </c>
      <c r="E536" s="1" t="s">
        <v>29</v>
      </c>
      <c r="F536" s="1" t="s">
        <v>51</v>
      </c>
      <c r="G536" s="1">
        <f>YEAR(Table1[[#This Row],[Application_Date]])</f>
        <v>2025</v>
      </c>
      <c r="H536" s="1" t="str">
        <f>TEXT(Table1[[#This Row],[EMI_payment_date]],"mmmm")</f>
        <v>October</v>
      </c>
      <c r="I536" s="3">
        <v>45916</v>
      </c>
      <c r="J536" s="3">
        <f>EDATE(Table1[[#This Row],[Application_Date]],1)</f>
        <v>45946</v>
      </c>
      <c r="K536" s="9">
        <v>6276000</v>
      </c>
      <c r="L536" s="9">
        <f>Table1[[#This Row],[Annual_Income]]/12</f>
        <v>523000</v>
      </c>
      <c r="M536" s="9">
        <v>6476000</v>
      </c>
      <c r="N536" s="5">
        <f ca="1">DATEDIF(Table1[[#This Row],[EMI_payment_date]],TODAY(),"m")</f>
        <v>9</v>
      </c>
      <c r="O536" s="9">
        <f>10*Table1[[#This Row],[monthly_EMI]]</f>
        <v>1569000</v>
      </c>
      <c r="P536" s="1">
        <v>5.13</v>
      </c>
      <c r="Q536" s="9">
        <f>Table1[[#This Row],[monthly_income]]*30%</f>
        <v>156900</v>
      </c>
      <c r="R536" s="1">
        <f>ROUNDUP(NPER(P536/100/12,-Q536,Table1[[#This Row],[Loan_Amount]]),0)</f>
        <v>46</v>
      </c>
      <c r="S536" s="1">
        <v>828</v>
      </c>
      <c r="T536" s="1" t="s">
        <v>20</v>
      </c>
      <c r="U536" s="1" t="str">
        <f>IF(Table1[[#This Row],[Repayment_Status]]="late","bad loan","good loan")</f>
        <v>good loan</v>
      </c>
      <c r="V536" s="1" t="str">
        <f>IF(Table1[[#This Row],[Repayment_Status]]="late","high","low")</f>
        <v>low</v>
      </c>
      <c r="W536" s="1">
        <f>(Table1[[#This Row],[monthly_EMI]]/Table1[[#This Row],[monthly_income]])*100</f>
        <v>30</v>
      </c>
      <c r="X536" s="7">
        <v>11397.21</v>
      </c>
    </row>
    <row r="537" spans="1:24" x14ac:dyDescent="0.25">
      <c r="A537" s="1" t="s">
        <v>70</v>
      </c>
      <c r="B537" s="2" t="s">
        <v>769</v>
      </c>
      <c r="C537" s="5">
        <v>54</v>
      </c>
      <c r="D537" s="1" t="s">
        <v>15</v>
      </c>
      <c r="E537" s="1" t="s">
        <v>16</v>
      </c>
      <c r="F537" s="1" t="s">
        <v>51</v>
      </c>
      <c r="G537" s="1">
        <f>YEAR(Table1[[#This Row],[Application_Date]])</f>
        <v>2025</v>
      </c>
      <c r="H537" s="1" t="str">
        <f>TEXT(Table1[[#This Row],[EMI_payment_date]],"mmmm")</f>
        <v>October</v>
      </c>
      <c r="I537" s="3">
        <v>45917</v>
      </c>
      <c r="J537" s="3">
        <f>EDATE(Table1[[#This Row],[Application_Date]],1)</f>
        <v>45947</v>
      </c>
      <c r="K537" s="9">
        <v>1092000</v>
      </c>
      <c r="L537" s="9">
        <f>Table1[[#This Row],[Annual_Income]]/12</f>
        <v>91000</v>
      </c>
      <c r="M537" s="9">
        <v>1292000</v>
      </c>
      <c r="N537" s="5">
        <f ca="1">DATEDIF(Table1[[#This Row],[EMI_payment_date]],TODAY(),"m")</f>
        <v>9</v>
      </c>
      <c r="O537" s="9">
        <f>10*Table1[[#This Row],[monthly_EMI]]</f>
        <v>273000</v>
      </c>
      <c r="P537" s="1">
        <v>8.36</v>
      </c>
      <c r="Q537" s="9">
        <f>Table1[[#This Row],[monthly_income]]*30%</f>
        <v>27300</v>
      </c>
      <c r="R537" s="1">
        <f>ROUNDUP(NPER(P537/100/12,-Q537,Table1[[#This Row],[Loan_Amount]]),0)</f>
        <v>58</v>
      </c>
      <c r="S537" s="1">
        <v>849</v>
      </c>
      <c r="T537" s="1" t="s">
        <v>20</v>
      </c>
      <c r="U537" s="1" t="str">
        <f>IF(Table1[[#This Row],[Repayment_Status]]="late","bad loan","good loan")</f>
        <v>good loan</v>
      </c>
      <c r="V537" s="1" t="str">
        <f>IF(Table1[[#This Row],[Repayment_Status]]="late","high","low")</f>
        <v>low</v>
      </c>
      <c r="W537" s="1">
        <f>(Table1[[#This Row],[monthly_EMI]]/Table1[[#This Row],[monthly_income]])*100</f>
        <v>30</v>
      </c>
      <c r="X537" s="7">
        <v>16120.27</v>
      </c>
    </row>
    <row r="538" spans="1:24" x14ac:dyDescent="0.25">
      <c r="A538" s="1" t="s">
        <v>355</v>
      </c>
      <c r="B538" s="2" t="s">
        <v>865</v>
      </c>
      <c r="C538" s="5">
        <v>29</v>
      </c>
      <c r="D538" s="1" t="s">
        <v>26</v>
      </c>
      <c r="E538" s="1" t="s">
        <v>27</v>
      </c>
      <c r="F538" s="1" t="s">
        <v>17</v>
      </c>
      <c r="G538" s="1">
        <f>YEAR(Table1[[#This Row],[Application_Date]])</f>
        <v>2025</v>
      </c>
      <c r="H538" s="1" t="str">
        <f>TEXT(Table1[[#This Row],[EMI_payment_date]],"mmmm")</f>
        <v>October</v>
      </c>
      <c r="I538" s="3">
        <v>45918</v>
      </c>
      <c r="J538" s="3">
        <f>EDATE(Table1[[#This Row],[Application_Date]],1)</f>
        <v>45948</v>
      </c>
      <c r="K538" s="9">
        <v>4524000</v>
      </c>
      <c r="L538" s="9">
        <f>Table1[[#This Row],[Annual_Income]]/12</f>
        <v>377000</v>
      </c>
      <c r="M538" s="9">
        <v>4724000</v>
      </c>
      <c r="N538" s="5">
        <f ca="1">DATEDIF(Table1[[#This Row],[EMI_payment_date]],TODAY(),"m")</f>
        <v>9</v>
      </c>
      <c r="O538" s="9">
        <f>10*Table1[[#This Row],[monthly_EMI]]</f>
        <v>1131000</v>
      </c>
      <c r="P538" s="1">
        <v>7.3</v>
      </c>
      <c r="Q538" s="9">
        <f>Table1[[#This Row],[monthly_income]]*30%</f>
        <v>113100</v>
      </c>
      <c r="R538" s="1">
        <f>ROUNDUP(NPER(P538/100/12,-Q538,Table1[[#This Row],[Loan_Amount]]),0)</f>
        <v>49</v>
      </c>
      <c r="S538" s="1">
        <v>779</v>
      </c>
      <c r="T538" s="1" t="s">
        <v>20</v>
      </c>
      <c r="U538" s="1" t="str">
        <f>IF(Table1[[#This Row],[Repayment_Status]]="late","bad loan","good loan")</f>
        <v>good loan</v>
      </c>
      <c r="V538" s="1" t="str">
        <f>IF(Table1[[#This Row],[Repayment_Status]]="late","high","low")</f>
        <v>low</v>
      </c>
      <c r="W538" s="1">
        <f>(Table1[[#This Row],[monthly_EMI]]/Table1[[#This Row],[monthly_income]])*100</f>
        <v>30</v>
      </c>
      <c r="X538" s="7">
        <v>31491.759999999998</v>
      </c>
    </row>
    <row r="539" spans="1:24" x14ac:dyDescent="0.25">
      <c r="A539" s="1" t="s">
        <v>360</v>
      </c>
      <c r="B539" s="2" t="s">
        <v>782</v>
      </c>
      <c r="C539" s="5">
        <v>32</v>
      </c>
      <c r="D539" s="1" t="s">
        <v>26</v>
      </c>
      <c r="E539" s="1" t="s">
        <v>33</v>
      </c>
      <c r="F539" s="1" t="s">
        <v>22</v>
      </c>
      <c r="G539" s="1">
        <f>YEAR(Table1[[#This Row],[Application_Date]])</f>
        <v>2025</v>
      </c>
      <c r="H539" s="1" t="str">
        <f>TEXT(Table1[[#This Row],[EMI_payment_date]],"mmmm")</f>
        <v>October</v>
      </c>
      <c r="I539" s="3">
        <v>45919</v>
      </c>
      <c r="J539" s="3">
        <f>EDATE(Table1[[#This Row],[Application_Date]],1)</f>
        <v>45949</v>
      </c>
      <c r="K539" s="9">
        <v>4584000</v>
      </c>
      <c r="L539" s="9">
        <f>Table1[[#This Row],[Annual_Income]]/12</f>
        <v>382000</v>
      </c>
      <c r="M539" s="9">
        <v>4784000</v>
      </c>
      <c r="N539" s="5">
        <f ca="1">DATEDIF(Table1[[#This Row],[EMI_payment_date]],TODAY(),"m")</f>
        <v>9</v>
      </c>
      <c r="O539" s="9">
        <f>10*Table1[[#This Row],[monthly_EMI]]</f>
        <v>1146000</v>
      </c>
      <c r="P539" s="1">
        <v>9.16</v>
      </c>
      <c r="Q539" s="9">
        <f>Table1[[#This Row],[monthly_income]]*30%</f>
        <v>114600</v>
      </c>
      <c r="R539" s="1">
        <f>ROUNDUP(NPER(P539/100/12,-Q539,Table1[[#This Row],[Loan_Amount]]),0)</f>
        <v>51</v>
      </c>
      <c r="S539" s="1">
        <v>613</v>
      </c>
      <c r="T539" s="1" t="s">
        <v>37</v>
      </c>
      <c r="U539" s="1" t="str">
        <f>IF(Table1[[#This Row],[Repayment_Status]]="late","bad loan","good loan")</f>
        <v>bad loan</v>
      </c>
      <c r="V539" s="1" t="str">
        <f>IF(Table1[[#This Row],[Repayment_Status]]="late","high","low")</f>
        <v>high</v>
      </c>
      <c r="W539" s="1">
        <f>(Table1[[#This Row],[monthly_EMI]]/Table1[[#This Row],[monthly_income]])*100</f>
        <v>30</v>
      </c>
      <c r="X539" s="7">
        <v>10267.61</v>
      </c>
    </row>
    <row r="540" spans="1:24" x14ac:dyDescent="0.25">
      <c r="A540" s="1" t="s">
        <v>62</v>
      </c>
      <c r="B540" s="2" t="s">
        <v>761</v>
      </c>
      <c r="C540" s="5">
        <v>60</v>
      </c>
      <c r="D540" s="1" t="s">
        <v>15</v>
      </c>
      <c r="E540" s="1" t="s">
        <v>16</v>
      </c>
      <c r="F540" s="1" t="s">
        <v>51</v>
      </c>
      <c r="G540" s="1">
        <f>YEAR(Table1[[#This Row],[Application_Date]])</f>
        <v>2025</v>
      </c>
      <c r="H540" s="1" t="str">
        <f>TEXT(Table1[[#This Row],[EMI_payment_date]],"mmmm")</f>
        <v>October</v>
      </c>
      <c r="I540" s="3">
        <v>45920</v>
      </c>
      <c r="J540" s="3">
        <f>EDATE(Table1[[#This Row],[Application_Date]],1)</f>
        <v>45950</v>
      </c>
      <c r="K540" s="9">
        <v>996000</v>
      </c>
      <c r="L540" s="9">
        <f>Table1[[#This Row],[Annual_Income]]/12</f>
        <v>83000</v>
      </c>
      <c r="M540" s="9">
        <v>1196000</v>
      </c>
      <c r="N540" s="5">
        <f ca="1">DATEDIF(Table1[[#This Row],[EMI_payment_date]],TODAY(),"m")</f>
        <v>9</v>
      </c>
      <c r="O540" s="9">
        <f>10*Table1[[#This Row],[monthly_EMI]]</f>
        <v>249000</v>
      </c>
      <c r="P540" s="1">
        <v>8.2100000000000009</v>
      </c>
      <c r="Q540" s="9">
        <f>Table1[[#This Row],[monthly_income]]*30%</f>
        <v>24900</v>
      </c>
      <c r="R540" s="1">
        <f>ROUNDUP(NPER(P540/100/12,-Q540,Table1[[#This Row],[Loan_Amount]]),0)</f>
        <v>59</v>
      </c>
      <c r="S540" s="1">
        <v>780</v>
      </c>
      <c r="T540" s="1" t="s">
        <v>20</v>
      </c>
      <c r="U540" s="1" t="str">
        <f>IF(Table1[[#This Row],[Repayment_Status]]="late","bad loan","good loan")</f>
        <v>good loan</v>
      </c>
      <c r="V540" s="1" t="str">
        <f>IF(Table1[[#This Row],[Repayment_Status]]="late","high","low")</f>
        <v>low</v>
      </c>
      <c r="W540" s="1">
        <f>(Table1[[#This Row],[monthly_EMI]]/Table1[[#This Row],[monthly_income]])*100</f>
        <v>30</v>
      </c>
      <c r="X540" s="7">
        <v>29164.89</v>
      </c>
    </row>
    <row r="541" spans="1:24" x14ac:dyDescent="0.25">
      <c r="A541" s="1" t="s">
        <v>573</v>
      </c>
      <c r="B541" s="2" t="s">
        <v>758</v>
      </c>
      <c r="C541" s="5">
        <v>36</v>
      </c>
      <c r="D541" s="1" t="s">
        <v>15</v>
      </c>
      <c r="E541" s="1" t="s">
        <v>29</v>
      </c>
      <c r="F541" s="1" t="s">
        <v>19</v>
      </c>
      <c r="G541" s="1">
        <f>YEAR(Table1[[#This Row],[Application_Date]])</f>
        <v>2025</v>
      </c>
      <c r="H541" s="1" t="str">
        <f>TEXT(Table1[[#This Row],[EMI_payment_date]],"mmmm")</f>
        <v>October</v>
      </c>
      <c r="I541" s="3">
        <v>45921</v>
      </c>
      <c r="J541" s="3">
        <f>EDATE(Table1[[#This Row],[Application_Date]],1)</f>
        <v>45951</v>
      </c>
      <c r="K541" s="9">
        <v>7140000</v>
      </c>
      <c r="L541" s="9">
        <f>Table1[[#This Row],[Annual_Income]]/12</f>
        <v>595000</v>
      </c>
      <c r="M541" s="9">
        <v>7340000</v>
      </c>
      <c r="N541" s="5">
        <f ca="1">DATEDIF(Table1[[#This Row],[EMI_payment_date]],TODAY(),"m")</f>
        <v>9</v>
      </c>
      <c r="O541" s="9">
        <f>10*Table1[[#This Row],[monthly_EMI]]</f>
        <v>1785000</v>
      </c>
      <c r="P541" s="1">
        <v>5.9</v>
      </c>
      <c r="Q541" s="9">
        <f>Table1[[#This Row],[monthly_income]]*30%</f>
        <v>178500</v>
      </c>
      <c r="R541" s="1">
        <f>ROUNDUP(NPER(P541/100/12,-Q541,Table1[[#This Row],[Loan_Amount]]),0)</f>
        <v>47</v>
      </c>
      <c r="S541" s="1">
        <v>632</v>
      </c>
      <c r="T541" s="1" t="s">
        <v>20</v>
      </c>
      <c r="U541" s="1" t="str">
        <f>IF(Table1[[#This Row],[Repayment_Status]]="late","bad loan","good loan")</f>
        <v>good loan</v>
      </c>
      <c r="V541" s="1" t="str">
        <f>IF(Table1[[#This Row],[Repayment_Status]]="late","high","low")</f>
        <v>low</v>
      </c>
      <c r="W541" s="1">
        <f>(Table1[[#This Row],[monthly_EMI]]/Table1[[#This Row],[monthly_income]])*100</f>
        <v>30</v>
      </c>
      <c r="X541" s="7">
        <v>27898.22</v>
      </c>
    </row>
    <row r="542" spans="1:24" x14ac:dyDescent="0.25">
      <c r="A542" s="1" t="s">
        <v>583</v>
      </c>
      <c r="B542" s="2" t="s">
        <v>837</v>
      </c>
      <c r="C542" s="5">
        <v>34</v>
      </c>
      <c r="D542" s="1" t="s">
        <v>15</v>
      </c>
      <c r="E542" s="1" t="s">
        <v>16</v>
      </c>
      <c r="F542" s="1" t="s">
        <v>51</v>
      </c>
      <c r="G542" s="1">
        <f>YEAR(Table1[[#This Row],[Application_Date]])</f>
        <v>2025</v>
      </c>
      <c r="H542" s="1" t="str">
        <f>TEXT(Table1[[#This Row],[EMI_payment_date]],"mmmm")</f>
        <v>October</v>
      </c>
      <c r="I542" s="3">
        <v>45922</v>
      </c>
      <c r="J542" s="3">
        <f>EDATE(Table1[[#This Row],[Application_Date]],1)</f>
        <v>45952</v>
      </c>
      <c r="K542" s="9">
        <v>7260000</v>
      </c>
      <c r="L542" s="9">
        <f>Table1[[#This Row],[Annual_Income]]/12</f>
        <v>605000</v>
      </c>
      <c r="M542" s="9">
        <v>7460000</v>
      </c>
      <c r="N542" s="5">
        <f ca="1">DATEDIF(Table1[[#This Row],[EMI_payment_date]],TODAY(),"m")</f>
        <v>9</v>
      </c>
      <c r="O542" s="9">
        <f>10*Table1[[#This Row],[monthly_EMI]]</f>
        <v>1815000</v>
      </c>
      <c r="P542" s="1">
        <v>8.14</v>
      </c>
      <c r="Q542" s="9">
        <f>Table1[[#This Row],[monthly_income]]*30%</f>
        <v>181500</v>
      </c>
      <c r="R542" s="1">
        <f>ROUNDUP(NPER(P542/100/12,-Q542,Table1[[#This Row],[Loan_Amount]]),0)</f>
        <v>49</v>
      </c>
      <c r="S542" s="1">
        <v>782</v>
      </c>
      <c r="T542" s="1" t="s">
        <v>20</v>
      </c>
      <c r="U542" s="1" t="str">
        <f>IF(Table1[[#This Row],[Repayment_Status]]="late","bad loan","good loan")</f>
        <v>good loan</v>
      </c>
      <c r="V542" s="1" t="str">
        <f>IF(Table1[[#This Row],[Repayment_Status]]="late","high","low")</f>
        <v>low</v>
      </c>
      <c r="W542" s="1">
        <f>(Table1[[#This Row],[monthly_EMI]]/Table1[[#This Row],[monthly_income]])*100</f>
        <v>30</v>
      </c>
      <c r="X542" s="7">
        <v>21287.86</v>
      </c>
    </row>
    <row r="543" spans="1:24" x14ac:dyDescent="0.25">
      <c r="A543" s="1" t="s">
        <v>366</v>
      </c>
      <c r="B543" s="2" t="s">
        <v>890</v>
      </c>
      <c r="C543" s="5">
        <v>48</v>
      </c>
      <c r="D543" s="1" t="s">
        <v>26</v>
      </c>
      <c r="E543" s="1" t="s">
        <v>33</v>
      </c>
      <c r="F543" s="1" t="s">
        <v>51</v>
      </c>
      <c r="G543" s="1">
        <f>YEAR(Table1[[#This Row],[Application_Date]])</f>
        <v>2025</v>
      </c>
      <c r="H543" s="1" t="str">
        <f>TEXT(Table1[[#This Row],[EMI_payment_date]],"mmmm")</f>
        <v>October</v>
      </c>
      <c r="I543" s="3">
        <v>45923</v>
      </c>
      <c r="J543" s="3">
        <f>EDATE(Table1[[#This Row],[Application_Date]],1)</f>
        <v>45953</v>
      </c>
      <c r="K543" s="9">
        <v>4656000</v>
      </c>
      <c r="L543" s="9">
        <f>Table1[[#This Row],[Annual_Income]]/12</f>
        <v>388000</v>
      </c>
      <c r="M543" s="9">
        <v>4856000</v>
      </c>
      <c r="N543" s="5">
        <f ca="1">DATEDIF(Table1[[#This Row],[EMI_payment_date]],TODAY(),"m")</f>
        <v>9</v>
      </c>
      <c r="O543" s="9">
        <f>10*Table1[[#This Row],[monthly_EMI]]</f>
        <v>1164000</v>
      </c>
      <c r="P543" s="1">
        <v>5.12</v>
      </c>
      <c r="Q543" s="9">
        <f>Table1[[#This Row],[monthly_income]]*30%</f>
        <v>116400</v>
      </c>
      <c r="R543" s="1">
        <f>ROUNDUP(NPER(P543/100/12,-Q543,Table1[[#This Row],[Loan_Amount]]),0)</f>
        <v>47</v>
      </c>
      <c r="S543" s="1">
        <v>748</v>
      </c>
      <c r="T543" s="1" t="s">
        <v>37</v>
      </c>
      <c r="U543" s="1" t="str">
        <f>IF(Table1[[#This Row],[Repayment_Status]]="late","bad loan","good loan")</f>
        <v>bad loan</v>
      </c>
      <c r="V543" s="1" t="str">
        <f>IF(Table1[[#This Row],[Repayment_Status]]="late","high","low")</f>
        <v>high</v>
      </c>
      <c r="W543" s="1">
        <f>(Table1[[#This Row],[monthly_EMI]]/Table1[[#This Row],[monthly_income]])*100</f>
        <v>30</v>
      </c>
      <c r="X543" s="7">
        <v>18837.7</v>
      </c>
    </row>
    <row r="544" spans="1:24" x14ac:dyDescent="0.25">
      <c r="A544" s="1" t="s">
        <v>677</v>
      </c>
      <c r="B544" s="2" t="s">
        <v>819</v>
      </c>
      <c r="C544" s="5">
        <v>27</v>
      </c>
      <c r="D544" s="1" t="s">
        <v>15</v>
      </c>
      <c r="E544" s="1" t="s">
        <v>33</v>
      </c>
      <c r="F544" s="1" t="s">
        <v>22</v>
      </c>
      <c r="G544" s="1">
        <f>YEAR(Table1[[#This Row],[Application_Date]])</f>
        <v>2025</v>
      </c>
      <c r="H544" s="1" t="str">
        <f>TEXT(Table1[[#This Row],[EMI_payment_date]],"mmmm")</f>
        <v>October</v>
      </c>
      <c r="I544" s="3">
        <v>45924</v>
      </c>
      <c r="J544" s="3">
        <f>EDATE(Table1[[#This Row],[Application_Date]],1)</f>
        <v>45954</v>
      </c>
      <c r="K544" s="9">
        <v>8388000</v>
      </c>
      <c r="L544" s="9">
        <f>Table1[[#This Row],[Annual_Income]]/12</f>
        <v>699000</v>
      </c>
      <c r="M544" s="9">
        <v>8588000</v>
      </c>
      <c r="N544" s="5">
        <f ca="1">DATEDIF(Table1[[#This Row],[EMI_payment_date]],TODAY(),"m")</f>
        <v>9</v>
      </c>
      <c r="O544" s="9">
        <f>10*Table1[[#This Row],[monthly_EMI]]</f>
        <v>2097000</v>
      </c>
      <c r="P544" s="1">
        <v>8.8800000000000008</v>
      </c>
      <c r="Q544" s="9">
        <f>Table1[[#This Row],[monthly_income]]*30%</f>
        <v>209700</v>
      </c>
      <c r="R544" s="1">
        <f>ROUNDUP(NPER(P544/100/12,-Q544,Table1[[#This Row],[Loan_Amount]]),0)</f>
        <v>49</v>
      </c>
      <c r="S544" s="1">
        <v>705</v>
      </c>
      <c r="T544" s="1" t="s">
        <v>20</v>
      </c>
      <c r="U544" s="1" t="str">
        <f>IF(Table1[[#This Row],[Repayment_Status]]="late","bad loan","good loan")</f>
        <v>good loan</v>
      </c>
      <c r="V544" s="1" t="str">
        <f>IF(Table1[[#This Row],[Repayment_Status]]="late","high","low")</f>
        <v>low</v>
      </c>
      <c r="W544" s="1">
        <f>(Table1[[#This Row],[monthly_EMI]]/Table1[[#This Row],[monthly_income]])*100</f>
        <v>30</v>
      </c>
      <c r="X544" s="7">
        <v>32312.47</v>
      </c>
    </row>
    <row r="545" spans="1:24" x14ac:dyDescent="0.25">
      <c r="A545" s="1" t="s">
        <v>330</v>
      </c>
      <c r="B545" s="2" t="s">
        <v>802</v>
      </c>
      <c r="C545" s="5">
        <v>37</v>
      </c>
      <c r="D545" s="1" t="s">
        <v>15</v>
      </c>
      <c r="E545" s="1" t="s">
        <v>16</v>
      </c>
      <c r="F545" s="1" t="s">
        <v>22</v>
      </c>
      <c r="G545" s="1">
        <f>YEAR(Table1[[#This Row],[Application_Date]])</f>
        <v>2025</v>
      </c>
      <c r="H545" s="1" t="str">
        <f>TEXT(Table1[[#This Row],[EMI_payment_date]],"mmmm")</f>
        <v>October</v>
      </c>
      <c r="I545" s="3">
        <v>45925</v>
      </c>
      <c r="J545" s="3">
        <f>EDATE(Table1[[#This Row],[Application_Date]],1)</f>
        <v>45955</v>
      </c>
      <c r="K545" s="9">
        <v>4224000</v>
      </c>
      <c r="L545" s="9">
        <f>Table1[[#This Row],[Annual_Income]]/12</f>
        <v>352000</v>
      </c>
      <c r="M545" s="9">
        <v>4424000</v>
      </c>
      <c r="N545" s="5">
        <f ca="1">DATEDIF(Table1[[#This Row],[EMI_payment_date]],TODAY(),"m")</f>
        <v>9</v>
      </c>
      <c r="O545" s="9">
        <f>10*Table1[[#This Row],[monthly_EMI]]</f>
        <v>1056000</v>
      </c>
      <c r="P545" s="1">
        <v>5.67</v>
      </c>
      <c r="Q545" s="9">
        <f>Table1[[#This Row],[monthly_income]]*30%</f>
        <v>105600</v>
      </c>
      <c r="R545" s="1">
        <f>ROUNDUP(NPER(P545/100/12,-Q545,Table1[[#This Row],[Loan_Amount]]),0)</f>
        <v>47</v>
      </c>
      <c r="S545" s="1">
        <v>604</v>
      </c>
      <c r="T545" s="1" t="s">
        <v>37</v>
      </c>
      <c r="U545" s="1" t="str">
        <f>IF(Table1[[#This Row],[Repayment_Status]]="late","bad loan","good loan")</f>
        <v>bad loan</v>
      </c>
      <c r="V545" s="1" t="str">
        <f>IF(Table1[[#This Row],[Repayment_Status]]="late","high","low")</f>
        <v>high</v>
      </c>
      <c r="W545" s="1">
        <f>(Table1[[#This Row],[monthly_EMI]]/Table1[[#This Row],[monthly_income]])*100</f>
        <v>30</v>
      </c>
      <c r="X545" s="7">
        <v>27726.52</v>
      </c>
    </row>
    <row r="546" spans="1:24" x14ac:dyDescent="0.25">
      <c r="A546" s="1" t="s">
        <v>428</v>
      </c>
      <c r="B546" s="2" t="s">
        <v>763</v>
      </c>
      <c r="C546" s="5">
        <v>33</v>
      </c>
      <c r="D546" s="1" t="s">
        <v>15</v>
      </c>
      <c r="E546" s="1" t="s">
        <v>27</v>
      </c>
      <c r="F546" s="1" t="s">
        <v>22</v>
      </c>
      <c r="G546" s="1">
        <f>YEAR(Table1[[#This Row],[Application_Date]])</f>
        <v>2025</v>
      </c>
      <c r="H546" s="1" t="str">
        <f>TEXT(Table1[[#This Row],[EMI_payment_date]],"mmmm")</f>
        <v>October</v>
      </c>
      <c r="I546" s="3">
        <v>45926</v>
      </c>
      <c r="J546" s="3">
        <f>EDATE(Table1[[#This Row],[Application_Date]],1)</f>
        <v>45956</v>
      </c>
      <c r="K546" s="9">
        <v>5400000</v>
      </c>
      <c r="L546" s="9">
        <f>Table1[[#This Row],[Annual_Income]]/12</f>
        <v>450000</v>
      </c>
      <c r="M546" s="9">
        <v>5600000</v>
      </c>
      <c r="N546" s="5">
        <f ca="1">DATEDIF(Table1[[#This Row],[EMI_payment_date]],TODAY(),"m")</f>
        <v>9</v>
      </c>
      <c r="O546" s="9">
        <f>10*Table1[[#This Row],[monthly_EMI]]</f>
        <v>1350000</v>
      </c>
      <c r="P546" s="1">
        <v>6.99</v>
      </c>
      <c r="Q546" s="9">
        <f>Table1[[#This Row],[monthly_income]]*30%</f>
        <v>135000</v>
      </c>
      <c r="R546" s="1">
        <f>ROUNDUP(NPER(P546/100/12,-Q546,Table1[[#This Row],[Loan_Amount]]),0)</f>
        <v>48</v>
      </c>
      <c r="S546" s="1">
        <v>722</v>
      </c>
      <c r="T546" s="1" t="s">
        <v>20</v>
      </c>
      <c r="U546" s="1" t="str">
        <f>IF(Table1[[#This Row],[Repayment_Status]]="late","bad loan","good loan")</f>
        <v>good loan</v>
      </c>
      <c r="V546" s="1" t="str">
        <f>IF(Table1[[#This Row],[Repayment_Status]]="late","high","low")</f>
        <v>low</v>
      </c>
      <c r="W546" s="1">
        <f>(Table1[[#This Row],[monthly_EMI]]/Table1[[#This Row],[monthly_income]])*100</f>
        <v>30</v>
      </c>
      <c r="X546" s="7">
        <v>9920.08</v>
      </c>
    </row>
    <row r="547" spans="1:24" x14ac:dyDescent="0.25">
      <c r="A547" s="1" t="s">
        <v>434</v>
      </c>
      <c r="B547" s="2" t="s">
        <v>841</v>
      </c>
      <c r="C547" s="5">
        <v>38</v>
      </c>
      <c r="D547" s="1" t="s">
        <v>26</v>
      </c>
      <c r="E547" s="1" t="s">
        <v>27</v>
      </c>
      <c r="F547" s="1" t="s">
        <v>19</v>
      </c>
      <c r="G547" s="1">
        <f>YEAR(Table1[[#This Row],[Application_Date]])</f>
        <v>2025</v>
      </c>
      <c r="H547" s="1" t="str">
        <f>TEXT(Table1[[#This Row],[EMI_payment_date]],"mmmm")</f>
        <v>October</v>
      </c>
      <c r="I547" s="3">
        <v>45927</v>
      </c>
      <c r="J547" s="3">
        <f>EDATE(Table1[[#This Row],[Application_Date]],1)</f>
        <v>45957</v>
      </c>
      <c r="K547" s="9">
        <v>5472000</v>
      </c>
      <c r="L547" s="9">
        <f>Table1[[#This Row],[Annual_Income]]/12</f>
        <v>456000</v>
      </c>
      <c r="M547" s="9">
        <v>5672000</v>
      </c>
      <c r="N547" s="5">
        <f ca="1">DATEDIF(Table1[[#This Row],[EMI_payment_date]],TODAY(),"m")</f>
        <v>9</v>
      </c>
      <c r="O547" s="9">
        <f>10*Table1[[#This Row],[monthly_EMI]]</f>
        <v>1368000</v>
      </c>
      <c r="P547" s="1">
        <v>7.48</v>
      </c>
      <c r="Q547" s="9">
        <f>Table1[[#This Row],[monthly_income]]*30%</f>
        <v>136800</v>
      </c>
      <c r="R547" s="1">
        <f>ROUNDUP(NPER(P547/100/12,-Q547,Table1[[#This Row],[Loan_Amount]]),0)</f>
        <v>49</v>
      </c>
      <c r="S547" s="1">
        <v>680</v>
      </c>
      <c r="T547" s="1" t="s">
        <v>20</v>
      </c>
      <c r="U547" s="1" t="str">
        <f>IF(Table1[[#This Row],[Repayment_Status]]="late","bad loan","good loan")</f>
        <v>good loan</v>
      </c>
      <c r="V547" s="1" t="str">
        <f>IF(Table1[[#This Row],[Repayment_Status]]="late","high","low")</f>
        <v>low</v>
      </c>
      <c r="W547" s="1">
        <f>(Table1[[#This Row],[monthly_EMI]]/Table1[[#This Row],[monthly_income]])*100</f>
        <v>30</v>
      </c>
      <c r="X547" s="7">
        <v>11161.94</v>
      </c>
    </row>
    <row r="548" spans="1:24" x14ac:dyDescent="0.25">
      <c r="A548" s="1" t="s">
        <v>674</v>
      </c>
      <c r="B548" s="2" t="s">
        <v>743</v>
      </c>
      <c r="C548" s="5">
        <v>39</v>
      </c>
      <c r="D548" s="1" t="s">
        <v>26</v>
      </c>
      <c r="E548" s="1" t="s">
        <v>24</v>
      </c>
      <c r="F548" s="1" t="s">
        <v>17</v>
      </c>
      <c r="G548" s="1">
        <f>YEAR(Table1[[#This Row],[Application_Date]])</f>
        <v>2025</v>
      </c>
      <c r="H548" s="1" t="str">
        <f>TEXT(Table1[[#This Row],[EMI_payment_date]],"mmmm")</f>
        <v>October</v>
      </c>
      <c r="I548" s="3">
        <v>45928</v>
      </c>
      <c r="J548" s="3">
        <f>EDATE(Table1[[#This Row],[Application_Date]],1)</f>
        <v>45958</v>
      </c>
      <c r="K548" s="9">
        <v>8352000</v>
      </c>
      <c r="L548" s="9">
        <f>Table1[[#This Row],[Annual_Income]]/12</f>
        <v>696000</v>
      </c>
      <c r="M548" s="9">
        <v>8552000</v>
      </c>
      <c r="N548" s="5">
        <f ca="1">DATEDIF(Table1[[#This Row],[EMI_payment_date]],TODAY(),"m")</f>
        <v>9</v>
      </c>
      <c r="O548" s="9">
        <f>10*Table1[[#This Row],[monthly_EMI]]</f>
        <v>2088000</v>
      </c>
      <c r="P548" s="1">
        <v>7.34</v>
      </c>
      <c r="Q548" s="9">
        <f>Table1[[#This Row],[monthly_income]]*30%</f>
        <v>208800</v>
      </c>
      <c r="R548" s="1">
        <f>ROUNDUP(NPER(P548/100/12,-Q548,Table1[[#This Row],[Loan_Amount]]),0)</f>
        <v>48</v>
      </c>
      <c r="S548" s="1">
        <v>687</v>
      </c>
      <c r="T548" s="1" t="s">
        <v>20</v>
      </c>
      <c r="U548" s="1" t="str">
        <f>IF(Table1[[#This Row],[Repayment_Status]]="late","bad loan","good loan")</f>
        <v>good loan</v>
      </c>
      <c r="V548" s="1" t="str">
        <f>IF(Table1[[#This Row],[Repayment_Status]]="late","high","low")</f>
        <v>low</v>
      </c>
      <c r="W548" s="1">
        <f>(Table1[[#This Row],[monthly_EMI]]/Table1[[#This Row],[monthly_income]])*100</f>
        <v>30</v>
      </c>
      <c r="X548" s="7">
        <v>18212.259999999998</v>
      </c>
    </row>
    <row r="549" spans="1:24" x14ac:dyDescent="0.25">
      <c r="A549" s="1" t="s">
        <v>700</v>
      </c>
      <c r="B549" s="2" t="s">
        <v>833</v>
      </c>
      <c r="C549" s="5">
        <v>34</v>
      </c>
      <c r="D549" s="1" t="s">
        <v>15</v>
      </c>
      <c r="E549" s="1" t="s">
        <v>27</v>
      </c>
      <c r="F549" s="1" t="s">
        <v>51</v>
      </c>
      <c r="G549" s="1">
        <f>YEAR(Table1[[#This Row],[Application_Date]])</f>
        <v>2025</v>
      </c>
      <c r="H549" s="1" t="str">
        <f>TEXT(Table1[[#This Row],[EMI_payment_date]],"mmmm")</f>
        <v>October</v>
      </c>
      <c r="I549" s="3">
        <v>45929</v>
      </c>
      <c r="J549" s="3">
        <f>EDATE(Table1[[#This Row],[Application_Date]],1)</f>
        <v>45959</v>
      </c>
      <c r="K549" s="9">
        <v>8664000</v>
      </c>
      <c r="L549" s="9">
        <f>Table1[[#This Row],[Annual_Income]]/12</f>
        <v>722000</v>
      </c>
      <c r="M549" s="9">
        <v>8864000</v>
      </c>
      <c r="N549" s="5">
        <f ca="1">DATEDIF(Table1[[#This Row],[EMI_payment_date]],TODAY(),"m")</f>
        <v>9</v>
      </c>
      <c r="O549" s="9">
        <f>10*Table1[[#This Row],[monthly_EMI]]</f>
        <v>2166000</v>
      </c>
      <c r="P549" s="1">
        <v>9.42</v>
      </c>
      <c r="Q549" s="9">
        <f>Table1[[#This Row],[monthly_income]]*30%</f>
        <v>216600</v>
      </c>
      <c r="R549" s="1">
        <f>ROUNDUP(NPER(P549/100/12,-Q549,Table1[[#This Row],[Loan_Amount]]),0)</f>
        <v>50</v>
      </c>
      <c r="S549" s="1">
        <v>769</v>
      </c>
      <c r="T549" s="1" t="s">
        <v>37</v>
      </c>
      <c r="U549" s="1" t="str">
        <f>IF(Table1[[#This Row],[Repayment_Status]]="late","bad loan","good loan")</f>
        <v>bad loan</v>
      </c>
      <c r="V549" s="1" t="str">
        <f>IF(Table1[[#This Row],[Repayment_Status]]="late","high","low")</f>
        <v>high</v>
      </c>
      <c r="W549" s="1">
        <f>(Table1[[#This Row],[monthly_EMI]]/Table1[[#This Row],[monthly_income]])*100</f>
        <v>30</v>
      </c>
      <c r="X549" s="7">
        <v>12754.79</v>
      </c>
    </row>
    <row r="550" spans="1:24" x14ac:dyDescent="0.25">
      <c r="A550" s="1" t="s">
        <v>653</v>
      </c>
      <c r="B550" s="2" t="s">
        <v>893</v>
      </c>
      <c r="C550" s="5">
        <v>42</v>
      </c>
      <c r="D550" s="1" t="s">
        <v>26</v>
      </c>
      <c r="E550" s="1" t="s">
        <v>36</v>
      </c>
      <c r="F550" s="1" t="s">
        <v>19</v>
      </c>
      <c r="G550" s="1">
        <f>YEAR(Table1[[#This Row],[Application_Date]])</f>
        <v>2025</v>
      </c>
      <c r="H550" s="1" t="str">
        <f>TEXT(Table1[[#This Row],[EMI_payment_date]],"mmmm")</f>
        <v>October</v>
      </c>
      <c r="I550" s="3">
        <v>45930</v>
      </c>
      <c r="J550" s="3">
        <f>EDATE(Table1[[#This Row],[Application_Date]],1)</f>
        <v>45960</v>
      </c>
      <c r="K550" s="9">
        <v>8100000</v>
      </c>
      <c r="L550" s="9">
        <f>Table1[[#This Row],[Annual_Income]]/12</f>
        <v>675000</v>
      </c>
      <c r="M550" s="9">
        <v>8300000</v>
      </c>
      <c r="N550" s="5">
        <f ca="1">DATEDIF(Table1[[#This Row],[EMI_payment_date]],TODAY(),"m")</f>
        <v>9</v>
      </c>
      <c r="O550" s="9">
        <f>10*Table1[[#This Row],[monthly_EMI]]</f>
        <v>2025000</v>
      </c>
      <c r="P550" s="1">
        <v>6.17</v>
      </c>
      <c r="Q550" s="9">
        <f>Table1[[#This Row],[monthly_income]]*30%</f>
        <v>202500</v>
      </c>
      <c r="R550" s="1">
        <f>ROUNDUP(NPER(P550/100/12,-Q550,Table1[[#This Row],[Loan_Amount]]),0)</f>
        <v>47</v>
      </c>
      <c r="S550" s="1">
        <v>846</v>
      </c>
      <c r="T550" s="1" t="s">
        <v>37</v>
      </c>
      <c r="U550" s="1" t="str">
        <f>IF(Table1[[#This Row],[Repayment_Status]]="late","bad loan","good loan")</f>
        <v>bad loan</v>
      </c>
      <c r="V550" s="1" t="str">
        <f>IF(Table1[[#This Row],[Repayment_Status]]="late","high","low")</f>
        <v>high</v>
      </c>
      <c r="W550" s="1">
        <f>(Table1[[#This Row],[monthly_EMI]]/Table1[[#This Row],[monthly_income]])*100</f>
        <v>30</v>
      </c>
      <c r="X550" s="7">
        <v>14060.31</v>
      </c>
    </row>
    <row r="551" spans="1:24" x14ac:dyDescent="0.25">
      <c r="A551" s="1" t="s">
        <v>335</v>
      </c>
      <c r="B551" s="2" t="s">
        <v>761</v>
      </c>
      <c r="C551" s="5">
        <v>24</v>
      </c>
      <c r="D551" s="1" t="s">
        <v>15</v>
      </c>
      <c r="E551" s="1" t="s">
        <v>24</v>
      </c>
      <c r="F551" s="1" t="s">
        <v>22</v>
      </c>
      <c r="G551" s="1">
        <f>YEAR(Table1[[#This Row],[Application_Date]])</f>
        <v>2025</v>
      </c>
      <c r="H551" s="1" t="str">
        <f>TEXT(Table1[[#This Row],[EMI_payment_date]],"mmmm")</f>
        <v>November</v>
      </c>
      <c r="I551" s="3">
        <v>45931</v>
      </c>
      <c r="J551" s="3">
        <f>EDATE(Table1[[#This Row],[Application_Date]],1)</f>
        <v>45962</v>
      </c>
      <c r="K551" s="9">
        <v>4284000</v>
      </c>
      <c r="L551" s="9">
        <f>Table1[[#This Row],[Annual_Income]]/12</f>
        <v>357000</v>
      </c>
      <c r="M551" s="9">
        <v>4484000</v>
      </c>
      <c r="N551" s="5">
        <f ca="1">DATEDIF(Table1[[#This Row],[EMI_payment_date]],TODAY(),"m")</f>
        <v>8</v>
      </c>
      <c r="O551" s="9">
        <f>9*Table1[[#This Row],[monthly_EMI]]</f>
        <v>963900</v>
      </c>
      <c r="P551" s="1">
        <v>5.43</v>
      </c>
      <c r="Q551" s="9">
        <f>Table1[[#This Row],[monthly_income]]*30%</f>
        <v>107100</v>
      </c>
      <c r="R551" s="1">
        <f>ROUNDUP(NPER(P551/100/12,-Q551,Table1[[#This Row],[Loan_Amount]]),0)</f>
        <v>47</v>
      </c>
      <c r="S551" s="1">
        <v>789</v>
      </c>
      <c r="T551" s="1" t="s">
        <v>37</v>
      </c>
      <c r="U551" s="1" t="str">
        <f>IF(Table1[[#This Row],[Repayment_Status]]="late","bad loan","good loan")</f>
        <v>bad loan</v>
      </c>
      <c r="V551" s="1" t="str">
        <f>IF(Table1[[#This Row],[Repayment_Status]]="late","high","low")</f>
        <v>high</v>
      </c>
      <c r="W551" s="1">
        <f>(Table1[[#This Row],[monthly_EMI]]/Table1[[#This Row],[monthly_income]])*100</f>
        <v>30</v>
      </c>
      <c r="X551" s="7">
        <v>8601.17</v>
      </c>
    </row>
    <row r="552" spans="1:24" x14ac:dyDescent="0.25">
      <c r="A552" s="1" t="s">
        <v>403</v>
      </c>
      <c r="B552" s="2" t="s">
        <v>771</v>
      </c>
      <c r="C552" s="5">
        <v>29</v>
      </c>
      <c r="D552" s="1" t="s">
        <v>15</v>
      </c>
      <c r="E552" s="1" t="s">
        <v>16</v>
      </c>
      <c r="F552" s="1" t="s">
        <v>51</v>
      </c>
      <c r="G552" s="1">
        <f>YEAR(Table1[[#This Row],[Application_Date]])</f>
        <v>2025</v>
      </c>
      <c r="H552" s="1" t="str">
        <f>TEXT(Table1[[#This Row],[EMI_payment_date]],"mmmm")</f>
        <v>November</v>
      </c>
      <c r="I552" s="3">
        <v>45932</v>
      </c>
      <c r="J552" s="3">
        <f>EDATE(Table1[[#This Row],[Application_Date]],1)</f>
        <v>45963</v>
      </c>
      <c r="K552" s="9">
        <v>5100000</v>
      </c>
      <c r="L552" s="9">
        <f>Table1[[#This Row],[Annual_Income]]/12</f>
        <v>425000</v>
      </c>
      <c r="M552" s="9">
        <v>5300000</v>
      </c>
      <c r="N552" s="5">
        <f ca="1">DATEDIF(Table1[[#This Row],[EMI_payment_date]],TODAY(),"m")</f>
        <v>8</v>
      </c>
      <c r="O552" s="9">
        <f>9*Table1[[#This Row],[monthly_EMI]]</f>
        <v>1147500</v>
      </c>
      <c r="P552" s="1">
        <v>7.84</v>
      </c>
      <c r="Q552" s="9">
        <f>Table1[[#This Row],[monthly_income]]*30%</f>
        <v>127500</v>
      </c>
      <c r="R552" s="1">
        <f>ROUNDUP(NPER(P552/100/12,-Q552,Table1[[#This Row],[Loan_Amount]]),0)</f>
        <v>49</v>
      </c>
      <c r="S552" s="1">
        <v>782</v>
      </c>
      <c r="T552" s="1" t="s">
        <v>20</v>
      </c>
      <c r="U552" s="1" t="str">
        <f>IF(Table1[[#This Row],[Repayment_Status]]="late","bad loan","good loan")</f>
        <v>good loan</v>
      </c>
      <c r="V552" s="1" t="str">
        <f>IF(Table1[[#This Row],[Repayment_Status]]="late","high","low")</f>
        <v>low</v>
      </c>
      <c r="W552" s="1">
        <f>(Table1[[#This Row],[monthly_EMI]]/Table1[[#This Row],[monthly_income]])*100</f>
        <v>30</v>
      </c>
      <c r="X552" s="7">
        <v>37176.92</v>
      </c>
    </row>
    <row r="553" spans="1:24" x14ac:dyDescent="0.25">
      <c r="A553" s="1" t="s">
        <v>424</v>
      </c>
      <c r="B553" s="2" t="s">
        <v>902</v>
      </c>
      <c r="C553" s="5">
        <v>55</v>
      </c>
      <c r="D553" s="1" t="s">
        <v>26</v>
      </c>
      <c r="E553" s="1" t="s">
        <v>29</v>
      </c>
      <c r="F553" s="1" t="s">
        <v>17</v>
      </c>
      <c r="G553" s="1">
        <f>YEAR(Table1[[#This Row],[Application_Date]])</f>
        <v>2025</v>
      </c>
      <c r="H553" s="1" t="str">
        <f>TEXT(Table1[[#This Row],[EMI_payment_date]],"mmmm")</f>
        <v>November</v>
      </c>
      <c r="I553" s="3">
        <v>45933</v>
      </c>
      <c r="J553" s="3">
        <f>EDATE(Table1[[#This Row],[Application_Date]],1)</f>
        <v>45964</v>
      </c>
      <c r="K553" s="9">
        <v>5352000</v>
      </c>
      <c r="L553" s="9">
        <f>Table1[[#This Row],[Annual_Income]]/12</f>
        <v>446000</v>
      </c>
      <c r="M553" s="9">
        <v>5552000</v>
      </c>
      <c r="N553" s="5">
        <f ca="1">DATEDIF(Table1[[#This Row],[EMI_payment_date]],TODAY(),"m")</f>
        <v>8</v>
      </c>
      <c r="O553" s="9">
        <f>9*Table1[[#This Row],[monthly_EMI]]</f>
        <v>1204200</v>
      </c>
      <c r="P553" s="1">
        <v>8.73</v>
      </c>
      <c r="Q553" s="9">
        <f>Table1[[#This Row],[monthly_income]]*30%</f>
        <v>133800</v>
      </c>
      <c r="R553" s="1">
        <f>ROUNDUP(NPER(P553/100/12,-Q553,Table1[[#This Row],[Loan_Amount]]),0)</f>
        <v>50</v>
      </c>
      <c r="S553" s="1">
        <v>809</v>
      </c>
      <c r="T553" s="1" t="s">
        <v>20</v>
      </c>
      <c r="U553" s="1" t="str">
        <f>IF(Table1[[#This Row],[Repayment_Status]]="late","bad loan","good loan")</f>
        <v>good loan</v>
      </c>
      <c r="V553" s="1" t="str">
        <f>IF(Table1[[#This Row],[Repayment_Status]]="late","high","low")</f>
        <v>low</v>
      </c>
      <c r="W553" s="1">
        <f>(Table1[[#This Row],[monthly_EMI]]/Table1[[#This Row],[monthly_income]])*100</f>
        <v>30</v>
      </c>
      <c r="X553" s="7">
        <v>12230.89</v>
      </c>
    </row>
    <row r="554" spans="1:24" x14ac:dyDescent="0.25">
      <c r="A554" s="1" t="s">
        <v>536</v>
      </c>
      <c r="B554" s="2" t="s">
        <v>776</v>
      </c>
      <c r="C554" s="5">
        <v>22</v>
      </c>
      <c r="D554" s="1" t="s">
        <v>26</v>
      </c>
      <c r="E554" s="1" t="s">
        <v>33</v>
      </c>
      <c r="F554" s="1" t="s">
        <v>51</v>
      </c>
      <c r="G554" s="1">
        <f>YEAR(Table1[[#This Row],[Application_Date]])</f>
        <v>2025</v>
      </c>
      <c r="H554" s="1" t="str">
        <f>TEXT(Table1[[#This Row],[EMI_payment_date]],"mmmm")</f>
        <v>November</v>
      </c>
      <c r="I554" s="3">
        <v>45934</v>
      </c>
      <c r="J554" s="3">
        <f>EDATE(Table1[[#This Row],[Application_Date]],1)</f>
        <v>45965</v>
      </c>
      <c r="K554" s="9">
        <v>6696000</v>
      </c>
      <c r="L554" s="9">
        <f>Table1[[#This Row],[Annual_Income]]/12</f>
        <v>558000</v>
      </c>
      <c r="M554" s="9">
        <v>6896000</v>
      </c>
      <c r="N554" s="5">
        <f ca="1">DATEDIF(Table1[[#This Row],[EMI_payment_date]],TODAY(),"m")</f>
        <v>8</v>
      </c>
      <c r="O554" s="9">
        <f>9*Table1[[#This Row],[monthly_EMI]]</f>
        <v>1506600</v>
      </c>
      <c r="P554" s="1">
        <v>5.49</v>
      </c>
      <c r="Q554" s="9">
        <f>Table1[[#This Row],[monthly_income]]*30%</f>
        <v>167400</v>
      </c>
      <c r="R554" s="1">
        <f>ROUNDUP(NPER(P554/100/12,-Q554,Table1[[#This Row],[Loan_Amount]]),0)</f>
        <v>46</v>
      </c>
      <c r="S554" s="1">
        <v>833</v>
      </c>
      <c r="T554" s="1" t="s">
        <v>20</v>
      </c>
      <c r="U554" s="1" t="str">
        <f>IF(Table1[[#This Row],[Repayment_Status]]="late","bad loan","good loan")</f>
        <v>good loan</v>
      </c>
      <c r="V554" s="1" t="str">
        <f>IF(Table1[[#This Row],[Repayment_Status]]="late","high","low")</f>
        <v>low</v>
      </c>
      <c r="W554" s="1">
        <f>(Table1[[#This Row],[monthly_EMI]]/Table1[[#This Row],[monthly_income]])*100</f>
        <v>30</v>
      </c>
      <c r="X554" s="7">
        <v>22987.119999999999</v>
      </c>
    </row>
    <row r="555" spans="1:24" x14ac:dyDescent="0.25">
      <c r="A555" s="1" t="s">
        <v>117</v>
      </c>
      <c r="B555" s="2" t="s">
        <v>803</v>
      </c>
      <c r="C555" s="5">
        <v>45</v>
      </c>
      <c r="D555" s="1" t="s">
        <v>26</v>
      </c>
      <c r="E555" s="1" t="s">
        <v>24</v>
      </c>
      <c r="F555" s="1" t="s">
        <v>22</v>
      </c>
      <c r="G555" s="1">
        <f>YEAR(Table1[[#This Row],[Application_Date]])</f>
        <v>2025</v>
      </c>
      <c r="H555" s="1" t="str">
        <f>TEXT(Table1[[#This Row],[EMI_payment_date]],"mmmm")</f>
        <v>November</v>
      </c>
      <c r="I555" s="3">
        <v>45935</v>
      </c>
      <c r="J555" s="3">
        <f>EDATE(Table1[[#This Row],[Application_Date]],1)</f>
        <v>45966</v>
      </c>
      <c r="K555" s="9">
        <v>1668000</v>
      </c>
      <c r="L555" s="9">
        <f>Table1[[#This Row],[Annual_Income]]/12</f>
        <v>139000</v>
      </c>
      <c r="M555" s="9">
        <v>1868000</v>
      </c>
      <c r="N555" s="5">
        <f ca="1">DATEDIF(Table1[[#This Row],[EMI_payment_date]],TODAY(),"m")</f>
        <v>8</v>
      </c>
      <c r="O555" s="9">
        <f>9*Table1[[#This Row],[monthly_EMI]]</f>
        <v>375300</v>
      </c>
      <c r="P555" s="1">
        <v>6.94</v>
      </c>
      <c r="Q555" s="9">
        <f>Table1[[#This Row],[monthly_income]]*30%</f>
        <v>41700</v>
      </c>
      <c r="R555" s="1">
        <f>ROUNDUP(NPER(P555/100/12,-Q555,Table1[[#This Row],[Loan_Amount]]),0)</f>
        <v>52</v>
      </c>
      <c r="S555" s="1">
        <v>652</v>
      </c>
      <c r="T555" s="1" t="s">
        <v>37</v>
      </c>
      <c r="U555" s="1" t="str">
        <f>IF(Table1[[#This Row],[Repayment_Status]]="late","bad loan","good loan")</f>
        <v>bad loan</v>
      </c>
      <c r="V555" s="1" t="str">
        <f>IF(Table1[[#This Row],[Repayment_Status]]="late","high","low")</f>
        <v>high</v>
      </c>
      <c r="W555" s="1">
        <f>(Table1[[#This Row],[monthly_EMI]]/Table1[[#This Row],[monthly_income]])*100</f>
        <v>30</v>
      </c>
      <c r="X555" s="7">
        <v>21340.080000000002</v>
      </c>
    </row>
    <row r="556" spans="1:24" x14ac:dyDescent="0.25">
      <c r="A556" s="1" t="s">
        <v>161</v>
      </c>
      <c r="B556" s="2" t="s">
        <v>828</v>
      </c>
      <c r="C556" s="5">
        <v>37</v>
      </c>
      <c r="D556" s="1" t="s">
        <v>26</v>
      </c>
      <c r="E556" s="1" t="s">
        <v>27</v>
      </c>
      <c r="F556" s="1" t="s">
        <v>22</v>
      </c>
      <c r="G556" s="1">
        <f>YEAR(Table1[[#This Row],[Application_Date]])</f>
        <v>2025</v>
      </c>
      <c r="H556" s="1" t="str">
        <f>TEXT(Table1[[#This Row],[EMI_payment_date]],"mmmm")</f>
        <v>November</v>
      </c>
      <c r="I556" s="3">
        <v>45936</v>
      </c>
      <c r="J556" s="3">
        <f>EDATE(Table1[[#This Row],[Application_Date]],1)</f>
        <v>45967</v>
      </c>
      <c r="K556" s="9">
        <v>2196000</v>
      </c>
      <c r="L556" s="9">
        <f>Table1[[#This Row],[Annual_Income]]/12</f>
        <v>183000</v>
      </c>
      <c r="M556" s="9">
        <v>2396000</v>
      </c>
      <c r="N556" s="5">
        <f ca="1">DATEDIF(Table1[[#This Row],[EMI_payment_date]],TODAY(),"m")</f>
        <v>8</v>
      </c>
      <c r="O556" s="9">
        <f>9*Table1[[#This Row],[monthly_EMI]]</f>
        <v>494100</v>
      </c>
      <c r="P556" s="1">
        <v>5.28</v>
      </c>
      <c r="Q556" s="9">
        <f>Table1[[#This Row],[monthly_income]]*30%</f>
        <v>54900</v>
      </c>
      <c r="R556" s="1">
        <f>ROUNDUP(NPER(P556/100/12,-Q556,Table1[[#This Row],[Loan_Amount]]),0)</f>
        <v>49</v>
      </c>
      <c r="S556" s="1">
        <v>830</v>
      </c>
      <c r="T556" s="1" t="s">
        <v>20</v>
      </c>
      <c r="U556" s="1" t="str">
        <f>IF(Table1[[#This Row],[Repayment_Status]]="late","bad loan","good loan")</f>
        <v>good loan</v>
      </c>
      <c r="V556" s="1" t="str">
        <f>IF(Table1[[#This Row],[Repayment_Status]]="late","high","low")</f>
        <v>low</v>
      </c>
      <c r="W556" s="1">
        <f>(Table1[[#This Row],[monthly_EMI]]/Table1[[#This Row],[monthly_income]])*100</f>
        <v>30</v>
      </c>
      <c r="X556" s="7">
        <v>13796.75</v>
      </c>
    </row>
    <row r="557" spans="1:24" x14ac:dyDescent="0.25">
      <c r="A557" s="1" t="s">
        <v>472</v>
      </c>
      <c r="B557" s="2" t="s">
        <v>797</v>
      </c>
      <c r="C557" s="5">
        <v>54</v>
      </c>
      <c r="D557" s="1" t="s">
        <v>15</v>
      </c>
      <c r="E557" s="1" t="s">
        <v>27</v>
      </c>
      <c r="F557" s="1" t="s">
        <v>51</v>
      </c>
      <c r="G557" s="1">
        <f>YEAR(Table1[[#This Row],[Application_Date]])</f>
        <v>2025</v>
      </c>
      <c r="H557" s="1" t="str">
        <f>TEXT(Table1[[#This Row],[EMI_payment_date]],"mmmm")</f>
        <v>November</v>
      </c>
      <c r="I557" s="3">
        <v>45937</v>
      </c>
      <c r="J557" s="3">
        <f>EDATE(Table1[[#This Row],[Application_Date]],1)</f>
        <v>45968</v>
      </c>
      <c r="K557" s="9">
        <v>5928000</v>
      </c>
      <c r="L557" s="9">
        <f>Table1[[#This Row],[Annual_Income]]/12</f>
        <v>494000</v>
      </c>
      <c r="M557" s="9">
        <v>6128000</v>
      </c>
      <c r="N557" s="5">
        <f ca="1">DATEDIF(Table1[[#This Row],[EMI_payment_date]],TODAY(),"m")</f>
        <v>8</v>
      </c>
      <c r="O557" s="9">
        <f>9*Table1[[#This Row],[monthly_EMI]]</f>
        <v>1333800</v>
      </c>
      <c r="P557" s="1">
        <v>6.75</v>
      </c>
      <c r="Q557" s="9">
        <f>Table1[[#This Row],[monthly_income]]*30%</f>
        <v>148200</v>
      </c>
      <c r="R557" s="1">
        <f>ROUNDUP(NPER(P557/100/12,-Q557,Table1[[#This Row],[Loan_Amount]]),0)</f>
        <v>48</v>
      </c>
      <c r="S557" s="1">
        <v>691</v>
      </c>
      <c r="T557" s="1" t="s">
        <v>37</v>
      </c>
      <c r="U557" s="1" t="str">
        <f>IF(Table1[[#This Row],[Repayment_Status]]="late","bad loan","good loan")</f>
        <v>bad loan</v>
      </c>
      <c r="V557" s="1" t="str">
        <f>IF(Table1[[#This Row],[Repayment_Status]]="late","high","low")</f>
        <v>high</v>
      </c>
      <c r="W557" s="1">
        <f>(Table1[[#This Row],[monthly_EMI]]/Table1[[#This Row],[monthly_income]])*100</f>
        <v>30</v>
      </c>
      <c r="X557" s="7">
        <v>19739.939999999999</v>
      </c>
    </row>
    <row r="558" spans="1:24" x14ac:dyDescent="0.25">
      <c r="A558" s="1" t="s">
        <v>176</v>
      </c>
      <c r="B558" s="2" t="s">
        <v>830</v>
      </c>
      <c r="C558" s="5">
        <v>32</v>
      </c>
      <c r="D558" s="1" t="s">
        <v>15</v>
      </c>
      <c r="E558" s="1" t="s">
        <v>29</v>
      </c>
      <c r="F558" s="1" t="s">
        <v>22</v>
      </c>
      <c r="G558" s="1">
        <f>YEAR(Table1[[#This Row],[Application_Date]])</f>
        <v>2025</v>
      </c>
      <c r="H558" s="1" t="str">
        <f>TEXT(Table1[[#This Row],[EMI_payment_date]],"mmmm")</f>
        <v>November</v>
      </c>
      <c r="I558" s="3">
        <v>45938</v>
      </c>
      <c r="J558" s="3">
        <f>EDATE(Table1[[#This Row],[Application_Date]],1)</f>
        <v>45969</v>
      </c>
      <c r="K558" s="9">
        <v>2376000</v>
      </c>
      <c r="L558" s="9">
        <f>Table1[[#This Row],[Annual_Income]]/12</f>
        <v>198000</v>
      </c>
      <c r="M558" s="9">
        <v>2576000</v>
      </c>
      <c r="N558" s="5">
        <f ca="1">DATEDIF(Table1[[#This Row],[EMI_payment_date]],TODAY(),"m")</f>
        <v>8</v>
      </c>
      <c r="O558" s="9">
        <f>9*Table1[[#This Row],[monthly_EMI]]</f>
        <v>534600</v>
      </c>
      <c r="P558" s="1">
        <v>7.46</v>
      </c>
      <c r="Q558" s="9">
        <f>Table1[[#This Row],[monthly_income]]*30%</f>
        <v>59400</v>
      </c>
      <c r="R558" s="1">
        <f>ROUNDUP(NPER(P558/100/12,-Q558,Table1[[#This Row],[Loan_Amount]]),0)</f>
        <v>51</v>
      </c>
      <c r="S558" s="1">
        <v>741</v>
      </c>
      <c r="T558" s="1" t="s">
        <v>20</v>
      </c>
      <c r="U558" s="1" t="str">
        <f>IF(Table1[[#This Row],[Repayment_Status]]="late","bad loan","good loan")</f>
        <v>good loan</v>
      </c>
      <c r="V558" s="1" t="str">
        <f>IF(Table1[[#This Row],[Repayment_Status]]="late","high","low")</f>
        <v>low</v>
      </c>
      <c r="W558" s="1">
        <f>(Table1[[#This Row],[monthly_EMI]]/Table1[[#This Row],[monthly_income]])*100</f>
        <v>30</v>
      </c>
      <c r="X558" s="7">
        <v>27350.959999999999</v>
      </c>
    </row>
    <row r="559" spans="1:24" x14ac:dyDescent="0.25">
      <c r="A559" s="1" t="s">
        <v>199</v>
      </c>
      <c r="B559" s="2" t="s">
        <v>791</v>
      </c>
      <c r="C559" s="5">
        <v>34</v>
      </c>
      <c r="D559" s="1" t="s">
        <v>26</v>
      </c>
      <c r="E559" s="1" t="s">
        <v>36</v>
      </c>
      <c r="F559" s="1" t="s">
        <v>31</v>
      </c>
      <c r="G559" s="1">
        <f>YEAR(Table1[[#This Row],[Application_Date]])</f>
        <v>2025</v>
      </c>
      <c r="H559" s="1" t="str">
        <f>TEXT(Table1[[#This Row],[EMI_payment_date]],"mmmm")</f>
        <v>November</v>
      </c>
      <c r="I559" s="3">
        <v>45939</v>
      </c>
      <c r="J559" s="3">
        <f>EDATE(Table1[[#This Row],[Application_Date]],1)</f>
        <v>45970</v>
      </c>
      <c r="K559" s="9">
        <v>2652000</v>
      </c>
      <c r="L559" s="9">
        <f>Table1[[#This Row],[Annual_Income]]/12</f>
        <v>221000</v>
      </c>
      <c r="M559" s="9">
        <v>2852000</v>
      </c>
      <c r="N559" s="5">
        <f ca="1">DATEDIF(Table1[[#This Row],[EMI_payment_date]],TODAY(),"m")</f>
        <v>8</v>
      </c>
      <c r="O559" s="9">
        <f>9*Table1[[#This Row],[monthly_EMI]]</f>
        <v>596700</v>
      </c>
      <c r="P559" s="1">
        <v>5.42</v>
      </c>
      <c r="Q559" s="9">
        <f>Table1[[#This Row],[monthly_income]]*30%</f>
        <v>66300</v>
      </c>
      <c r="R559" s="1">
        <f>ROUNDUP(NPER(P559/100/12,-Q559,Table1[[#This Row],[Loan_Amount]]),0)</f>
        <v>48</v>
      </c>
      <c r="S559" s="1">
        <v>679</v>
      </c>
      <c r="T559" s="1" t="s">
        <v>20</v>
      </c>
      <c r="U559" s="1" t="str">
        <f>IF(Table1[[#This Row],[Repayment_Status]]="late","bad loan","good loan")</f>
        <v>good loan</v>
      </c>
      <c r="V559" s="1" t="str">
        <f>IF(Table1[[#This Row],[Repayment_Status]]="late","high","low")</f>
        <v>low</v>
      </c>
      <c r="W559" s="1">
        <f>(Table1[[#This Row],[monthly_EMI]]/Table1[[#This Row],[monthly_income]])*100</f>
        <v>30</v>
      </c>
      <c r="X559" s="7">
        <v>9769.19</v>
      </c>
    </row>
    <row r="560" spans="1:24" x14ac:dyDescent="0.25">
      <c r="A560" s="1" t="s">
        <v>574</v>
      </c>
      <c r="B560" s="2" t="s">
        <v>856</v>
      </c>
      <c r="C560" s="5">
        <v>24</v>
      </c>
      <c r="D560" s="1" t="s">
        <v>15</v>
      </c>
      <c r="E560" s="1" t="s">
        <v>29</v>
      </c>
      <c r="F560" s="1" t="s">
        <v>19</v>
      </c>
      <c r="G560" s="1">
        <f>YEAR(Table1[[#This Row],[Application_Date]])</f>
        <v>2025</v>
      </c>
      <c r="H560" s="1" t="str">
        <f>TEXT(Table1[[#This Row],[EMI_payment_date]],"mmmm")</f>
        <v>November</v>
      </c>
      <c r="I560" s="3">
        <v>45940</v>
      </c>
      <c r="J560" s="3">
        <f>EDATE(Table1[[#This Row],[Application_Date]],1)</f>
        <v>45971</v>
      </c>
      <c r="K560" s="9">
        <v>7152000</v>
      </c>
      <c r="L560" s="9">
        <f>Table1[[#This Row],[Annual_Income]]/12</f>
        <v>596000</v>
      </c>
      <c r="M560" s="9">
        <v>7352000</v>
      </c>
      <c r="N560" s="5">
        <f ca="1">DATEDIF(Table1[[#This Row],[EMI_payment_date]],TODAY(),"m")</f>
        <v>8</v>
      </c>
      <c r="O560" s="9">
        <f>9*Table1[[#This Row],[monthly_EMI]]</f>
        <v>1609200</v>
      </c>
      <c r="P560" s="1">
        <v>7.15</v>
      </c>
      <c r="Q560" s="9">
        <f>Table1[[#This Row],[monthly_income]]*30%</f>
        <v>178800</v>
      </c>
      <c r="R560" s="1">
        <f>ROUNDUP(NPER(P560/100/12,-Q560,Table1[[#This Row],[Loan_Amount]]),0)</f>
        <v>48</v>
      </c>
      <c r="S560" s="1">
        <v>767</v>
      </c>
      <c r="T560" s="1" t="s">
        <v>20</v>
      </c>
      <c r="U560" s="1" t="str">
        <f>IF(Table1[[#This Row],[Repayment_Status]]="late","bad loan","good loan")</f>
        <v>good loan</v>
      </c>
      <c r="V560" s="1" t="str">
        <f>IF(Table1[[#This Row],[Repayment_Status]]="late","high","low")</f>
        <v>low</v>
      </c>
      <c r="W560" s="1">
        <f>(Table1[[#This Row],[monthly_EMI]]/Table1[[#This Row],[monthly_income]])*100</f>
        <v>30</v>
      </c>
      <c r="X560" s="7">
        <v>26676.76</v>
      </c>
    </row>
    <row r="561" spans="1:24" x14ac:dyDescent="0.25">
      <c r="A561" s="1" t="s">
        <v>141</v>
      </c>
      <c r="B561" s="2" t="s">
        <v>817</v>
      </c>
      <c r="C561" s="5">
        <v>40</v>
      </c>
      <c r="D561" s="1" t="s">
        <v>26</v>
      </c>
      <c r="E561" s="1" t="s">
        <v>16</v>
      </c>
      <c r="F561" s="1" t="s">
        <v>19</v>
      </c>
      <c r="G561" s="1">
        <f>YEAR(Table1[[#This Row],[Application_Date]])</f>
        <v>2025</v>
      </c>
      <c r="H561" s="1" t="str">
        <f>TEXT(Table1[[#This Row],[EMI_payment_date]],"mmmm")</f>
        <v>November</v>
      </c>
      <c r="I561" s="3">
        <v>45941</v>
      </c>
      <c r="J561" s="3">
        <f>EDATE(Table1[[#This Row],[Application_Date]],1)</f>
        <v>45972</v>
      </c>
      <c r="K561" s="9">
        <v>1956000</v>
      </c>
      <c r="L561" s="9">
        <f>Table1[[#This Row],[Annual_Income]]/12</f>
        <v>163000</v>
      </c>
      <c r="M561" s="9">
        <v>2156000</v>
      </c>
      <c r="N561" s="5">
        <f ca="1">DATEDIF(Table1[[#This Row],[EMI_payment_date]],TODAY(),"m")</f>
        <v>8</v>
      </c>
      <c r="O561" s="9">
        <f>9*Table1[[#This Row],[monthly_EMI]]</f>
        <v>440100</v>
      </c>
      <c r="P561" s="1">
        <v>6.14</v>
      </c>
      <c r="Q561" s="9">
        <f>Table1[[#This Row],[monthly_income]]*30%</f>
        <v>48900</v>
      </c>
      <c r="R561" s="1">
        <f>ROUNDUP(NPER(P561/100/12,-Q561,Table1[[#This Row],[Loan_Amount]]),0)</f>
        <v>51</v>
      </c>
      <c r="S561" s="1">
        <v>655</v>
      </c>
      <c r="T561" s="1" t="s">
        <v>37</v>
      </c>
      <c r="U561" s="1" t="str">
        <f>IF(Table1[[#This Row],[Repayment_Status]]="late","bad loan","good loan")</f>
        <v>bad loan</v>
      </c>
      <c r="V561" s="1" t="str">
        <f>IF(Table1[[#This Row],[Repayment_Status]]="late","high","low")</f>
        <v>high</v>
      </c>
      <c r="W561" s="1">
        <f>(Table1[[#This Row],[monthly_EMI]]/Table1[[#This Row],[monthly_income]])*100</f>
        <v>30</v>
      </c>
      <c r="X561" s="7">
        <v>21703.35</v>
      </c>
    </row>
    <row r="562" spans="1:24" x14ac:dyDescent="0.25">
      <c r="A562" s="1" t="s">
        <v>120</v>
      </c>
      <c r="B562" s="2" t="s">
        <v>755</v>
      </c>
      <c r="C562" s="5">
        <v>34</v>
      </c>
      <c r="D562" s="1" t="s">
        <v>26</v>
      </c>
      <c r="E562" s="1" t="s">
        <v>16</v>
      </c>
      <c r="F562" s="1" t="s">
        <v>19</v>
      </c>
      <c r="G562" s="1">
        <f>YEAR(Table1[[#This Row],[Application_Date]])</f>
        <v>2025</v>
      </c>
      <c r="H562" s="1" t="str">
        <f>TEXT(Table1[[#This Row],[EMI_payment_date]],"mmmm")</f>
        <v>November</v>
      </c>
      <c r="I562" s="3">
        <v>45942</v>
      </c>
      <c r="J562" s="3">
        <f>EDATE(Table1[[#This Row],[Application_Date]],1)</f>
        <v>45973</v>
      </c>
      <c r="K562" s="9">
        <v>1704000</v>
      </c>
      <c r="L562" s="9">
        <f>Table1[[#This Row],[Annual_Income]]/12</f>
        <v>142000</v>
      </c>
      <c r="M562" s="9">
        <v>1904000</v>
      </c>
      <c r="N562" s="5">
        <f ca="1">DATEDIF(Table1[[#This Row],[EMI_payment_date]],TODAY(),"m")</f>
        <v>8</v>
      </c>
      <c r="O562" s="9">
        <f>9*Table1[[#This Row],[monthly_EMI]]</f>
        <v>383400</v>
      </c>
      <c r="P562" s="1">
        <v>6.28</v>
      </c>
      <c r="Q562" s="9">
        <f>Table1[[#This Row],[monthly_income]]*30%</f>
        <v>42600</v>
      </c>
      <c r="R562" s="1">
        <f>ROUNDUP(NPER(P562/100/12,-Q562,Table1[[#This Row],[Loan_Amount]]),0)</f>
        <v>52</v>
      </c>
      <c r="S562" s="1">
        <v>762</v>
      </c>
      <c r="T562" s="1" t="s">
        <v>20</v>
      </c>
      <c r="U562" s="1" t="str">
        <f>IF(Table1[[#This Row],[Repayment_Status]]="late","bad loan","good loan")</f>
        <v>good loan</v>
      </c>
      <c r="V562" s="1" t="str">
        <f>IF(Table1[[#This Row],[Repayment_Status]]="late","high","low")</f>
        <v>low</v>
      </c>
      <c r="W562" s="1">
        <f>(Table1[[#This Row],[monthly_EMI]]/Table1[[#This Row],[monthly_income]])*100</f>
        <v>30</v>
      </c>
      <c r="X562" s="7">
        <v>17999.919999999998</v>
      </c>
    </row>
    <row r="563" spans="1:24" x14ac:dyDescent="0.25">
      <c r="A563" s="1" t="s">
        <v>571</v>
      </c>
      <c r="B563" s="2" t="s">
        <v>845</v>
      </c>
      <c r="C563" s="5">
        <v>22</v>
      </c>
      <c r="D563" s="1" t="s">
        <v>15</v>
      </c>
      <c r="E563" s="1" t="s">
        <v>16</v>
      </c>
      <c r="F563" s="1" t="s">
        <v>22</v>
      </c>
      <c r="G563" s="1">
        <f>YEAR(Table1[[#This Row],[Application_Date]])</f>
        <v>2025</v>
      </c>
      <c r="H563" s="1" t="str">
        <f>TEXT(Table1[[#This Row],[EMI_payment_date]],"mmmm")</f>
        <v>November</v>
      </c>
      <c r="I563" s="3">
        <v>45943</v>
      </c>
      <c r="J563" s="3">
        <f>EDATE(Table1[[#This Row],[Application_Date]],1)</f>
        <v>45974</v>
      </c>
      <c r="K563" s="9">
        <v>7116000</v>
      </c>
      <c r="L563" s="9">
        <f>Table1[[#This Row],[Annual_Income]]/12</f>
        <v>593000</v>
      </c>
      <c r="M563" s="9">
        <v>7316000</v>
      </c>
      <c r="N563" s="5">
        <f ca="1">DATEDIF(Table1[[#This Row],[EMI_payment_date]],TODAY(),"m")</f>
        <v>8</v>
      </c>
      <c r="O563" s="9">
        <f>9*Table1[[#This Row],[monthly_EMI]]</f>
        <v>1601100</v>
      </c>
      <c r="P563" s="1">
        <v>8.49</v>
      </c>
      <c r="Q563" s="9">
        <f>Table1[[#This Row],[monthly_income]]*30%</f>
        <v>177900</v>
      </c>
      <c r="R563" s="1">
        <f>ROUNDUP(NPER(P563/100/12,-Q563,Table1[[#This Row],[Loan_Amount]]),0)</f>
        <v>49</v>
      </c>
      <c r="S563" s="1">
        <v>754</v>
      </c>
      <c r="T563" s="1" t="s">
        <v>20</v>
      </c>
      <c r="U563" s="1" t="str">
        <f>IF(Table1[[#This Row],[Repayment_Status]]="late","bad loan","good loan")</f>
        <v>good loan</v>
      </c>
      <c r="V563" s="1" t="str">
        <f>IF(Table1[[#This Row],[Repayment_Status]]="late","high","low")</f>
        <v>low</v>
      </c>
      <c r="W563" s="1">
        <f>(Table1[[#This Row],[monthly_EMI]]/Table1[[#This Row],[monthly_income]])*100</f>
        <v>30</v>
      </c>
      <c r="X563" s="7">
        <v>16157</v>
      </c>
    </row>
    <row r="564" spans="1:24" x14ac:dyDescent="0.25">
      <c r="A564" s="1" t="s">
        <v>140</v>
      </c>
      <c r="B564" s="2" t="s">
        <v>755</v>
      </c>
      <c r="C564" s="5">
        <v>51</v>
      </c>
      <c r="D564" s="1" t="s">
        <v>26</v>
      </c>
      <c r="E564" s="1" t="s">
        <v>16</v>
      </c>
      <c r="F564" s="1" t="s">
        <v>31</v>
      </c>
      <c r="G564" s="1">
        <f>YEAR(Table1[[#This Row],[Application_Date]])</f>
        <v>2025</v>
      </c>
      <c r="H564" s="1" t="str">
        <f>TEXT(Table1[[#This Row],[EMI_payment_date]],"mmmm")</f>
        <v>November</v>
      </c>
      <c r="I564" s="3">
        <v>45944</v>
      </c>
      <c r="J564" s="3">
        <f>EDATE(Table1[[#This Row],[Application_Date]],1)</f>
        <v>45975</v>
      </c>
      <c r="K564" s="9">
        <v>1944000</v>
      </c>
      <c r="L564" s="9">
        <f>Table1[[#This Row],[Annual_Income]]/12</f>
        <v>162000</v>
      </c>
      <c r="M564" s="9">
        <v>2144000</v>
      </c>
      <c r="N564" s="5">
        <f ca="1">DATEDIF(Table1[[#This Row],[EMI_payment_date]],TODAY(),"m")</f>
        <v>8</v>
      </c>
      <c r="O564" s="9">
        <f>9*Table1[[#This Row],[monthly_EMI]]</f>
        <v>437400</v>
      </c>
      <c r="P564" s="1">
        <v>7.14</v>
      </c>
      <c r="Q564" s="9">
        <f>Table1[[#This Row],[monthly_income]]*30%</f>
        <v>48600</v>
      </c>
      <c r="R564" s="1">
        <f>ROUNDUP(NPER(P564/100/12,-Q564,Table1[[#This Row],[Loan_Amount]]),0)</f>
        <v>52</v>
      </c>
      <c r="S564" s="1">
        <v>846</v>
      </c>
      <c r="T564" s="1" t="s">
        <v>20</v>
      </c>
      <c r="U564" s="1" t="str">
        <f>IF(Table1[[#This Row],[Repayment_Status]]="late","bad loan","good loan")</f>
        <v>good loan</v>
      </c>
      <c r="V564" s="1" t="str">
        <f>IF(Table1[[#This Row],[Repayment_Status]]="late","high","low")</f>
        <v>low</v>
      </c>
      <c r="W564" s="1">
        <f>(Table1[[#This Row],[monthly_EMI]]/Table1[[#This Row],[monthly_income]])*100</f>
        <v>30</v>
      </c>
      <c r="X564" s="7">
        <v>24798.05</v>
      </c>
    </row>
    <row r="565" spans="1:24" x14ac:dyDescent="0.25">
      <c r="A565" s="1" t="s">
        <v>517</v>
      </c>
      <c r="B565" s="2" t="s">
        <v>883</v>
      </c>
      <c r="C565" s="5">
        <v>40</v>
      </c>
      <c r="D565" s="1" t="s">
        <v>26</v>
      </c>
      <c r="E565" s="1" t="s">
        <v>33</v>
      </c>
      <c r="F565" s="1" t="s">
        <v>22</v>
      </c>
      <c r="G565" s="1">
        <f>YEAR(Table1[[#This Row],[Application_Date]])</f>
        <v>2025</v>
      </c>
      <c r="H565" s="1" t="str">
        <f>TEXT(Table1[[#This Row],[EMI_payment_date]],"mmmm")</f>
        <v>November</v>
      </c>
      <c r="I565" s="3">
        <v>45945</v>
      </c>
      <c r="J565" s="3">
        <f>EDATE(Table1[[#This Row],[Application_Date]],1)</f>
        <v>45976</v>
      </c>
      <c r="K565" s="9">
        <v>6468000</v>
      </c>
      <c r="L565" s="9">
        <f>Table1[[#This Row],[Annual_Income]]/12</f>
        <v>539000</v>
      </c>
      <c r="M565" s="9">
        <v>6668000</v>
      </c>
      <c r="N565" s="5">
        <f ca="1">DATEDIF(Table1[[#This Row],[EMI_payment_date]],TODAY(),"m")</f>
        <v>8</v>
      </c>
      <c r="O565" s="9">
        <f>9*Table1[[#This Row],[monthly_EMI]]</f>
        <v>1455300</v>
      </c>
      <c r="P565" s="1">
        <v>7.6</v>
      </c>
      <c r="Q565" s="9">
        <f>Table1[[#This Row],[monthly_income]]*30%</f>
        <v>161700</v>
      </c>
      <c r="R565" s="1">
        <f>ROUNDUP(NPER(P565/100/12,-Q565,Table1[[#This Row],[Loan_Amount]]),0)</f>
        <v>48</v>
      </c>
      <c r="S565" s="1">
        <v>838</v>
      </c>
      <c r="T565" s="1" t="s">
        <v>37</v>
      </c>
      <c r="U565" s="1" t="str">
        <f>IF(Table1[[#This Row],[Repayment_Status]]="late","bad loan","good loan")</f>
        <v>bad loan</v>
      </c>
      <c r="V565" s="1" t="str">
        <f>IF(Table1[[#This Row],[Repayment_Status]]="late","high","low")</f>
        <v>high</v>
      </c>
      <c r="W565" s="1">
        <f>(Table1[[#This Row],[monthly_EMI]]/Table1[[#This Row],[monthly_income]])*100</f>
        <v>30</v>
      </c>
      <c r="X565" s="7">
        <v>19426.419999999998</v>
      </c>
    </row>
    <row r="566" spans="1:24" x14ac:dyDescent="0.25">
      <c r="A566" s="1" t="s">
        <v>695</v>
      </c>
      <c r="B566" s="2" t="s">
        <v>760</v>
      </c>
      <c r="C566" s="5">
        <v>44</v>
      </c>
      <c r="D566" s="1" t="s">
        <v>26</v>
      </c>
      <c r="E566" s="1" t="s">
        <v>36</v>
      </c>
      <c r="F566" s="1" t="s">
        <v>19</v>
      </c>
      <c r="G566" s="1">
        <f>YEAR(Table1[[#This Row],[Application_Date]])</f>
        <v>2025</v>
      </c>
      <c r="H566" s="1" t="str">
        <f>TEXT(Table1[[#This Row],[EMI_payment_date]],"mmmm")</f>
        <v>November</v>
      </c>
      <c r="I566" s="3">
        <v>45946</v>
      </c>
      <c r="J566" s="3">
        <f>EDATE(Table1[[#This Row],[Application_Date]],1)</f>
        <v>45977</v>
      </c>
      <c r="K566" s="9">
        <v>8604000</v>
      </c>
      <c r="L566" s="9">
        <f>Table1[[#This Row],[Annual_Income]]/12</f>
        <v>717000</v>
      </c>
      <c r="M566" s="9">
        <v>8804000</v>
      </c>
      <c r="N566" s="5">
        <f ca="1">DATEDIF(Table1[[#This Row],[EMI_payment_date]],TODAY(),"m")</f>
        <v>8</v>
      </c>
      <c r="O566" s="9">
        <f>9*Table1[[#This Row],[monthly_EMI]]</f>
        <v>1935900</v>
      </c>
      <c r="P566" s="1">
        <v>5.32</v>
      </c>
      <c r="Q566" s="9">
        <f>Table1[[#This Row],[monthly_income]]*30%</f>
        <v>215100</v>
      </c>
      <c r="R566" s="1">
        <f>ROUNDUP(NPER(P566/100/12,-Q566,Table1[[#This Row],[Loan_Amount]]),0)</f>
        <v>46</v>
      </c>
      <c r="S566" s="1">
        <v>633</v>
      </c>
      <c r="T566" s="1" t="s">
        <v>20</v>
      </c>
      <c r="U566" s="1" t="str">
        <f>IF(Table1[[#This Row],[Repayment_Status]]="late","bad loan","good loan")</f>
        <v>good loan</v>
      </c>
      <c r="V566" s="1" t="str">
        <f>IF(Table1[[#This Row],[Repayment_Status]]="late","high","low")</f>
        <v>low</v>
      </c>
      <c r="W566" s="1">
        <f>(Table1[[#This Row],[monthly_EMI]]/Table1[[#This Row],[monthly_income]])*100</f>
        <v>30</v>
      </c>
      <c r="X566" s="7">
        <v>8228.69</v>
      </c>
    </row>
    <row r="567" spans="1:24" x14ac:dyDescent="0.25">
      <c r="A567" s="1" t="s">
        <v>356</v>
      </c>
      <c r="B567" s="2" t="s">
        <v>889</v>
      </c>
      <c r="C567" s="5">
        <v>50</v>
      </c>
      <c r="D567" s="1" t="s">
        <v>15</v>
      </c>
      <c r="E567" s="1" t="s">
        <v>29</v>
      </c>
      <c r="F567" s="1" t="s">
        <v>17</v>
      </c>
      <c r="G567" s="1">
        <f>YEAR(Table1[[#This Row],[Application_Date]])</f>
        <v>2025</v>
      </c>
      <c r="H567" s="1" t="str">
        <f>TEXT(Table1[[#This Row],[EMI_payment_date]],"mmmm")</f>
        <v>November</v>
      </c>
      <c r="I567" s="3">
        <v>45947</v>
      </c>
      <c r="J567" s="3">
        <f>EDATE(Table1[[#This Row],[Application_Date]],1)</f>
        <v>45978</v>
      </c>
      <c r="K567" s="9">
        <v>4536000</v>
      </c>
      <c r="L567" s="9">
        <f>Table1[[#This Row],[Annual_Income]]/12</f>
        <v>378000</v>
      </c>
      <c r="M567" s="9">
        <v>4736000</v>
      </c>
      <c r="N567" s="5">
        <f ca="1">DATEDIF(Table1[[#This Row],[EMI_payment_date]],TODAY(),"m")</f>
        <v>8</v>
      </c>
      <c r="O567" s="9">
        <f>9*Table1[[#This Row],[monthly_EMI]]</f>
        <v>1020600</v>
      </c>
      <c r="P567" s="1">
        <v>7.14</v>
      </c>
      <c r="Q567" s="9">
        <f>Table1[[#This Row],[monthly_income]]*30%</f>
        <v>113400</v>
      </c>
      <c r="R567" s="1">
        <f>ROUNDUP(NPER(P567/100/12,-Q567,Table1[[#This Row],[Loan_Amount]]),0)</f>
        <v>49</v>
      </c>
      <c r="S567" s="1">
        <v>813</v>
      </c>
      <c r="T567" s="1" t="s">
        <v>20</v>
      </c>
      <c r="U567" s="1" t="str">
        <f>IF(Table1[[#This Row],[Repayment_Status]]="late","bad loan","good loan")</f>
        <v>good loan</v>
      </c>
      <c r="V567" s="1" t="str">
        <f>IF(Table1[[#This Row],[Repayment_Status]]="late","high","low")</f>
        <v>low</v>
      </c>
      <c r="W567" s="1">
        <f>(Table1[[#This Row],[monthly_EMI]]/Table1[[#This Row],[monthly_income]])*100</f>
        <v>30</v>
      </c>
      <c r="X567" s="7">
        <v>27059.360000000001</v>
      </c>
    </row>
    <row r="568" spans="1:24" x14ac:dyDescent="0.25">
      <c r="A568" s="1" t="s">
        <v>164</v>
      </c>
      <c r="B568" s="2" t="s">
        <v>829</v>
      </c>
      <c r="C568" s="5">
        <v>44</v>
      </c>
      <c r="D568" s="1" t="s">
        <v>15</v>
      </c>
      <c r="E568" s="1" t="s">
        <v>29</v>
      </c>
      <c r="F568" s="1" t="s">
        <v>51</v>
      </c>
      <c r="G568" s="1">
        <f>YEAR(Table1[[#This Row],[Application_Date]])</f>
        <v>2025</v>
      </c>
      <c r="H568" s="1" t="str">
        <f>TEXT(Table1[[#This Row],[EMI_payment_date]],"mmmm")</f>
        <v>November</v>
      </c>
      <c r="I568" s="3">
        <v>45948</v>
      </c>
      <c r="J568" s="3">
        <f>EDATE(Table1[[#This Row],[Application_Date]],1)</f>
        <v>45979</v>
      </c>
      <c r="K568" s="9">
        <v>2232000</v>
      </c>
      <c r="L568" s="9">
        <f>Table1[[#This Row],[Annual_Income]]/12</f>
        <v>186000</v>
      </c>
      <c r="M568" s="9">
        <v>2432000</v>
      </c>
      <c r="N568" s="5">
        <f ca="1">DATEDIF(Table1[[#This Row],[EMI_payment_date]],TODAY(),"m")</f>
        <v>8</v>
      </c>
      <c r="O568" s="9">
        <f>9*Table1[[#This Row],[monthly_EMI]]</f>
        <v>502200</v>
      </c>
      <c r="P568" s="1">
        <v>5.89</v>
      </c>
      <c r="Q568" s="9">
        <f>Table1[[#This Row],[monthly_income]]*30%</f>
        <v>55800</v>
      </c>
      <c r="R568" s="1">
        <f>ROUNDUP(NPER(P568/100/12,-Q568,Table1[[#This Row],[Loan_Amount]]),0)</f>
        <v>50</v>
      </c>
      <c r="S568" s="1">
        <v>756</v>
      </c>
      <c r="T568" s="1" t="s">
        <v>37</v>
      </c>
      <c r="U568" s="1" t="str">
        <f>IF(Table1[[#This Row],[Repayment_Status]]="late","bad loan","good loan")</f>
        <v>bad loan</v>
      </c>
      <c r="V568" s="1" t="str">
        <f>IF(Table1[[#This Row],[Repayment_Status]]="late","high","low")</f>
        <v>high</v>
      </c>
      <c r="W568" s="1">
        <f>(Table1[[#This Row],[monthly_EMI]]/Table1[[#This Row],[monthly_income]])*100</f>
        <v>30</v>
      </c>
      <c r="X568" s="7">
        <v>19833.14</v>
      </c>
    </row>
    <row r="569" spans="1:24" x14ac:dyDescent="0.25">
      <c r="A569" s="1" t="s">
        <v>166</v>
      </c>
      <c r="B569" s="2" t="s">
        <v>773</v>
      </c>
      <c r="C569" s="5">
        <v>46</v>
      </c>
      <c r="D569" s="1" t="s">
        <v>26</v>
      </c>
      <c r="E569" s="1" t="s">
        <v>33</v>
      </c>
      <c r="F569" s="1" t="s">
        <v>31</v>
      </c>
      <c r="G569" s="1">
        <f>YEAR(Table1[[#This Row],[Application_Date]])</f>
        <v>2025</v>
      </c>
      <c r="H569" s="1" t="str">
        <f>TEXT(Table1[[#This Row],[EMI_payment_date]],"mmmm")</f>
        <v>November</v>
      </c>
      <c r="I569" s="3">
        <v>45949</v>
      </c>
      <c r="J569" s="3">
        <f>EDATE(Table1[[#This Row],[Application_Date]],1)</f>
        <v>45980</v>
      </c>
      <c r="K569" s="9">
        <v>2256000</v>
      </c>
      <c r="L569" s="9">
        <f>Table1[[#This Row],[Annual_Income]]/12</f>
        <v>188000</v>
      </c>
      <c r="M569" s="9">
        <v>2456000</v>
      </c>
      <c r="N569" s="5">
        <f ca="1">DATEDIF(Table1[[#This Row],[EMI_payment_date]],TODAY(),"m")</f>
        <v>8</v>
      </c>
      <c r="O569" s="9">
        <f>9*Table1[[#This Row],[monthly_EMI]]</f>
        <v>507600</v>
      </c>
      <c r="P569" s="1">
        <v>9.66</v>
      </c>
      <c r="Q569" s="9">
        <f>Table1[[#This Row],[monthly_income]]*30%</f>
        <v>56400</v>
      </c>
      <c r="R569" s="1">
        <f>ROUNDUP(NPER(P569/100/12,-Q569,Table1[[#This Row],[Loan_Amount]]),0)</f>
        <v>54</v>
      </c>
      <c r="S569" s="1">
        <v>668</v>
      </c>
      <c r="T569" s="1" t="s">
        <v>37</v>
      </c>
      <c r="U569" s="1" t="str">
        <f>IF(Table1[[#This Row],[Repayment_Status]]="late","bad loan","good loan")</f>
        <v>bad loan</v>
      </c>
      <c r="V569" s="1" t="str">
        <f>IF(Table1[[#This Row],[Repayment_Status]]="late","high","low")</f>
        <v>high</v>
      </c>
      <c r="W569" s="1">
        <f>(Table1[[#This Row],[monthly_EMI]]/Table1[[#This Row],[monthly_income]])*100</f>
        <v>30</v>
      </c>
      <c r="X569" s="7">
        <v>34816.239999999998</v>
      </c>
    </row>
    <row r="570" spans="1:24" x14ac:dyDescent="0.25">
      <c r="A570" s="1" t="s">
        <v>79</v>
      </c>
      <c r="B570" s="2" t="s">
        <v>776</v>
      </c>
      <c r="C570" s="5">
        <v>41</v>
      </c>
      <c r="D570" s="1" t="s">
        <v>15</v>
      </c>
      <c r="E570" s="1" t="s">
        <v>36</v>
      </c>
      <c r="F570" s="1" t="s">
        <v>19</v>
      </c>
      <c r="G570" s="1">
        <f>YEAR(Table1[[#This Row],[Application_Date]])</f>
        <v>2025</v>
      </c>
      <c r="H570" s="1" t="str">
        <f>TEXT(Table1[[#This Row],[EMI_payment_date]],"mmmm")</f>
        <v>November</v>
      </c>
      <c r="I570" s="3">
        <v>45950</v>
      </c>
      <c r="J570" s="3">
        <f>EDATE(Table1[[#This Row],[Application_Date]],1)</f>
        <v>45981</v>
      </c>
      <c r="K570" s="9">
        <v>1200000</v>
      </c>
      <c r="L570" s="9">
        <f>Table1[[#This Row],[Annual_Income]]/12</f>
        <v>100000</v>
      </c>
      <c r="M570" s="9">
        <v>1400000</v>
      </c>
      <c r="N570" s="5">
        <f ca="1">DATEDIF(Table1[[#This Row],[EMI_payment_date]],TODAY(),"m")</f>
        <v>8</v>
      </c>
      <c r="O570" s="9">
        <f>9*Table1[[#This Row],[monthly_EMI]]</f>
        <v>270000</v>
      </c>
      <c r="P570" s="1">
        <v>9.61</v>
      </c>
      <c r="Q570" s="9">
        <f>Table1[[#This Row],[monthly_income]]*30%</f>
        <v>30000</v>
      </c>
      <c r="R570" s="1">
        <f>ROUNDUP(NPER(P570/100/12,-Q570,Table1[[#This Row],[Loan_Amount]]),0)</f>
        <v>59</v>
      </c>
      <c r="S570" s="1">
        <v>622</v>
      </c>
      <c r="T570" s="1" t="s">
        <v>20</v>
      </c>
      <c r="U570" s="1" t="str">
        <f>IF(Table1[[#This Row],[Repayment_Status]]="late","bad loan","good loan")</f>
        <v>good loan</v>
      </c>
      <c r="V570" s="1" t="str">
        <f>IF(Table1[[#This Row],[Repayment_Status]]="late","high","low")</f>
        <v>low</v>
      </c>
      <c r="W570" s="1">
        <f>(Table1[[#This Row],[monthly_EMI]]/Table1[[#This Row],[monthly_income]])*100</f>
        <v>30</v>
      </c>
      <c r="X570" s="7">
        <v>42209.29</v>
      </c>
    </row>
    <row r="571" spans="1:24" x14ac:dyDescent="0.25">
      <c r="A571" s="1" t="s">
        <v>510</v>
      </c>
      <c r="B571" s="2" t="s">
        <v>820</v>
      </c>
      <c r="C571" s="5">
        <v>32</v>
      </c>
      <c r="D571" s="1" t="s">
        <v>15</v>
      </c>
      <c r="E571" s="1" t="s">
        <v>29</v>
      </c>
      <c r="F571" s="1" t="s">
        <v>22</v>
      </c>
      <c r="G571" s="1">
        <f>YEAR(Table1[[#This Row],[Application_Date]])</f>
        <v>2025</v>
      </c>
      <c r="H571" s="1" t="str">
        <f>TEXT(Table1[[#This Row],[EMI_payment_date]],"mmmm")</f>
        <v>November</v>
      </c>
      <c r="I571" s="3">
        <v>45951</v>
      </c>
      <c r="J571" s="3">
        <f>EDATE(Table1[[#This Row],[Application_Date]],1)</f>
        <v>45982</v>
      </c>
      <c r="K571" s="9">
        <v>6384000</v>
      </c>
      <c r="L571" s="9">
        <f>Table1[[#This Row],[Annual_Income]]/12</f>
        <v>532000</v>
      </c>
      <c r="M571" s="9">
        <v>6584000</v>
      </c>
      <c r="N571" s="5">
        <f ca="1">DATEDIF(Table1[[#This Row],[EMI_payment_date]],TODAY(),"m")</f>
        <v>8</v>
      </c>
      <c r="O571" s="9">
        <f>9*Table1[[#This Row],[monthly_EMI]]</f>
        <v>1436400</v>
      </c>
      <c r="P571" s="1">
        <v>9.1300000000000008</v>
      </c>
      <c r="Q571" s="9">
        <f>Table1[[#This Row],[monthly_income]]*30%</f>
        <v>159600</v>
      </c>
      <c r="R571" s="1">
        <f>ROUNDUP(NPER(P571/100/12,-Q571,Table1[[#This Row],[Loan_Amount]]),0)</f>
        <v>50</v>
      </c>
      <c r="S571" s="1">
        <v>830</v>
      </c>
      <c r="T571" s="1" t="s">
        <v>20</v>
      </c>
      <c r="U571" s="1" t="str">
        <f>IF(Table1[[#This Row],[Repayment_Status]]="late","bad loan","good loan")</f>
        <v>good loan</v>
      </c>
      <c r="V571" s="1" t="str">
        <f>IF(Table1[[#This Row],[Repayment_Status]]="late","high","low")</f>
        <v>low</v>
      </c>
      <c r="W571" s="1">
        <f>(Table1[[#This Row],[monthly_EMI]]/Table1[[#This Row],[monthly_income]])*100</f>
        <v>30</v>
      </c>
      <c r="X571" s="7">
        <v>24422.22</v>
      </c>
    </row>
    <row r="572" spans="1:24" x14ac:dyDescent="0.25">
      <c r="A572" s="1" t="s">
        <v>518</v>
      </c>
      <c r="B572" s="2" t="s">
        <v>835</v>
      </c>
      <c r="C572" s="5">
        <v>24</v>
      </c>
      <c r="D572" s="1" t="s">
        <v>26</v>
      </c>
      <c r="E572" s="1" t="s">
        <v>33</v>
      </c>
      <c r="F572" s="1" t="s">
        <v>17</v>
      </c>
      <c r="G572" s="1">
        <f>YEAR(Table1[[#This Row],[Application_Date]])</f>
        <v>2025</v>
      </c>
      <c r="H572" s="1" t="str">
        <f>TEXT(Table1[[#This Row],[EMI_payment_date]],"mmmm")</f>
        <v>November</v>
      </c>
      <c r="I572" s="3">
        <v>45952</v>
      </c>
      <c r="J572" s="3">
        <f>EDATE(Table1[[#This Row],[Application_Date]],1)</f>
        <v>45983</v>
      </c>
      <c r="K572" s="9">
        <v>6480000</v>
      </c>
      <c r="L572" s="9">
        <f>Table1[[#This Row],[Annual_Income]]/12</f>
        <v>540000</v>
      </c>
      <c r="M572" s="9">
        <v>6680000</v>
      </c>
      <c r="N572" s="5">
        <f ca="1">DATEDIF(Table1[[#This Row],[EMI_payment_date]],TODAY(),"m")</f>
        <v>8</v>
      </c>
      <c r="O572" s="9">
        <f>9*Table1[[#This Row],[monthly_EMI]]</f>
        <v>1458000</v>
      </c>
      <c r="P572" s="1">
        <v>7.06</v>
      </c>
      <c r="Q572" s="9">
        <f>Table1[[#This Row],[monthly_income]]*30%</f>
        <v>162000</v>
      </c>
      <c r="R572" s="1">
        <f>ROUNDUP(NPER(P572/100/12,-Q572,Table1[[#This Row],[Loan_Amount]]),0)</f>
        <v>48</v>
      </c>
      <c r="S572" s="1">
        <v>810</v>
      </c>
      <c r="T572" s="1" t="s">
        <v>20</v>
      </c>
      <c r="U572" s="1" t="str">
        <f>IF(Table1[[#This Row],[Repayment_Status]]="late","bad loan","good loan")</f>
        <v>good loan</v>
      </c>
      <c r="V572" s="1" t="str">
        <f>IF(Table1[[#This Row],[Repayment_Status]]="late","high","low")</f>
        <v>low</v>
      </c>
      <c r="W572" s="1">
        <f>(Table1[[#This Row],[monthly_EMI]]/Table1[[#This Row],[monthly_income]])*100</f>
        <v>30</v>
      </c>
      <c r="X572" s="7">
        <v>9088.51</v>
      </c>
    </row>
    <row r="573" spans="1:24" x14ac:dyDescent="0.25">
      <c r="A573" s="1" t="s">
        <v>636</v>
      </c>
      <c r="B573" s="2" t="s">
        <v>793</v>
      </c>
      <c r="C573" s="5">
        <v>43</v>
      </c>
      <c r="D573" s="1" t="s">
        <v>15</v>
      </c>
      <c r="E573" s="1" t="s">
        <v>33</v>
      </c>
      <c r="F573" s="1" t="s">
        <v>19</v>
      </c>
      <c r="G573" s="1">
        <f>YEAR(Table1[[#This Row],[Application_Date]])</f>
        <v>2025</v>
      </c>
      <c r="H573" s="1" t="str">
        <f>TEXT(Table1[[#This Row],[EMI_payment_date]],"mmmm")</f>
        <v>November</v>
      </c>
      <c r="I573" s="3">
        <v>45953</v>
      </c>
      <c r="J573" s="3">
        <f>EDATE(Table1[[#This Row],[Application_Date]],1)</f>
        <v>45984</v>
      </c>
      <c r="K573" s="9">
        <v>7896000</v>
      </c>
      <c r="L573" s="9">
        <f>Table1[[#This Row],[Annual_Income]]/12</f>
        <v>658000</v>
      </c>
      <c r="M573" s="9">
        <v>8096000</v>
      </c>
      <c r="N573" s="5">
        <f ca="1">DATEDIF(Table1[[#This Row],[EMI_payment_date]],TODAY(),"m")</f>
        <v>8</v>
      </c>
      <c r="O573" s="9">
        <f>9*Table1[[#This Row],[monthly_EMI]]</f>
        <v>1776600</v>
      </c>
      <c r="P573" s="1">
        <v>6.07</v>
      </c>
      <c r="Q573" s="9">
        <f>Table1[[#This Row],[monthly_income]]*30%</f>
        <v>197400</v>
      </c>
      <c r="R573" s="1">
        <f>ROUNDUP(NPER(P573/100/12,-Q573,Table1[[#This Row],[Loan_Amount]]),0)</f>
        <v>47</v>
      </c>
      <c r="S573" s="1">
        <v>610</v>
      </c>
      <c r="T573" s="1" t="s">
        <v>20</v>
      </c>
      <c r="U573" s="1" t="str">
        <f>IF(Table1[[#This Row],[Repayment_Status]]="late","bad loan","good loan")</f>
        <v>good loan</v>
      </c>
      <c r="V573" s="1" t="str">
        <f>IF(Table1[[#This Row],[Repayment_Status]]="late","high","low")</f>
        <v>low</v>
      </c>
      <c r="W573" s="1">
        <f>(Table1[[#This Row],[monthly_EMI]]/Table1[[#This Row],[monthly_income]])*100</f>
        <v>30</v>
      </c>
      <c r="X573" s="7">
        <v>17622.82</v>
      </c>
    </row>
    <row r="574" spans="1:24" x14ac:dyDescent="0.25">
      <c r="A574" s="1" t="s">
        <v>255</v>
      </c>
      <c r="B574" s="2" t="s">
        <v>842</v>
      </c>
      <c r="C574" s="5">
        <v>49</v>
      </c>
      <c r="D574" s="1" t="s">
        <v>15</v>
      </c>
      <c r="E574" s="1" t="s">
        <v>16</v>
      </c>
      <c r="F574" s="1" t="s">
        <v>22</v>
      </c>
      <c r="G574" s="1">
        <f>YEAR(Table1[[#This Row],[Application_Date]])</f>
        <v>2025</v>
      </c>
      <c r="H574" s="1" t="str">
        <f>TEXT(Table1[[#This Row],[EMI_payment_date]],"mmmm")</f>
        <v>November</v>
      </c>
      <c r="I574" s="3">
        <v>45954</v>
      </c>
      <c r="J574" s="3">
        <f>EDATE(Table1[[#This Row],[Application_Date]],1)</f>
        <v>45985</v>
      </c>
      <c r="K574" s="9">
        <v>3324000</v>
      </c>
      <c r="L574" s="9">
        <f>Table1[[#This Row],[Annual_Income]]/12</f>
        <v>277000</v>
      </c>
      <c r="M574" s="9">
        <v>3524000</v>
      </c>
      <c r="N574" s="5">
        <f ca="1">DATEDIF(Table1[[#This Row],[EMI_payment_date]],TODAY(),"m")</f>
        <v>8</v>
      </c>
      <c r="O574" s="9">
        <f>9*Table1[[#This Row],[monthly_EMI]]</f>
        <v>747900</v>
      </c>
      <c r="P574" s="1">
        <v>6.16</v>
      </c>
      <c r="Q574" s="9">
        <f>Table1[[#This Row],[monthly_income]]*30%</f>
        <v>83100</v>
      </c>
      <c r="R574" s="1">
        <f>ROUNDUP(NPER(P574/100/12,-Q574,Table1[[#This Row],[Loan_Amount]]),0)</f>
        <v>48</v>
      </c>
      <c r="S574" s="1">
        <v>721</v>
      </c>
      <c r="T574" s="1" t="s">
        <v>37</v>
      </c>
      <c r="U574" s="1" t="str">
        <f>IF(Table1[[#This Row],[Repayment_Status]]="late","bad loan","good loan")</f>
        <v>bad loan</v>
      </c>
      <c r="V574" s="1" t="str">
        <f>IF(Table1[[#This Row],[Repayment_Status]]="late","high","low")</f>
        <v>high</v>
      </c>
      <c r="W574" s="1">
        <f>(Table1[[#This Row],[monthly_EMI]]/Table1[[#This Row],[monthly_income]])*100</f>
        <v>30</v>
      </c>
      <c r="X574" s="7">
        <v>11421.16</v>
      </c>
    </row>
    <row r="575" spans="1:24" x14ac:dyDescent="0.25">
      <c r="A575" s="1" t="s">
        <v>162</v>
      </c>
      <c r="B575" s="2" t="s">
        <v>779</v>
      </c>
      <c r="C575" s="5">
        <v>22</v>
      </c>
      <c r="D575" s="1" t="s">
        <v>15</v>
      </c>
      <c r="E575" s="1" t="s">
        <v>27</v>
      </c>
      <c r="F575" s="1" t="s">
        <v>19</v>
      </c>
      <c r="G575" s="1">
        <f>YEAR(Table1[[#This Row],[Application_Date]])</f>
        <v>2025</v>
      </c>
      <c r="H575" s="1" t="str">
        <f>TEXT(Table1[[#This Row],[EMI_payment_date]],"mmmm")</f>
        <v>November</v>
      </c>
      <c r="I575" s="3">
        <v>45955</v>
      </c>
      <c r="J575" s="3">
        <f>EDATE(Table1[[#This Row],[Application_Date]],1)</f>
        <v>45986</v>
      </c>
      <c r="K575" s="9">
        <v>2208000</v>
      </c>
      <c r="L575" s="9">
        <f>Table1[[#This Row],[Annual_Income]]/12</f>
        <v>184000</v>
      </c>
      <c r="M575" s="9">
        <v>2408000</v>
      </c>
      <c r="N575" s="5">
        <f ca="1">DATEDIF(Table1[[#This Row],[EMI_payment_date]],TODAY(),"m")</f>
        <v>8</v>
      </c>
      <c r="O575" s="9">
        <f>9*Table1[[#This Row],[monthly_EMI]]</f>
        <v>496800</v>
      </c>
      <c r="P575" s="1">
        <v>8.3000000000000007</v>
      </c>
      <c r="Q575" s="9">
        <f>Table1[[#This Row],[monthly_income]]*30%</f>
        <v>55200</v>
      </c>
      <c r="R575" s="1">
        <f>ROUNDUP(NPER(P575/100/12,-Q575,Table1[[#This Row],[Loan_Amount]]),0)</f>
        <v>53</v>
      </c>
      <c r="S575" s="1">
        <v>771</v>
      </c>
      <c r="T575" s="1" t="s">
        <v>20</v>
      </c>
      <c r="U575" s="1" t="str">
        <f>IF(Table1[[#This Row],[Repayment_Status]]="late","bad loan","good loan")</f>
        <v>good loan</v>
      </c>
      <c r="V575" s="1" t="str">
        <f>IF(Table1[[#This Row],[Repayment_Status]]="late","high","low")</f>
        <v>low</v>
      </c>
      <c r="W575" s="1">
        <f>(Table1[[#This Row],[monthly_EMI]]/Table1[[#This Row],[monthly_income]])*100</f>
        <v>30</v>
      </c>
      <c r="X575" s="7">
        <v>11854.24</v>
      </c>
    </row>
    <row r="576" spans="1:24" x14ac:dyDescent="0.25">
      <c r="A576" s="1" t="s">
        <v>437</v>
      </c>
      <c r="B576" s="2" t="s">
        <v>813</v>
      </c>
      <c r="C576" s="5">
        <v>25</v>
      </c>
      <c r="D576" s="1" t="s">
        <v>26</v>
      </c>
      <c r="E576" s="1" t="s">
        <v>29</v>
      </c>
      <c r="F576" s="1" t="s">
        <v>17</v>
      </c>
      <c r="G576" s="1">
        <f>YEAR(Table1[[#This Row],[Application_Date]])</f>
        <v>2025</v>
      </c>
      <c r="H576" s="1" t="str">
        <f>TEXT(Table1[[#This Row],[EMI_payment_date]],"mmmm")</f>
        <v>November</v>
      </c>
      <c r="I576" s="3">
        <v>45956</v>
      </c>
      <c r="J576" s="3">
        <f>EDATE(Table1[[#This Row],[Application_Date]],1)</f>
        <v>45987</v>
      </c>
      <c r="K576" s="9">
        <v>5508000</v>
      </c>
      <c r="L576" s="9">
        <f>Table1[[#This Row],[Annual_Income]]/12</f>
        <v>459000</v>
      </c>
      <c r="M576" s="9">
        <v>5708000</v>
      </c>
      <c r="N576" s="5">
        <f ca="1">DATEDIF(Table1[[#This Row],[EMI_payment_date]],TODAY(),"m")</f>
        <v>8</v>
      </c>
      <c r="O576" s="9">
        <f>9*Table1[[#This Row],[monthly_EMI]]</f>
        <v>1239300</v>
      </c>
      <c r="P576" s="1">
        <v>5.87</v>
      </c>
      <c r="Q576" s="9">
        <f>Table1[[#This Row],[monthly_income]]*30%</f>
        <v>137700</v>
      </c>
      <c r="R576" s="1">
        <f>ROUNDUP(NPER(P576/100/12,-Q576,Table1[[#This Row],[Loan_Amount]]),0)</f>
        <v>47</v>
      </c>
      <c r="S576" s="1">
        <v>785</v>
      </c>
      <c r="T576" s="1" t="s">
        <v>20</v>
      </c>
      <c r="U576" s="1" t="str">
        <f>IF(Table1[[#This Row],[Repayment_Status]]="late","bad loan","good loan")</f>
        <v>good loan</v>
      </c>
      <c r="V576" s="1" t="str">
        <f>IF(Table1[[#This Row],[Repayment_Status]]="late","high","low")</f>
        <v>low</v>
      </c>
      <c r="W576" s="1">
        <f>(Table1[[#This Row],[monthly_EMI]]/Table1[[#This Row],[monthly_income]])*100</f>
        <v>30</v>
      </c>
      <c r="X576" s="7">
        <v>26490.560000000001</v>
      </c>
    </row>
    <row r="577" spans="1:24" x14ac:dyDescent="0.25">
      <c r="A577" s="1" t="s">
        <v>146</v>
      </c>
      <c r="B577" s="2" t="s">
        <v>820</v>
      </c>
      <c r="C577" s="5">
        <v>60</v>
      </c>
      <c r="D577" s="1" t="s">
        <v>15</v>
      </c>
      <c r="E577" s="1" t="s">
        <v>33</v>
      </c>
      <c r="F577" s="1" t="s">
        <v>19</v>
      </c>
      <c r="G577" s="1">
        <f>YEAR(Table1[[#This Row],[Application_Date]])</f>
        <v>2025</v>
      </c>
      <c r="H577" s="1" t="str">
        <f>TEXT(Table1[[#This Row],[EMI_payment_date]],"mmmm")</f>
        <v>November</v>
      </c>
      <c r="I577" s="3">
        <v>45957</v>
      </c>
      <c r="J577" s="3">
        <f>EDATE(Table1[[#This Row],[Application_Date]],1)</f>
        <v>45988</v>
      </c>
      <c r="K577" s="9">
        <v>2016000</v>
      </c>
      <c r="L577" s="9">
        <f>Table1[[#This Row],[Annual_Income]]/12</f>
        <v>168000</v>
      </c>
      <c r="M577" s="9">
        <v>2216000</v>
      </c>
      <c r="N577" s="5">
        <f ca="1">DATEDIF(Table1[[#This Row],[EMI_payment_date]],TODAY(),"m")</f>
        <v>8</v>
      </c>
      <c r="O577" s="9">
        <f>9*Table1[[#This Row],[monthly_EMI]]</f>
        <v>453600</v>
      </c>
      <c r="P577" s="1">
        <v>5.56</v>
      </c>
      <c r="Q577" s="9">
        <f>Table1[[#This Row],[monthly_income]]*30%</f>
        <v>50400</v>
      </c>
      <c r="R577" s="1">
        <f>ROUNDUP(NPER(P577/100/12,-Q577,Table1[[#This Row],[Loan_Amount]]),0)</f>
        <v>50</v>
      </c>
      <c r="S577" s="1">
        <v>794</v>
      </c>
      <c r="T577" s="1" t="s">
        <v>20</v>
      </c>
      <c r="U577" s="1" t="str">
        <f>IF(Table1[[#This Row],[Repayment_Status]]="late","bad loan","good loan")</f>
        <v>good loan</v>
      </c>
      <c r="V577" s="1" t="str">
        <f>IF(Table1[[#This Row],[Repayment_Status]]="late","high","low")</f>
        <v>low</v>
      </c>
      <c r="W577" s="1">
        <f>(Table1[[#This Row],[monthly_EMI]]/Table1[[#This Row],[monthly_income]])*100</f>
        <v>30</v>
      </c>
      <c r="X577" s="7">
        <v>17270.27</v>
      </c>
    </row>
    <row r="578" spans="1:24" x14ac:dyDescent="0.25">
      <c r="A578" s="1" t="s">
        <v>453</v>
      </c>
      <c r="B578" s="2" t="s">
        <v>757</v>
      </c>
      <c r="C578" s="5">
        <v>48</v>
      </c>
      <c r="D578" s="1" t="s">
        <v>26</v>
      </c>
      <c r="E578" s="1" t="s">
        <v>29</v>
      </c>
      <c r="F578" s="1" t="s">
        <v>19</v>
      </c>
      <c r="G578" s="1">
        <f>YEAR(Table1[[#This Row],[Application_Date]])</f>
        <v>2025</v>
      </c>
      <c r="H578" s="1" t="str">
        <f>TEXT(Table1[[#This Row],[EMI_payment_date]],"mmmm")</f>
        <v>November</v>
      </c>
      <c r="I578" s="3">
        <v>45958</v>
      </c>
      <c r="J578" s="3">
        <f>EDATE(Table1[[#This Row],[Application_Date]],1)</f>
        <v>45989</v>
      </c>
      <c r="K578" s="9">
        <v>5700000</v>
      </c>
      <c r="L578" s="9">
        <f>Table1[[#This Row],[Annual_Income]]/12</f>
        <v>475000</v>
      </c>
      <c r="M578" s="9">
        <v>5900000</v>
      </c>
      <c r="N578" s="5">
        <f ca="1">DATEDIF(Table1[[#This Row],[EMI_payment_date]],TODAY(),"m")</f>
        <v>8</v>
      </c>
      <c r="O578" s="9">
        <f>9*Table1[[#This Row],[monthly_EMI]]</f>
        <v>1282500</v>
      </c>
      <c r="P578" s="1">
        <v>6.36</v>
      </c>
      <c r="Q578" s="9">
        <f>Table1[[#This Row],[monthly_income]]*30%</f>
        <v>142500</v>
      </c>
      <c r="R578" s="1">
        <f>ROUNDUP(NPER(P578/100/12,-Q578,Table1[[#This Row],[Loan_Amount]]),0)</f>
        <v>47</v>
      </c>
      <c r="S578" s="1">
        <v>782</v>
      </c>
      <c r="T578" s="1" t="s">
        <v>20</v>
      </c>
      <c r="U578" s="1" t="str">
        <f>IF(Table1[[#This Row],[Repayment_Status]]="late","bad loan","good loan")</f>
        <v>good loan</v>
      </c>
      <c r="V578" s="1" t="str">
        <f>IF(Table1[[#This Row],[Repayment_Status]]="late","high","low")</f>
        <v>low</v>
      </c>
      <c r="W578" s="1">
        <f>(Table1[[#This Row],[monthly_EMI]]/Table1[[#This Row],[monthly_income]])*100</f>
        <v>30</v>
      </c>
      <c r="X578" s="7">
        <v>17207.009999999998</v>
      </c>
    </row>
    <row r="579" spans="1:24" x14ac:dyDescent="0.25">
      <c r="A579" s="1" t="s">
        <v>224</v>
      </c>
      <c r="B579" s="2" t="s">
        <v>858</v>
      </c>
      <c r="C579" s="5">
        <v>53</v>
      </c>
      <c r="D579" s="1" t="s">
        <v>15</v>
      </c>
      <c r="E579" s="1" t="s">
        <v>24</v>
      </c>
      <c r="F579" s="1" t="s">
        <v>19</v>
      </c>
      <c r="G579" s="1">
        <f>YEAR(Table1[[#This Row],[Application_Date]])</f>
        <v>2025</v>
      </c>
      <c r="H579" s="1" t="str">
        <f>TEXT(Table1[[#This Row],[EMI_payment_date]],"mmmm")</f>
        <v>November</v>
      </c>
      <c r="I579" s="3">
        <v>45959</v>
      </c>
      <c r="J579" s="3">
        <f>EDATE(Table1[[#This Row],[Application_Date]],1)</f>
        <v>45990</v>
      </c>
      <c r="K579" s="9">
        <v>2952000</v>
      </c>
      <c r="L579" s="9">
        <f>Table1[[#This Row],[Annual_Income]]/12</f>
        <v>246000</v>
      </c>
      <c r="M579" s="9">
        <v>3152000</v>
      </c>
      <c r="N579" s="5">
        <f ca="1">DATEDIF(Table1[[#This Row],[EMI_payment_date]],TODAY(),"m")</f>
        <v>8</v>
      </c>
      <c r="O579" s="9">
        <f>9*Table1[[#This Row],[monthly_EMI]]</f>
        <v>664200</v>
      </c>
      <c r="P579" s="1">
        <v>7.14</v>
      </c>
      <c r="Q579" s="9">
        <f>Table1[[#This Row],[monthly_income]]*30%</f>
        <v>73800</v>
      </c>
      <c r="R579" s="1">
        <f>ROUNDUP(NPER(P579/100/12,-Q579,Table1[[#This Row],[Loan_Amount]]),0)</f>
        <v>50</v>
      </c>
      <c r="S579" s="1">
        <v>828</v>
      </c>
      <c r="T579" s="1" t="s">
        <v>20</v>
      </c>
      <c r="U579" s="1" t="str">
        <f>IF(Table1[[#This Row],[Repayment_Status]]="late","bad loan","good loan")</f>
        <v>good loan</v>
      </c>
      <c r="V579" s="1" t="str">
        <f>IF(Table1[[#This Row],[Repayment_Status]]="late","high","low")</f>
        <v>low</v>
      </c>
      <c r="W579" s="1">
        <f>(Table1[[#This Row],[monthly_EMI]]/Table1[[#This Row],[monthly_income]])*100</f>
        <v>30</v>
      </c>
      <c r="X579" s="7">
        <v>13452</v>
      </c>
    </row>
    <row r="580" spans="1:24" x14ac:dyDescent="0.25">
      <c r="A580" s="1" t="s">
        <v>470</v>
      </c>
      <c r="B580" s="2" t="s">
        <v>908</v>
      </c>
      <c r="C580" s="5">
        <v>31</v>
      </c>
      <c r="D580" s="1" t="s">
        <v>26</v>
      </c>
      <c r="E580" s="1" t="s">
        <v>33</v>
      </c>
      <c r="F580" s="1" t="s">
        <v>51</v>
      </c>
      <c r="G580" s="1">
        <f>YEAR(Table1[[#This Row],[Application_Date]])</f>
        <v>2025</v>
      </c>
      <c r="H580" s="1" t="str">
        <f>TEXT(Table1[[#This Row],[EMI_payment_date]],"mmmm")</f>
        <v>November</v>
      </c>
      <c r="I580" s="3">
        <v>45960</v>
      </c>
      <c r="J580" s="3">
        <f>EDATE(Table1[[#This Row],[Application_Date]],1)</f>
        <v>45991</v>
      </c>
      <c r="K580" s="9">
        <v>5904000</v>
      </c>
      <c r="L580" s="9">
        <f>Table1[[#This Row],[Annual_Income]]/12</f>
        <v>492000</v>
      </c>
      <c r="M580" s="9">
        <v>6104000</v>
      </c>
      <c r="N580" s="5">
        <f ca="1">DATEDIF(Table1[[#This Row],[EMI_payment_date]],TODAY(),"m")</f>
        <v>8</v>
      </c>
      <c r="O580" s="9">
        <f>9*Table1[[#This Row],[monthly_EMI]]</f>
        <v>1328400</v>
      </c>
      <c r="P580" s="1">
        <v>9.09</v>
      </c>
      <c r="Q580" s="9">
        <f>Table1[[#This Row],[monthly_income]]*30%</f>
        <v>147600</v>
      </c>
      <c r="R580" s="1">
        <f>ROUNDUP(NPER(P580/100/12,-Q580,Table1[[#This Row],[Loan_Amount]]),0)</f>
        <v>50</v>
      </c>
      <c r="S580" s="1">
        <v>843</v>
      </c>
      <c r="T580" s="1" t="s">
        <v>37</v>
      </c>
      <c r="U580" s="1" t="str">
        <f>IF(Table1[[#This Row],[Repayment_Status]]="late","bad loan","good loan")</f>
        <v>bad loan</v>
      </c>
      <c r="V580" s="1" t="str">
        <f>IF(Table1[[#This Row],[Repayment_Status]]="late","high","low")</f>
        <v>high</v>
      </c>
      <c r="W580" s="1">
        <f>(Table1[[#This Row],[monthly_EMI]]/Table1[[#This Row],[monthly_income]])*100</f>
        <v>30</v>
      </c>
      <c r="X580" s="7">
        <v>28715</v>
      </c>
    </row>
    <row r="581" spans="1:24" x14ac:dyDescent="0.25">
      <c r="A581" s="1" t="s">
        <v>630</v>
      </c>
      <c r="B581" s="2" t="s">
        <v>918</v>
      </c>
      <c r="C581" s="5">
        <v>51</v>
      </c>
      <c r="D581" s="1" t="s">
        <v>15</v>
      </c>
      <c r="E581" s="1" t="s">
        <v>29</v>
      </c>
      <c r="F581" s="1" t="s">
        <v>22</v>
      </c>
      <c r="G581" s="1">
        <f>YEAR(Table1[[#This Row],[Application_Date]])</f>
        <v>2025</v>
      </c>
      <c r="H581" s="1" t="str">
        <f>TEXT(Table1[[#This Row],[EMI_payment_date]],"mmmm")</f>
        <v>November</v>
      </c>
      <c r="I581" s="3">
        <v>45961</v>
      </c>
      <c r="J581" s="3">
        <f>EDATE(Table1[[#This Row],[Application_Date]],1)</f>
        <v>45991</v>
      </c>
      <c r="K581" s="9">
        <v>7824000</v>
      </c>
      <c r="L581" s="9">
        <f>Table1[[#This Row],[Annual_Income]]/12</f>
        <v>652000</v>
      </c>
      <c r="M581" s="9">
        <v>8024000</v>
      </c>
      <c r="N581" s="5">
        <f ca="1">DATEDIF(Table1[[#This Row],[EMI_payment_date]],TODAY(),"m")</f>
        <v>8</v>
      </c>
      <c r="O581" s="9">
        <f>9*Table1[[#This Row],[monthly_EMI]]</f>
        <v>1760400</v>
      </c>
      <c r="P581" s="1">
        <v>7.29</v>
      </c>
      <c r="Q581" s="9">
        <f>Table1[[#This Row],[monthly_income]]*30%</f>
        <v>195600</v>
      </c>
      <c r="R581" s="1">
        <f>ROUNDUP(NPER(P581/100/12,-Q581,Table1[[#This Row],[Loan_Amount]]),0)</f>
        <v>48</v>
      </c>
      <c r="S581" s="1">
        <v>839</v>
      </c>
      <c r="T581" s="1" t="s">
        <v>20</v>
      </c>
      <c r="U581" s="1" t="str">
        <f>IF(Table1[[#This Row],[Repayment_Status]]="late","bad loan","good loan")</f>
        <v>good loan</v>
      </c>
      <c r="V581" s="1" t="str">
        <f>IF(Table1[[#This Row],[Repayment_Status]]="late","high","low")</f>
        <v>low</v>
      </c>
      <c r="W581" s="1">
        <f>(Table1[[#This Row],[monthly_EMI]]/Table1[[#This Row],[monthly_income]])*100</f>
        <v>30</v>
      </c>
      <c r="X581" s="7">
        <v>14004.53</v>
      </c>
    </row>
    <row r="582" spans="1:24" x14ac:dyDescent="0.25">
      <c r="A582" s="1" t="s">
        <v>28</v>
      </c>
      <c r="B582" s="2" t="s">
        <v>734</v>
      </c>
      <c r="C582" s="5">
        <v>30</v>
      </c>
      <c r="D582" s="1" t="s">
        <v>15</v>
      </c>
      <c r="E582" s="1" t="s">
        <v>29</v>
      </c>
      <c r="F582" s="1" t="s">
        <v>19</v>
      </c>
      <c r="G582" s="1">
        <f>YEAR(Table1[[#This Row],[Application_Date]])</f>
        <v>2025</v>
      </c>
      <c r="H582" s="1" t="str">
        <f>TEXT(Table1[[#This Row],[EMI_payment_date]],"mmmm")</f>
        <v>December</v>
      </c>
      <c r="I582" s="3">
        <v>45962</v>
      </c>
      <c r="J582" s="3">
        <f>EDATE(Table1[[#This Row],[Application_Date]],1)</f>
        <v>45992</v>
      </c>
      <c r="K582" s="9">
        <v>660000</v>
      </c>
      <c r="L582" s="9">
        <f>Table1[[#This Row],[Annual_Income]]/12</f>
        <v>55000</v>
      </c>
      <c r="M582" s="9">
        <v>860000</v>
      </c>
      <c r="N582" s="5">
        <f ca="1">DATEDIF(Table1[[#This Row],[EMI_payment_date]],TODAY(),"m")</f>
        <v>7</v>
      </c>
      <c r="O582" s="9">
        <f>8*Table1[[#This Row],[monthly_EMI]]</f>
        <v>132000</v>
      </c>
      <c r="P582" s="1">
        <v>6.74</v>
      </c>
      <c r="Q582" s="9">
        <f>Table1[[#This Row],[monthly_income]]*30%</f>
        <v>16500</v>
      </c>
      <c r="R582" s="1">
        <f>ROUNDUP(NPER(P582/100/12,-Q582,Table1[[#This Row],[Loan_Amount]]),0)</f>
        <v>62</v>
      </c>
      <c r="S582" s="1">
        <v>713</v>
      </c>
      <c r="T582" s="1" t="s">
        <v>20</v>
      </c>
      <c r="U582" s="1" t="str">
        <f>IF(Table1[[#This Row],[Repayment_Status]]="late","bad loan","good loan")</f>
        <v>good loan</v>
      </c>
      <c r="V582" s="1" t="str">
        <f>IF(Table1[[#This Row],[Repayment_Status]]="late","high","low")</f>
        <v>low</v>
      </c>
      <c r="W582" s="1">
        <f>(Table1[[#This Row],[monthly_EMI]]/Table1[[#This Row],[monthly_income]])*100</f>
        <v>30</v>
      </c>
      <c r="X582" s="7">
        <v>15184.87</v>
      </c>
    </row>
    <row r="583" spans="1:24" x14ac:dyDescent="0.25">
      <c r="A583" s="1" t="s">
        <v>134</v>
      </c>
      <c r="B583" s="2" t="s">
        <v>813</v>
      </c>
      <c r="C583" s="5">
        <v>40</v>
      </c>
      <c r="D583" s="1" t="s">
        <v>15</v>
      </c>
      <c r="E583" s="1" t="s">
        <v>29</v>
      </c>
      <c r="F583" s="1" t="s">
        <v>22</v>
      </c>
      <c r="G583" s="1">
        <f>YEAR(Table1[[#This Row],[Application_Date]])</f>
        <v>2025</v>
      </c>
      <c r="H583" s="1" t="str">
        <f>TEXT(Table1[[#This Row],[EMI_payment_date]],"mmmm")</f>
        <v>December</v>
      </c>
      <c r="I583" s="3">
        <v>45963</v>
      </c>
      <c r="J583" s="3">
        <f>EDATE(Table1[[#This Row],[Application_Date]],1)</f>
        <v>45993</v>
      </c>
      <c r="K583" s="9">
        <v>1872000</v>
      </c>
      <c r="L583" s="9">
        <f>Table1[[#This Row],[Annual_Income]]/12</f>
        <v>156000</v>
      </c>
      <c r="M583" s="9">
        <v>2072000</v>
      </c>
      <c r="N583" s="5">
        <f ca="1">DATEDIF(Table1[[#This Row],[EMI_payment_date]],TODAY(),"m")</f>
        <v>7</v>
      </c>
      <c r="O583" s="9">
        <f>8*Table1[[#This Row],[monthly_EMI]]</f>
        <v>374400</v>
      </c>
      <c r="P583" s="1">
        <v>8.51</v>
      </c>
      <c r="Q583" s="9">
        <f>Table1[[#This Row],[monthly_income]]*30%</f>
        <v>46800</v>
      </c>
      <c r="R583" s="1">
        <f>ROUNDUP(NPER(P583/100/12,-Q583,Table1[[#This Row],[Loan_Amount]]),0)</f>
        <v>54</v>
      </c>
      <c r="S583" s="1">
        <v>755</v>
      </c>
      <c r="T583" s="1" t="s">
        <v>20</v>
      </c>
      <c r="U583" s="1" t="str">
        <f>IF(Table1[[#This Row],[Repayment_Status]]="late","bad loan","good loan")</f>
        <v>good loan</v>
      </c>
      <c r="V583" s="1" t="str">
        <f>IF(Table1[[#This Row],[Repayment_Status]]="late","high","low")</f>
        <v>low</v>
      </c>
      <c r="W583" s="1">
        <f>(Table1[[#This Row],[monthly_EMI]]/Table1[[#This Row],[monthly_income]])*100</f>
        <v>30</v>
      </c>
      <c r="X583" s="7">
        <v>24782.5</v>
      </c>
    </row>
    <row r="584" spans="1:24" x14ac:dyDescent="0.25">
      <c r="A584" s="1" t="s">
        <v>349</v>
      </c>
      <c r="B584" s="2" t="s">
        <v>788</v>
      </c>
      <c r="C584" s="5">
        <v>48</v>
      </c>
      <c r="D584" s="1" t="s">
        <v>15</v>
      </c>
      <c r="E584" s="1" t="s">
        <v>16</v>
      </c>
      <c r="F584" s="1" t="s">
        <v>22</v>
      </c>
      <c r="G584" s="1">
        <f>YEAR(Table1[[#This Row],[Application_Date]])</f>
        <v>2025</v>
      </c>
      <c r="H584" s="1" t="str">
        <f>TEXT(Table1[[#This Row],[EMI_payment_date]],"mmmm")</f>
        <v>December</v>
      </c>
      <c r="I584" s="3">
        <v>45964</v>
      </c>
      <c r="J584" s="3">
        <f>EDATE(Table1[[#This Row],[Application_Date]],1)</f>
        <v>45994</v>
      </c>
      <c r="K584" s="9">
        <v>4452000</v>
      </c>
      <c r="L584" s="9">
        <f>Table1[[#This Row],[Annual_Income]]/12</f>
        <v>371000</v>
      </c>
      <c r="M584" s="9">
        <v>4652000</v>
      </c>
      <c r="N584" s="5">
        <f ca="1">DATEDIF(Table1[[#This Row],[EMI_payment_date]],TODAY(),"m")</f>
        <v>7</v>
      </c>
      <c r="O584" s="9">
        <f>8*Table1[[#This Row],[monthly_EMI]]</f>
        <v>890400</v>
      </c>
      <c r="P584" s="1">
        <v>9.7799999999999994</v>
      </c>
      <c r="Q584" s="9">
        <f>Table1[[#This Row],[monthly_income]]*30%</f>
        <v>111300</v>
      </c>
      <c r="R584" s="1">
        <f>ROUNDUP(NPER(P584/100/12,-Q584,Table1[[#This Row],[Loan_Amount]]),0)</f>
        <v>52</v>
      </c>
      <c r="S584" s="1">
        <v>723</v>
      </c>
      <c r="T584" s="1" t="s">
        <v>20</v>
      </c>
      <c r="U584" s="1" t="str">
        <f>IF(Table1[[#This Row],[Repayment_Status]]="late","bad loan","good loan")</f>
        <v>good loan</v>
      </c>
      <c r="V584" s="1" t="str">
        <f>IF(Table1[[#This Row],[Repayment_Status]]="late","high","low")</f>
        <v>low</v>
      </c>
      <c r="W584" s="1">
        <f>(Table1[[#This Row],[monthly_EMI]]/Table1[[#This Row],[monthly_income]])*100</f>
        <v>30</v>
      </c>
      <c r="X584" s="7">
        <v>27465.53</v>
      </c>
    </row>
    <row r="585" spans="1:24" x14ac:dyDescent="0.25">
      <c r="A585" s="1" t="s">
        <v>180</v>
      </c>
      <c r="B585" s="2" t="s">
        <v>835</v>
      </c>
      <c r="C585" s="5">
        <v>38</v>
      </c>
      <c r="D585" s="1" t="s">
        <v>15</v>
      </c>
      <c r="E585" s="1" t="s">
        <v>29</v>
      </c>
      <c r="F585" s="1" t="s">
        <v>22</v>
      </c>
      <c r="G585" s="1">
        <f>YEAR(Table1[[#This Row],[Application_Date]])</f>
        <v>2025</v>
      </c>
      <c r="H585" s="1" t="str">
        <f>TEXT(Table1[[#This Row],[EMI_payment_date]],"mmmm")</f>
        <v>December</v>
      </c>
      <c r="I585" s="3">
        <v>45965</v>
      </c>
      <c r="J585" s="3">
        <f>EDATE(Table1[[#This Row],[Application_Date]],1)</f>
        <v>45995</v>
      </c>
      <c r="K585" s="9">
        <v>2424000</v>
      </c>
      <c r="L585" s="9">
        <f>Table1[[#This Row],[Annual_Income]]/12</f>
        <v>202000</v>
      </c>
      <c r="M585" s="9">
        <v>2624000</v>
      </c>
      <c r="N585" s="5">
        <f ca="1">DATEDIF(Table1[[#This Row],[EMI_payment_date]],TODAY(),"m")</f>
        <v>7</v>
      </c>
      <c r="O585" s="9">
        <f>8*Table1[[#This Row],[monthly_EMI]]</f>
        <v>484800</v>
      </c>
      <c r="P585" s="1">
        <v>8.42</v>
      </c>
      <c r="Q585" s="9">
        <f>Table1[[#This Row],[monthly_income]]*30%</f>
        <v>60600</v>
      </c>
      <c r="R585" s="1">
        <f>ROUNDUP(NPER(P585/100/12,-Q585,Table1[[#This Row],[Loan_Amount]]),0)</f>
        <v>52</v>
      </c>
      <c r="S585" s="1">
        <v>806</v>
      </c>
      <c r="T585" s="1" t="s">
        <v>37</v>
      </c>
      <c r="U585" s="1" t="str">
        <f>IF(Table1[[#This Row],[Repayment_Status]]="late","bad loan","good loan")</f>
        <v>bad loan</v>
      </c>
      <c r="V585" s="1" t="str">
        <f>IF(Table1[[#This Row],[Repayment_Status]]="late","high","low")</f>
        <v>high</v>
      </c>
      <c r="W585" s="1">
        <f>(Table1[[#This Row],[monthly_EMI]]/Table1[[#This Row],[monthly_income]])*100</f>
        <v>30</v>
      </c>
      <c r="X585" s="7">
        <v>14871.45</v>
      </c>
    </row>
    <row r="586" spans="1:24" x14ac:dyDescent="0.25">
      <c r="A586" s="1" t="s">
        <v>473</v>
      </c>
      <c r="B586" s="2" t="s">
        <v>795</v>
      </c>
      <c r="C586" s="5">
        <v>29</v>
      </c>
      <c r="D586" s="1" t="s">
        <v>15</v>
      </c>
      <c r="E586" s="1" t="s">
        <v>24</v>
      </c>
      <c r="F586" s="1" t="s">
        <v>31</v>
      </c>
      <c r="G586" s="1">
        <f>YEAR(Table1[[#This Row],[Application_Date]])</f>
        <v>2025</v>
      </c>
      <c r="H586" s="1" t="str">
        <f>TEXT(Table1[[#This Row],[EMI_payment_date]],"mmmm")</f>
        <v>December</v>
      </c>
      <c r="I586" s="3">
        <v>45966</v>
      </c>
      <c r="J586" s="3">
        <f>EDATE(Table1[[#This Row],[Application_Date]],1)</f>
        <v>45996</v>
      </c>
      <c r="K586" s="9">
        <v>5940000</v>
      </c>
      <c r="L586" s="9">
        <f>Table1[[#This Row],[Annual_Income]]/12</f>
        <v>495000</v>
      </c>
      <c r="M586" s="9">
        <v>6140000</v>
      </c>
      <c r="N586" s="5">
        <f ca="1">DATEDIF(Table1[[#This Row],[EMI_payment_date]],TODAY(),"m")</f>
        <v>7</v>
      </c>
      <c r="O586" s="9">
        <f>8*Table1[[#This Row],[monthly_EMI]]</f>
        <v>1188000</v>
      </c>
      <c r="P586" s="1">
        <v>6.14</v>
      </c>
      <c r="Q586" s="9">
        <f>Table1[[#This Row],[monthly_income]]*30%</f>
        <v>148500</v>
      </c>
      <c r="R586" s="1">
        <f>ROUNDUP(NPER(P586/100/12,-Q586,Table1[[#This Row],[Loan_Amount]]),0)</f>
        <v>47</v>
      </c>
      <c r="S586" s="1">
        <v>768</v>
      </c>
      <c r="T586" s="1" t="s">
        <v>37</v>
      </c>
      <c r="U586" s="1" t="str">
        <f>IF(Table1[[#This Row],[Repayment_Status]]="late","bad loan","good loan")</f>
        <v>bad loan</v>
      </c>
      <c r="V586" s="1" t="str">
        <f>IF(Table1[[#This Row],[Repayment_Status]]="late","high","low")</f>
        <v>high</v>
      </c>
      <c r="W586" s="1">
        <f>(Table1[[#This Row],[monthly_EMI]]/Table1[[#This Row],[monthly_income]])*100</f>
        <v>30</v>
      </c>
      <c r="X586" s="7">
        <v>22250.41</v>
      </c>
    </row>
    <row r="587" spans="1:24" x14ac:dyDescent="0.25">
      <c r="A587" s="1" t="s">
        <v>495</v>
      </c>
      <c r="B587" s="2" t="s">
        <v>745</v>
      </c>
      <c r="C587" s="5">
        <v>40</v>
      </c>
      <c r="D587" s="1" t="s">
        <v>15</v>
      </c>
      <c r="E587" s="1" t="s">
        <v>27</v>
      </c>
      <c r="F587" s="1" t="s">
        <v>31</v>
      </c>
      <c r="G587" s="1">
        <f>YEAR(Table1[[#This Row],[Application_Date]])</f>
        <v>2025</v>
      </c>
      <c r="H587" s="1" t="str">
        <f>TEXT(Table1[[#This Row],[EMI_payment_date]],"mmmm")</f>
        <v>December</v>
      </c>
      <c r="I587" s="3">
        <v>45967</v>
      </c>
      <c r="J587" s="3">
        <f>EDATE(Table1[[#This Row],[Application_Date]],1)</f>
        <v>45997</v>
      </c>
      <c r="K587" s="9">
        <v>6204000</v>
      </c>
      <c r="L587" s="9">
        <f>Table1[[#This Row],[Annual_Income]]/12</f>
        <v>517000</v>
      </c>
      <c r="M587" s="9">
        <v>6404000</v>
      </c>
      <c r="N587" s="5">
        <f ca="1">DATEDIF(Table1[[#This Row],[EMI_payment_date]],TODAY(),"m")</f>
        <v>7</v>
      </c>
      <c r="O587" s="9">
        <f>8*Table1[[#This Row],[monthly_EMI]]</f>
        <v>1240800</v>
      </c>
      <c r="P587" s="1">
        <v>8.9600000000000009</v>
      </c>
      <c r="Q587" s="9">
        <f>Table1[[#This Row],[monthly_income]]*30%</f>
        <v>155100</v>
      </c>
      <c r="R587" s="1">
        <f>ROUNDUP(NPER(P587/100/12,-Q587,Table1[[#This Row],[Loan_Amount]]),0)</f>
        <v>50</v>
      </c>
      <c r="S587" s="1">
        <v>724</v>
      </c>
      <c r="T587" s="1" t="s">
        <v>37</v>
      </c>
      <c r="U587" s="1" t="str">
        <f>IF(Table1[[#This Row],[Repayment_Status]]="late","bad loan","good loan")</f>
        <v>bad loan</v>
      </c>
      <c r="V587" s="1" t="str">
        <f>IF(Table1[[#This Row],[Repayment_Status]]="late","high","low")</f>
        <v>high</v>
      </c>
      <c r="W587" s="1">
        <f>(Table1[[#This Row],[monthly_EMI]]/Table1[[#This Row],[monthly_income]])*100</f>
        <v>30</v>
      </c>
      <c r="X587" s="7">
        <v>21930.6</v>
      </c>
    </row>
    <row r="588" spans="1:24" x14ac:dyDescent="0.25">
      <c r="A588" s="1" t="s">
        <v>400</v>
      </c>
      <c r="B588" s="2" t="s">
        <v>772</v>
      </c>
      <c r="C588" s="5">
        <v>50</v>
      </c>
      <c r="D588" s="1" t="s">
        <v>15</v>
      </c>
      <c r="E588" s="1" t="s">
        <v>24</v>
      </c>
      <c r="F588" s="1" t="s">
        <v>31</v>
      </c>
      <c r="G588" s="1">
        <f>YEAR(Table1[[#This Row],[Application_Date]])</f>
        <v>2025</v>
      </c>
      <c r="H588" s="1" t="str">
        <f>TEXT(Table1[[#This Row],[EMI_payment_date]],"mmmm")</f>
        <v>December</v>
      </c>
      <c r="I588" s="3">
        <v>45968</v>
      </c>
      <c r="J588" s="3">
        <f>EDATE(Table1[[#This Row],[Application_Date]],1)</f>
        <v>45998</v>
      </c>
      <c r="K588" s="9">
        <v>5064000</v>
      </c>
      <c r="L588" s="9">
        <f>Table1[[#This Row],[Annual_Income]]/12</f>
        <v>422000</v>
      </c>
      <c r="M588" s="9">
        <v>5264000</v>
      </c>
      <c r="N588" s="5">
        <f ca="1">DATEDIF(Table1[[#This Row],[EMI_payment_date]],TODAY(),"m")</f>
        <v>7</v>
      </c>
      <c r="O588" s="9">
        <f>8*Table1[[#This Row],[monthly_EMI]]</f>
        <v>1012800</v>
      </c>
      <c r="P588" s="1">
        <v>9.51</v>
      </c>
      <c r="Q588" s="9">
        <f>Table1[[#This Row],[monthly_income]]*30%</f>
        <v>126600</v>
      </c>
      <c r="R588" s="1">
        <f>ROUNDUP(NPER(P588/100/12,-Q588,Table1[[#This Row],[Loan_Amount]]),0)</f>
        <v>51</v>
      </c>
      <c r="S588" s="1">
        <v>845</v>
      </c>
      <c r="T588" s="1" t="s">
        <v>37</v>
      </c>
      <c r="U588" s="1" t="str">
        <f>IF(Table1[[#This Row],[Repayment_Status]]="late","bad loan","good loan")</f>
        <v>bad loan</v>
      </c>
      <c r="V588" s="1" t="str">
        <f>IF(Table1[[#This Row],[Repayment_Status]]="late","high","low")</f>
        <v>high</v>
      </c>
      <c r="W588" s="1">
        <f>(Table1[[#This Row],[monthly_EMI]]/Table1[[#This Row],[monthly_income]])*100</f>
        <v>30</v>
      </c>
      <c r="X588" s="7">
        <v>35859.74</v>
      </c>
    </row>
    <row r="589" spans="1:24" x14ac:dyDescent="0.25">
      <c r="A589" s="1" t="s">
        <v>628</v>
      </c>
      <c r="B589" s="2" t="s">
        <v>783</v>
      </c>
      <c r="C589" s="5">
        <v>54</v>
      </c>
      <c r="D589" s="1" t="s">
        <v>15</v>
      </c>
      <c r="E589" s="1" t="s">
        <v>27</v>
      </c>
      <c r="F589" s="1" t="s">
        <v>17</v>
      </c>
      <c r="G589" s="1">
        <f>YEAR(Table1[[#This Row],[Application_Date]])</f>
        <v>2025</v>
      </c>
      <c r="H589" s="1" t="str">
        <f>TEXT(Table1[[#This Row],[EMI_payment_date]],"mmmm")</f>
        <v>December</v>
      </c>
      <c r="I589" s="3">
        <v>45969</v>
      </c>
      <c r="J589" s="3">
        <f>EDATE(Table1[[#This Row],[Application_Date]],1)</f>
        <v>45999</v>
      </c>
      <c r="K589" s="9">
        <v>7800000</v>
      </c>
      <c r="L589" s="9">
        <f>Table1[[#This Row],[Annual_Income]]/12</f>
        <v>650000</v>
      </c>
      <c r="M589" s="9">
        <v>8000000</v>
      </c>
      <c r="N589" s="5">
        <f ca="1">DATEDIF(Table1[[#This Row],[EMI_payment_date]],TODAY(),"m")</f>
        <v>7</v>
      </c>
      <c r="O589" s="9">
        <f>8*Table1[[#This Row],[monthly_EMI]]</f>
        <v>1560000</v>
      </c>
      <c r="P589" s="1">
        <v>5.54</v>
      </c>
      <c r="Q589" s="9">
        <f>Table1[[#This Row],[monthly_income]]*30%</f>
        <v>195000</v>
      </c>
      <c r="R589" s="1">
        <f>ROUNDUP(NPER(P589/100/12,-Q589,Table1[[#This Row],[Loan_Amount]]),0)</f>
        <v>46</v>
      </c>
      <c r="S589" s="1">
        <v>678</v>
      </c>
      <c r="T589" s="1" t="s">
        <v>20</v>
      </c>
      <c r="U589" s="1" t="str">
        <f>IF(Table1[[#This Row],[Repayment_Status]]="late","bad loan","good loan")</f>
        <v>good loan</v>
      </c>
      <c r="V589" s="1" t="str">
        <f>IF(Table1[[#This Row],[Repayment_Status]]="late","high","low")</f>
        <v>low</v>
      </c>
      <c r="W589" s="1">
        <f>(Table1[[#This Row],[monthly_EMI]]/Table1[[#This Row],[monthly_income]])*100</f>
        <v>30</v>
      </c>
      <c r="X589" s="7">
        <v>15907.3</v>
      </c>
    </row>
    <row r="590" spans="1:24" x14ac:dyDescent="0.25">
      <c r="A590" s="1" t="s">
        <v>303</v>
      </c>
      <c r="B590" s="2" t="s">
        <v>748</v>
      </c>
      <c r="C590" s="5">
        <v>40</v>
      </c>
      <c r="D590" s="1" t="s">
        <v>26</v>
      </c>
      <c r="E590" s="1" t="s">
        <v>24</v>
      </c>
      <c r="F590" s="1" t="s">
        <v>22</v>
      </c>
      <c r="G590" s="1">
        <f>YEAR(Table1[[#This Row],[Application_Date]])</f>
        <v>2025</v>
      </c>
      <c r="H590" s="1" t="str">
        <f>TEXT(Table1[[#This Row],[EMI_payment_date]],"mmmm")</f>
        <v>December</v>
      </c>
      <c r="I590" s="3">
        <v>45970</v>
      </c>
      <c r="J590" s="3">
        <f>EDATE(Table1[[#This Row],[Application_Date]],1)</f>
        <v>46000</v>
      </c>
      <c r="K590" s="9">
        <v>3900000</v>
      </c>
      <c r="L590" s="9">
        <f>Table1[[#This Row],[Annual_Income]]/12</f>
        <v>325000</v>
      </c>
      <c r="M590" s="9">
        <v>4100000</v>
      </c>
      <c r="N590" s="5">
        <f ca="1">DATEDIF(Table1[[#This Row],[EMI_payment_date]],TODAY(),"m")</f>
        <v>7</v>
      </c>
      <c r="O590" s="9">
        <f>8*Table1[[#This Row],[monthly_EMI]]</f>
        <v>780000</v>
      </c>
      <c r="P590" s="1">
        <v>8</v>
      </c>
      <c r="Q590" s="9">
        <f>Table1[[#This Row],[monthly_income]]*30%</f>
        <v>97500</v>
      </c>
      <c r="R590" s="1">
        <f>ROUNDUP(NPER(P590/100/12,-Q590,Table1[[#This Row],[Loan_Amount]]),0)</f>
        <v>50</v>
      </c>
      <c r="S590" s="1">
        <v>753</v>
      </c>
      <c r="T590" s="1" t="s">
        <v>20</v>
      </c>
      <c r="U590" s="1" t="str">
        <f>IF(Table1[[#This Row],[Repayment_Status]]="late","bad loan","good loan")</f>
        <v>good loan</v>
      </c>
      <c r="V590" s="1" t="str">
        <f>IF(Table1[[#This Row],[Repayment_Status]]="late","high","low")</f>
        <v>low</v>
      </c>
      <c r="W590" s="1">
        <f>(Table1[[#This Row],[monthly_EMI]]/Table1[[#This Row],[monthly_income]])*100</f>
        <v>30</v>
      </c>
      <c r="X590" s="7">
        <v>26518.43</v>
      </c>
    </row>
    <row r="591" spans="1:24" x14ac:dyDescent="0.25">
      <c r="A591" s="1" t="s">
        <v>471</v>
      </c>
      <c r="B591" s="2" t="s">
        <v>874</v>
      </c>
      <c r="C591" s="5">
        <v>58</v>
      </c>
      <c r="D591" s="1" t="s">
        <v>15</v>
      </c>
      <c r="E591" s="1" t="s">
        <v>36</v>
      </c>
      <c r="F591" s="1" t="s">
        <v>19</v>
      </c>
      <c r="G591" s="1">
        <f>YEAR(Table1[[#This Row],[Application_Date]])</f>
        <v>2025</v>
      </c>
      <c r="H591" s="1" t="str">
        <f>TEXT(Table1[[#This Row],[EMI_payment_date]],"mmmm")</f>
        <v>December</v>
      </c>
      <c r="I591" s="3">
        <v>45971</v>
      </c>
      <c r="J591" s="3">
        <f>EDATE(Table1[[#This Row],[Application_Date]],1)</f>
        <v>46001</v>
      </c>
      <c r="K591" s="9">
        <v>5916000</v>
      </c>
      <c r="L591" s="9">
        <f>Table1[[#This Row],[Annual_Income]]/12</f>
        <v>493000</v>
      </c>
      <c r="M591" s="9">
        <v>6116000</v>
      </c>
      <c r="N591" s="5">
        <f ca="1">DATEDIF(Table1[[#This Row],[EMI_payment_date]],TODAY(),"m")</f>
        <v>7</v>
      </c>
      <c r="O591" s="9">
        <f>8*Table1[[#This Row],[monthly_EMI]]</f>
        <v>1183200</v>
      </c>
      <c r="P591" s="1">
        <v>5.78</v>
      </c>
      <c r="Q591" s="9">
        <f>Table1[[#This Row],[monthly_income]]*30%</f>
        <v>147900</v>
      </c>
      <c r="R591" s="1">
        <f>ROUNDUP(NPER(P591/100/12,-Q591,Table1[[#This Row],[Loan_Amount]]),0)</f>
        <v>47</v>
      </c>
      <c r="S591" s="1">
        <v>673</v>
      </c>
      <c r="T591" s="1" t="s">
        <v>37</v>
      </c>
      <c r="U591" s="1" t="str">
        <f>IF(Table1[[#This Row],[Repayment_Status]]="late","bad loan","good loan")</f>
        <v>bad loan</v>
      </c>
      <c r="V591" s="1" t="str">
        <f>IF(Table1[[#This Row],[Repayment_Status]]="late","high","low")</f>
        <v>high</v>
      </c>
      <c r="W591" s="1">
        <f>(Table1[[#This Row],[monthly_EMI]]/Table1[[#This Row],[monthly_income]])*100</f>
        <v>30</v>
      </c>
      <c r="X591" s="7">
        <v>15351.37</v>
      </c>
    </row>
    <row r="592" spans="1:24" x14ac:dyDescent="0.25">
      <c r="A592" s="1" t="s">
        <v>522</v>
      </c>
      <c r="B592" s="2" t="s">
        <v>908</v>
      </c>
      <c r="C592" s="5">
        <v>38</v>
      </c>
      <c r="D592" s="1" t="s">
        <v>26</v>
      </c>
      <c r="E592" s="1" t="s">
        <v>16</v>
      </c>
      <c r="F592" s="1" t="s">
        <v>22</v>
      </c>
      <c r="G592" s="1">
        <f>YEAR(Table1[[#This Row],[Application_Date]])</f>
        <v>2025</v>
      </c>
      <c r="H592" s="1" t="str">
        <f>TEXT(Table1[[#This Row],[EMI_payment_date]],"mmmm")</f>
        <v>December</v>
      </c>
      <c r="I592" s="3">
        <v>45972</v>
      </c>
      <c r="J592" s="3">
        <f>EDATE(Table1[[#This Row],[Application_Date]],1)</f>
        <v>46002</v>
      </c>
      <c r="K592" s="9">
        <v>6528000</v>
      </c>
      <c r="L592" s="9">
        <f>Table1[[#This Row],[Annual_Income]]/12</f>
        <v>544000</v>
      </c>
      <c r="M592" s="9">
        <v>6728000</v>
      </c>
      <c r="N592" s="5">
        <f ca="1">DATEDIF(Table1[[#This Row],[EMI_payment_date]],TODAY(),"m")</f>
        <v>7</v>
      </c>
      <c r="O592" s="9">
        <f>8*Table1[[#This Row],[monthly_EMI]]</f>
        <v>1305600</v>
      </c>
      <c r="P592" s="1">
        <v>9.0500000000000007</v>
      </c>
      <c r="Q592" s="9">
        <f>Table1[[#This Row],[monthly_income]]*30%</f>
        <v>163200</v>
      </c>
      <c r="R592" s="1">
        <f>ROUNDUP(NPER(P592/100/12,-Q592,Table1[[#This Row],[Loan_Amount]]),0)</f>
        <v>50</v>
      </c>
      <c r="S592" s="1">
        <v>725</v>
      </c>
      <c r="T592" s="1" t="s">
        <v>20</v>
      </c>
      <c r="U592" s="1" t="str">
        <f>IF(Table1[[#This Row],[Repayment_Status]]="late","bad loan","good loan")</f>
        <v>good loan</v>
      </c>
      <c r="V592" s="1" t="str">
        <f>IF(Table1[[#This Row],[Repayment_Status]]="late","high","low")</f>
        <v>low</v>
      </c>
      <c r="W592" s="1">
        <f>(Table1[[#This Row],[monthly_EMI]]/Table1[[#This Row],[monthly_income]])*100</f>
        <v>30</v>
      </c>
      <c r="X592" s="7">
        <v>35836.239999999998</v>
      </c>
    </row>
    <row r="593" spans="1:24" x14ac:dyDescent="0.25">
      <c r="A593" s="1" t="s">
        <v>559</v>
      </c>
      <c r="B593" s="2" t="s">
        <v>762</v>
      </c>
      <c r="C593" s="5">
        <v>44</v>
      </c>
      <c r="D593" s="1" t="s">
        <v>15</v>
      </c>
      <c r="E593" s="1" t="s">
        <v>36</v>
      </c>
      <c r="F593" s="1" t="s">
        <v>22</v>
      </c>
      <c r="G593" s="1">
        <f>YEAR(Table1[[#This Row],[Application_Date]])</f>
        <v>2025</v>
      </c>
      <c r="H593" s="1" t="str">
        <f>TEXT(Table1[[#This Row],[EMI_payment_date]],"mmmm")</f>
        <v>December</v>
      </c>
      <c r="I593" s="3">
        <v>45973</v>
      </c>
      <c r="J593" s="3">
        <f>EDATE(Table1[[#This Row],[Application_Date]],1)</f>
        <v>46003</v>
      </c>
      <c r="K593" s="9">
        <v>6972000</v>
      </c>
      <c r="L593" s="9">
        <f>Table1[[#This Row],[Annual_Income]]/12</f>
        <v>581000</v>
      </c>
      <c r="M593" s="9">
        <v>7172000</v>
      </c>
      <c r="N593" s="5">
        <f ca="1">DATEDIF(Table1[[#This Row],[EMI_payment_date]],TODAY(),"m")</f>
        <v>7</v>
      </c>
      <c r="O593" s="9">
        <f>8*Table1[[#This Row],[monthly_EMI]]</f>
        <v>1394400</v>
      </c>
      <c r="P593" s="1">
        <v>9.3800000000000008</v>
      </c>
      <c r="Q593" s="9">
        <f>Table1[[#This Row],[monthly_income]]*30%</f>
        <v>174300</v>
      </c>
      <c r="R593" s="1">
        <f>ROUNDUP(NPER(P593/100/12,-Q593,Table1[[#This Row],[Loan_Amount]]),0)</f>
        <v>50</v>
      </c>
      <c r="S593" s="1">
        <v>645</v>
      </c>
      <c r="T593" s="1" t="s">
        <v>37</v>
      </c>
      <c r="U593" s="1" t="str">
        <f>IF(Table1[[#This Row],[Repayment_Status]]="late","bad loan","good loan")</f>
        <v>bad loan</v>
      </c>
      <c r="V593" s="1" t="str">
        <f>IF(Table1[[#This Row],[Repayment_Status]]="late","high","low")</f>
        <v>high</v>
      </c>
      <c r="W593" s="1">
        <f>(Table1[[#This Row],[monthly_EMI]]/Table1[[#This Row],[monthly_income]])*100</f>
        <v>30</v>
      </c>
      <c r="X593" s="7">
        <v>16050.61</v>
      </c>
    </row>
    <row r="594" spans="1:24" x14ac:dyDescent="0.25">
      <c r="A594" s="1" t="s">
        <v>76</v>
      </c>
      <c r="B594" s="2" t="s">
        <v>773</v>
      </c>
      <c r="C594" s="5">
        <v>31</v>
      </c>
      <c r="D594" s="1" t="s">
        <v>15</v>
      </c>
      <c r="E594" s="1" t="s">
        <v>24</v>
      </c>
      <c r="F594" s="1" t="s">
        <v>31</v>
      </c>
      <c r="G594" s="1">
        <f>YEAR(Table1[[#This Row],[Application_Date]])</f>
        <v>2025</v>
      </c>
      <c r="H594" s="1" t="str">
        <f>TEXT(Table1[[#This Row],[EMI_payment_date]],"mmmm")</f>
        <v>December</v>
      </c>
      <c r="I594" s="3">
        <v>45974</v>
      </c>
      <c r="J594" s="3">
        <f>EDATE(Table1[[#This Row],[Application_Date]],1)</f>
        <v>46004</v>
      </c>
      <c r="K594" s="9">
        <v>1164000</v>
      </c>
      <c r="L594" s="9">
        <f>Table1[[#This Row],[Annual_Income]]/12</f>
        <v>97000</v>
      </c>
      <c r="M594" s="9">
        <v>1364000</v>
      </c>
      <c r="N594" s="5">
        <f ca="1">DATEDIF(Table1[[#This Row],[EMI_payment_date]],TODAY(),"m")</f>
        <v>7</v>
      </c>
      <c r="O594" s="9">
        <f>8*Table1[[#This Row],[monthly_EMI]]</f>
        <v>232800</v>
      </c>
      <c r="P594" s="1">
        <v>8.91</v>
      </c>
      <c r="Q594" s="9">
        <f>Table1[[#This Row],[monthly_income]]*30%</f>
        <v>29100</v>
      </c>
      <c r="R594" s="1">
        <f>ROUNDUP(NPER(P594/100/12,-Q594,Table1[[#This Row],[Loan_Amount]]),0)</f>
        <v>58</v>
      </c>
      <c r="S594" s="1">
        <v>607</v>
      </c>
      <c r="T594" s="1" t="s">
        <v>37</v>
      </c>
      <c r="U594" s="1" t="str">
        <f>IF(Table1[[#This Row],[Repayment_Status]]="late","bad loan","good loan")</f>
        <v>bad loan</v>
      </c>
      <c r="V594" s="1" t="str">
        <f>IF(Table1[[#This Row],[Repayment_Status]]="late","high","low")</f>
        <v>high</v>
      </c>
      <c r="W594" s="1">
        <f>(Table1[[#This Row],[monthly_EMI]]/Table1[[#This Row],[monthly_income]])*100</f>
        <v>30</v>
      </c>
      <c r="X594" s="7">
        <v>17605.82</v>
      </c>
    </row>
    <row r="595" spans="1:24" x14ac:dyDescent="0.25">
      <c r="A595" s="1" t="s">
        <v>285</v>
      </c>
      <c r="B595" s="2" t="s">
        <v>791</v>
      </c>
      <c r="C595" s="5">
        <v>49</v>
      </c>
      <c r="D595" s="1" t="s">
        <v>15</v>
      </c>
      <c r="E595" s="1" t="s">
        <v>36</v>
      </c>
      <c r="F595" s="1" t="s">
        <v>19</v>
      </c>
      <c r="G595" s="1">
        <f>YEAR(Table1[[#This Row],[Application_Date]])</f>
        <v>2025</v>
      </c>
      <c r="H595" s="1" t="str">
        <f>TEXT(Table1[[#This Row],[EMI_payment_date]],"mmmm")</f>
        <v>December</v>
      </c>
      <c r="I595" s="3">
        <v>45975</v>
      </c>
      <c r="J595" s="3">
        <f>EDATE(Table1[[#This Row],[Application_Date]],1)</f>
        <v>46005</v>
      </c>
      <c r="K595" s="9">
        <v>3684000</v>
      </c>
      <c r="L595" s="9">
        <f>Table1[[#This Row],[Annual_Income]]/12</f>
        <v>307000</v>
      </c>
      <c r="M595" s="9">
        <v>3884000</v>
      </c>
      <c r="N595" s="5">
        <f ca="1">DATEDIF(Table1[[#This Row],[EMI_payment_date]],TODAY(),"m")</f>
        <v>7</v>
      </c>
      <c r="O595" s="9">
        <f>8*Table1[[#This Row],[monthly_EMI]]</f>
        <v>736800</v>
      </c>
      <c r="P595" s="1">
        <v>6.93</v>
      </c>
      <c r="Q595" s="9">
        <f>Table1[[#This Row],[monthly_income]]*30%</f>
        <v>92100</v>
      </c>
      <c r="R595" s="1">
        <f>ROUNDUP(NPER(P595/100/12,-Q595,Table1[[#This Row],[Loan_Amount]]),0)</f>
        <v>49</v>
      </c>
      <c r="S595" s="1">
        <v>755</v>
      </c>
      <c r="T595" s="1" t="s">
        <v>20</v>
      </c>
      <c r="U595" s="1" t="str">
        <f>IF(Table1[[#This Row],[Repayment_Status]]="late","bad loan","good loan")</f>
        <v>good loan</v>
      </c>
      <c r="V595" s="1" t="str">
        <f>IF(Table1[[#This Row],[Repayment_Status]]="late","high","low")</f>
        <v>low</v>
      </c>
      <c r="W595" s="1">
        <f>(Table1[[#This Row],[monthly_EMI]]/Table1[[#This Row],[monthly_income]])*100</f>
        <v>30</v>
      </c>
      <c r="X595" s="7">
        <v>16166.14</v>
      </c>
    </row>
    <row r="596" spans="1:24" x14ac:dyDescent="0.25">
      <c r="A596" s="1" t="s">
        <v>553</v>
      </c>
      <c r="B596" s="2" t="s">
        <v>812</v>
      </c>
      <c r="C596" s="5">
        <v>21</v>
      </c>
      <c r="D596" s="1" t="s">
        <v>26</v>
      </c>
      <c r="E596" s="1" t="s">
        <v>33</v>
      </c>
      <c r="F596" s="1" t="s">
        <v>51</v>
      </c>
      <c r="G596" s="1">
        <f>YEAR(Table1[[#This Row],[Application_Date]])</f>
        <v>2025</v>
      </c>
      <c r="H596" s="1" t="str">
        <f>TEXT(Table1[[#This Row],[EMI_payment_date]],"mmmm")</f>
        <v>December</v>
      </c>
      <c r="I596" s="3">
        <v>45976</v>
      </c>
      <c r="J596" s="3">
        <f>EDATE(Table1[[#This Row],[Application_Date]],1)</f>
        <v>46006</v>
      </c>
      <c r="K596" s="9">
        <v>6900000</v>
      </c>
      <c r="L596" s="9">
        <f>Table1[[#This Row],[Annual_Income]]/12</f>
        <v>575000</v>
      </c>
      <c r="M596" s="9">
        <v>7100000</v>
      </c>
      <c r="N596" s="5">
        <f ca="1">DATEDIF(Table1[[#This Row],[EMI_payment_date]],TODAY(),"m")</f>
        <v>7</v>
      </c>
      <c r="O596" s="9">
        <f>8*Table1[[#This Row],[monthly_EMI]]</f>
        <v>1380000</v>
      </c>
      <c r="P596" s="1">
        <v>7.81</v>
      </c>
      <c r="Q596" s="9">
        <f>Table1[[#This Row],[monthly_income]]*30%</f>
        <v>172500</v>
      </c>
      <c r="R596" s="1">
        <f>ROUNDUP(NPER(P596/100/12,-Q596,Table1[[#This Row],[Loan_Amount]]),0)</f>
        <v>49</v>
      </c>
      <c r="S596" s="1">
        <v>827</v>
      </c>
      <c r="T596" s="1" t="s">
        <v>20</v>
      </c>
      <c r="U596" s="1" t="str">
        <f>IF(Table1[[#This Row],[Repayment_Status]]="late","bad loan","good loan")</f>
        <v>good loan</v>
      </c>
      <c r="V596" s="1" t="str">
        <f>IF(Table1[[#This Row],[Repayment_Status]]="late","high","low")</f>
        <v>low</v>
      </c>
      <c r="W596" s="1">
        <f>(Table1[[#This Row],[monthly_EMI]]/Table1[[#This Row],[monthly_income]])*100</f>
        <v>30</v>
      </c>
      <c r="X596" s="7">
        <v>24946.95</v>
      </c>
    </row>
    <row r="597" spans="1:24" x14ac:dyDescent="0.25">
      <c r="A597" s="1" t="s">
        <v>212</v>
      </c>
      <c r="B597" s="2" t="s">
        <v>810</v>
      </c>
      <c r="C597" s="5">
        <v>44</v>
      </c>
      <c r="D597" s="1" t="s">
        <v>26</v>
      </c>
      <c r="E597" s="1" t="s">
        <v>33</v>
      </c>
      <c r="F597" s="1" t="s">
        <v>22</v>
      </c>
      <c r="G597" s="1">
        <f>YEAR(Table1[[#This Row],[Application_Date]])</f>
        <v>2025</v>
      </c>
      <c r="H597" s="1" t="str">
        <f>TEXT(Table1[[#This Row],[EMI_payment_date]],"mmmm")</f>
        <v>December</v>
      </c>
      <c r="I597" s="3">
        <v>45977</v>
      </c>
      <c r="J597" s="3">
        <f>EDATE(Table1[[#This Row],[Application_Date]],1)</f>
        <v>46007</v>
      </c>
      <c r="K597" s="9">
        <v>2808000</v>
      </c>
      <c r="L597" s="9">
        <f>Table1[[#This Row],[Annual_Income]]/12</f>
        <v>234000</v>
      </c>
      <c r="M597" s="9">
        <v>3008000</v>
      </c>
      <c r="N597" s="5">
        <f ca="1">DATEDIF(Table1[[#This Row],[EMI_payment_date]],TODAY(),"m")</f>
        <v>7</v>
      </c>
      <c r="O597" s="9">
        <f>8*Table1[[#This Row],[monthly_EMI]]</f>
        <v>561600</v>
      </c>
      <c r="P597" s="1">
        <v>5.01</v>
      </c>
      <c r="Q597" s="9">
        <f>Table1[[#This Row],[monthly_income]]*30%</f>
        <v>70200</v>
      </c>
      <c r="R597" s="1">
        <f>ROUNDUP(NPER(P597/100/12,-Q597,Table1[[#This Row],[Loan_Amount]]),0)</f>
        <v>48</v>
      </c>
      <c r="S597" s="1">
        <v>791</v>
      </c>
      <c r="T597" s="1" t="s">
        <v>37</v>
      </c>
      <c r="U597" s="1" t="str">
        <f>IF(Table1[[#This Row],[Repayment_Status]]="late","bad loan","good loan")</f>
        <v>bad loan</v>
      </c>
      <c r="V597" s="1" t="str">
        <f>IF(Table1[[#This Row],[Repayment_Status]]="late","high","low")</f>
        <v>high</v>
      </c>
      <c r="W597" s="1">
        <f>(Table1[[#This Row],[monthly_EMI]]/Table1[[#This Row],[monthly_income]])*100</f>
        <v>30</v>
      </c>
      <c r="X597" s="7">
        <v>20467.39</v>
      </c>
    </row>
    <row r="598" spans="1:24" x14ac:dyDescent="0.25">
      <c r="A598" s="1" t="s">
        <v>138</v>
      </c>
      <c r="B598" s="2" t="s">
        <v>815</v>
      </c>
      <c r="C598" s="5">
        <v>45</v>
      </c>
      <c r="D598" s="1" t="s">
        <v>26</v>
      </c>
      <c r="E598" s="1" t="s">
        <v>33</v>
      </c>
      <c r="F598" s="1" t="s">
        <v>17</v>
      </c>
      <c r="G598" s="1">
        <f>YEAR(Table1[[#This Row],[Application_Date]])</f>
        <v>2025</v>
      </c>
      <c r="H598" s="1" t="str">
        <f>TEXT(Table1[[#This Row],[EMI_payment_date]],"mmmm")</f>
        <v>December</v>
      </c>
      <c r="I598" s="3">
        <v>45978</v>
      </c>
      <c r="J598" s="3">
        <f>EDATE(Table1[[#This Row],[Application_Date]],1)</f>
        <v>46008</v>
      </c>
      <c r="K598" s="9">
        <v>1920000</v>
      </c>
      <c r="L598" s="9">
        <f>Table1[[#This Row],[Annual_Income]]/12</f>
        <v>160000</v>
      </c>
      <c r="M598" s="9">
        <v>2120000</v>
      </c>
      <c r="N598" s="5">
        <f ca="1">DATEDIF(Table1[[#This Row],[EMI_payment_date]],TODAY(),"m")</f>
        <v>7</v>
      </c>
      <c r="O598" s="9">
        <f>8*Table1[[#This Row],[monthly_EMI]]</f>
        <v>384000</v>
      </c>
      <c r="P598" s="1">
        <v>7.49</v>
      </c>
      <c r="Q598" s="9">
        <f>Table1[[#This Row],[monthly_income]]*30%</f>
        <v>48000</v>
      </c>
      <c r="R598" s="1">
        <f>ROUNDUP(NPER(P598/100/12,-Q598,Table1[[#This Row],[Loan_Amount]]),0)</f>
        <v>52</v>
      </c>
      <c r="S598" s="1">
        <v>645</v>
      </c>
      <c r="T598" s="1" t="s">
        <v>20</v>
      </c>
      <c r="U598" s="1" t="str">
        <f>IF(Table1[[#This Row],[Repayment_Status]]="late","bad loan","good loan")</f>
        <v>good loan</v>
      </c>
      <c r="V598" s="1" t="str">
        <f>IF(Table1[[#This Row],[Repayment_Status]]="late","high","low")</f>
        <v>low</v>
      </c>
      <c r="W598" s="1">
        <f>(Table1[[#This Row],[monthly_EMI]]/Table1[[#This Row],[monthly_income]])*100</f>
        <v>30</v>
      </c>
      <c r="X598" s="7">
        <v>28462.78</v>
      </c>
    </row>
    <row r="599" spans="1:24" x14ac:dyDescent="0.25">
      <c r="A599" s="1" t="s">
        <v>388</v>
      </c>
      <c r="B599" s="2" t="s">
        <v>880</v>
      </c>
      <c r="C599" s="5">
        <v>47</v>
      </c>
      <c r="D599" s="1" t="s">
        <v>26</v>
      </c>
      <c r="E599" s="1" t="s">
        <v>33</v>
      </c>
      <c r="F599" s="1" t="s">
        <v>31</v>
      </c>
      <c r="G599" s="1">
        <f>YEAR(Table1[[#This Row],[Application_Date]])</f>
        <v>2025</v>
      </c>
      <c r="H599" s="1" t="str">
        <f>TEXT(Table1[[#This Row],[EMI_payment_date]],"mmmm")</f>
        <v>December</v>
      </c>
      <c r="I599" s="3">
        <v>45979</v>
      </c>
      <c r="J599" s="3">
        <f>EDATE(Table1[[#This Row],[Application_Date]],1)</f>
        <v>46009</v>
      </c>
      <c r="K599" s="9">
        <v>4920000</v>
      </c>
      <c r="L599" s="9">
        <f>Table1[[#This Row],[Annual_Income]]/12</f>
        <v>410000</v>
      </c>
      <c r="M599" s="9">
        <v>5120000</v>
      </c>
      <c r="N599" s="5">
        <f ca="1">DATEDIF(Table1[[#This Row],[EMI_payment_date]],TODAY(),"m")</f>
        <v>7</v>
      </c>
      <c r="O599" s="9">
        <f>8*Table1[[#This Row],[monthly_EMI]]</f>
        <v>984000</v>
      </c>
      <c r="P599" s="1">
        <v>8.07</v>
      </c>
      <c r="Q599" s="9">
        <f>Table1[[#This Row],[monthly_income]]*30%</f>
        <v>123000</v>
      </c>
      <c r="R599" s="1">
        <f>ROUNDUP(NPER(P599/100/12,-Q599,Table1[[#This Row],[Loan_Amount]]),0)</f>
        <v>49</v>
      </c>
      <c r="S599" s="1">
        <v>602</v>
      </c>
      <c r="T599" s="1" t="s">
        <v>20</v>
      </c>
      <c r="U599" s="1" t="str">
        <f>IF(Table1[[#This Row],[Repayment_Status]]="late","bad loan","good loan")</f>
        <v>good loan</v>
      </c>
      <c r="V599" s="1" t="str">
        <f>IF(Table1[[#This Row],[Repayment_Status]]="late","high","low")</f>
        <v>low</v>
      </c>
      <c r="W599" s="1">
        <f>(Table1[[#This Row],[monthly_EMI]]/Table1[[#This Row],[monthly_income]])*100</f>
        <v>30</v>
      </c>
      <c r="X599" s="7">
        <v>8654.77</v>
      </c>
    </row>
    <row r="600" spans="1:24" x14ac:dyDescent="0.25">
      <c r="A600" s="1" t="s">
        <v>275</v>
      </c>
      <c r="B600" s="2" t="s">
        <v>830</v>
      </c>
      <c r="C600" s="5">
        <v>24</v>
      </c>
      <c r="D600" s="1" t="s">
        <v>26</v>
      </c>
      <c r="E600" s="1" t="s">
        <v>24</v>
      </c>
      <c r="F600" s="1" t="s">
        <v>51</v>
      </c>
      <c r="G600" s="1">
        <f>YEAR(Table1[[#This Row],[Application_Date]])</f>
        <v>2025</v>
      </c>
      <c r="H600" s="1" t="str">
        <f>TEXT(Table1[[#This Row],[EMI_payment_date]],"mmmm")</f>
        <v>December</v>
      </c>
      <c r="I600" s="3">
        <v>45980</v>
      </c>
      <c r="J600" s="3">
        <f>EDATE(Table1[[#This Row],[Application_Date]],1)</f>
        <v>46010</v>
      </c>
      <c r="K600" s="9">
        <v>3564000</v>
      </c>
      <c r="L600" s="9">
        <f>Table1[[#This Row],[Annual_Income]]/12</f>
        <v>297000</v>
      </c>
      <c r="M600" s="9">
        <v>3764000</v>
      </c>
      <c r="N600" s="5">
        <f ca="1">DATEDIF(Table1[[#This Row],[EMI_payment_date]],TODAY(),"m")</f>
        <v>7</v>
      </c>
      <c r="O600" s="9">
        <f>8*Table1[[#This Row],[monthly_EMI]]</f>
        <v>712800</v>
      </c>
      <c r="P600" s="1">
        <v>8.7100000000000009</v>
      </c>
      <c r="Q600" s="9">
        <f>Table1[[#This Row],[monthly_income]]*30%</f>
        <v>89100</v>
      </c>
      <c r="R600" s="1">
        <f>ROUNDUP(NPER(P600/100/12,-Q600,Table1[[#This Row],[Loan_Amount]]),0)</f>
        <v>51</v>
      </c>
      <c r="S600" s="1">
        <v>831</v>
      </c>
      <c r="T600" s="1" t="s">
        <v>20</v>
      </c>
      <c r="U600" s="1" t="str">
        <f>IF(Table1[[#This Row],[Repayment_Status]]="late","bad loan","good loan")</f>
        <v>good loan</v>
      </c>
      <c r="V600" s="1" t="str">
        <f>IF(Table1[[#This Row],[Repayment_Status]]="late","high","low")</f>
        <v>low</v>
      </c>
      <c r="W600" s="1">
        <f>(Table1[[#This Row],[monthly_EMI]]/Table1[[#This Row],[monthly_income]])*100</f>
        <v>30</v>
      </c>
      <c r="X600" s="7">
        <v>17045.47</v>
      </c>
    </row>
    <row r="601" spans="1:24" x14ac:dyDescent="0.25">
      <c r="A601" s="1" t="s">
        <v>241</v>
      </c>
      <c r="B601" s="2" t="s">
        <v>865</v>
      </c>
      <c r="C601" s="5">
        <v>37</v>
      </c>
      <c r="D601" s="1" t="s">
        <v>15</v>
      </c>
      <c r="E601" s="1" t="s">
        <v>33</v>
      </c>
      <c r="F601" s="1" t="s">
        <v>22</v>
      </c>
      <c r="G601" s="1">
        <f>YEAR(Table1[[#This Row],[Application_Date]])</f>
        <v>2025</v>
      </c>
      <c r="H601" s="1" t="str">
        <f>TEXT(Table1[[#This Row],[EMI_payment_date]],"mmmm")</f>
        <v>December</v>
      </c>
      <c r="I601" s="3">
        <v>45981</v>
      </c>
      <c r="J601" s="3">
        <f>EDATE(Table1[[#This Row],[Application_Date]],1)</f>
        <v>46011</v>
      </c>
      <c r="K601" s="9">
        <v>3156000</v>
      </c>
      <c r="L601" s="9">
        <f>Table1[[#This Row],[Annual_Income]]/12</f>
        <v>263000</v>
      </c>
      <c r="M601" s="9">
        <v>3356000</v>
      </c>
      <c r="N601" s="5">
        <f ca="1">DATEDIF(Table1[[#This Row],[EMI_payment_date]],TODAY(),"m")</f>
        <v>7</v>
      </c>
      <c r="O601" s="9">
        <f>8*Table1[[#This Row],[monthly_EMI]]</f>
        <v>631200</v>
      </c>
      <c r="P601" s="1">
        <v>6.49</v>
      </c>
      <c r="Q601" s="9">
        <f>Table1[[#This Row],[monthly_income]]*30%</f>
        <v>78900</v>
      </c>
      <c r="R601" s="1">
        <f>ROUNDUP(NPER(P601/100/12,-Q601,Table1[[#This Row],[Loan_Amount]]),0)</f>
        <v>49</v>
      </c>
      <c r="S601" s="1">
        <v>845</v>
      </c>
      <c r="T601" s="1" t="s">
        <v>37</v>
      </c>
      <c r="U601" s="1" t="str">
        <f>IF(Table1[[#This Row],[Repayment_Status]]="late","bad loan","good loan")</f>
        <v>bad loan</v>
      </c>
      <c r="V601" s="1" t="str">
        <f>IF(Table1[[#This Row],[Repayment_Status]]="late","high","low")</f>
        <v>high</v>
      </c>
      <c r="W601" s="1">
        <f>(Table1[[#This Row],[monthly_EMI]]/Table1[[#This Row],[monthly_income]])*100</f>
        <v>30</v>
      </c>
      <c r="X601" s="7">
        <v>20572.38</v>
      </c>
    </row>
    <row r="602" spans="1:24" x14ac:dyDescent="0.25">
      <c r="A602" s="1" t="s">
        <v>87</v>
      </c>
      <c r="B602" s="2" t="s">
        <v>781</v>
      </c>
      <c r="C602" s="5">
        <v>55</v>
      </c>
      <c r="D602" s="1" t="s">
        <v>15</v>
      </c>
      <c r="E602" s="1" t="s">
        <v>27</v>
      </c>
      <c r="F602" s="1" t="s">
        <v>22</v>
      </c>
      <c r="G602" s="1">
        <f>YEAR(Table1[[#This Row],[Application_Date]])</f>
        <v>2025</v>
      </c>
      <c r="H602" s="1" t="str">
        <f>TEXT(Table1[[#This Row],[EMI_payment_date]],"mmmm")</f>
        <v>December</v>
      </c>
      <c r="I602" s="3">
        <v>45982</v>
      </c>
      <c r="J602" s="3">
        <f>EDATE(Table1[[#This Row],[Application_Date]],1)</f>
        <v>46012</v>
      </c>
      <c r="K602" s="9">
        <v>1296000</v>
      </c>
      <c r="L602" s="9">
        <f>Table1[[#This Row],[Annual_Income]]/12</f>
        <v>108000</v>
      </c>
      <c r="M602" s="9">
        <v>1496000</v>
      </c>
      <c r="N602" s="5">
        <f ca="1">DATEDIF(Table1[[#This Row],[EMI_payment_date]],TODAY(),"m")</f>
        <v>7</v>
      </c>
      <c r="O602" s="9">
        <f>8*Table1[[#This Row],[monthly_EMI]]</f>
        <v>259200</v>
      </c>
      <c r="P602" s="1">
        <v>9.19</v>
      </c>
      <c r="Q602" s="9">
        <f>Table1[[#This Row],[monthly_income]]*30%</f>
        <v>32400</v>
      </c>
      <c r="R602" s="1">
        <f>ROUNDUP(NPER(P602/100/12,-Q602,Table1[[#This Row],[Loan_Amount]]),0)</f>
        <v>58</v>
      </c>
      <c r="S602" s="1">
        <v>779</v>
      </c>
      <c r="T602" s="1" t="s">
        <v>20</v>
      </c>
      <c r="U602" s="1" t="str">
        <f>IF(Table1[[#This Row],[Repayment_Status]]="late","bad loan","good loan")</f>
        <v>good loan</v>
      </c>
      <c r="V602" s="1" t="str">
        <f>IF(Table1[[#This Row],[Repayment_Status]]="late","high","low")</f>
        <v>low</v>
      </c>
      <c r="W602" s="1">
        <f>(Table1[[#This Row],[monthly_EMI]]/Table1[[#This Row],[monthly_income]])*100</f>
        <v>30</v>
      </c>
      <c r="X602" s="7">
        <v>34051.620000000003</v>
      </c>
    </row>
    <row r="603" spans="1:24" x14ac:dyDescent="0.25">
      <c r="A603" s="1" t="s">
        <v>92</v>
      </c>
      <c r="B603" s="2" t="s">
        <v>784</v>
      </c>
      <c r="C603" s="5">
        <v>45</v>
      </c>
      <c r="D603" s="1" t="s">
        <v>26</v>
      </c>
      <c r="E603" s="1" t="s">
        <v>16</v>
      </c>
      <c r="F603" s="1" t="s">
        <v>22</v>
      </c>
      <c r="G603" s="1">
        <f>YEAR(Table1[[#This Row],[Application_Date]])</f>
        <v>2025</v>
      </c>
      <c r="H603" s="1" t="str">
        <f>TEXT(Table1[[#This Row],[EMI_payment_date]],"mmmm")</f>
        <v>December</v>
      </c>
      <c r="I603" s="3">
        <v>45983</v>
      </c>
      <c r="J603" s="3">
        <f>EDATE(Table1[[#This Row],[Application_Date]],1)</f>
        <v>46013</v>
      </c>
      <c r="K603" s="9">
        <v>1356000</v>
      </c>
      <c r="L603" s="9">
        <f>Table1[[#This Row],[Annual_Income]]/12</f>
        <v>113000</v>
      </c>
      <c r="M603" s="9">
        <v>1556000</v>
      </c>
      <c r="N603" s="5">
        <f ca="1">DATEDIF(Table1[[#This Row],[EMI_payment_date]],TODAY(),"m")</f>
        <v>7</v>
      </c>
      <c r="O603" s="9">
        <f>8*Table1[[#This Row],[monthly_EMI]]</f>
        <v>271200</v>
      </c>
      <c r="P603" s="1">
        <v>6.98</v>
      </c>
      <c r="Q603" s="9">
        <f>Table1[[#This Row],[monthly_income]]*30%</f>
        <v>33900</v>
      </c>
      <c r="R603" s="1">
        <f>ROUNDUP(NPER(P603/100/12,-Q603,Table1[[#This Row],[Loan_Amount]]),0)</f>
        <v>54</v>
      </c>
      <c r="S603" s="1">
        <v>785</v>
      </c>
      <c r="T603" s="1" t="s">
        <v>20</v>
      </c>
      <c r="U603" s="1" t="str">
        <f>IF(Table1[[#This Row],[Repayment_Status]]="late","bad loan","good loan")</f>
        <v>good loan</v>
      </c>
      <c r="V603" s="1" t="str">
        <f>IF(Table1[[#This Row],[Repayment_Status]]="late","high","low")</f>
        <v>low</v>
      </c>
      <c r="W603" s="1">
        <f>(Table1[[#This Row],[monthly_EMI]]/Table1[[#This Row],[monthly_income]])*100</f>
        <v>30</v>
      </c>
      <c r="X603" s="7">
        <v>20435.849999999999</v>
      </c>
    </row>
    <row r="604" spans="1:24" x14ac:dyDescent="0.25">
      <c r="A604" s="1" t="s">
        <v>126</v>
      </c>
      <c r="B604" s="2" t="s">
        <v>809</v>
      </c>
      <c r="C604" s="5">
        <v>46</v>
      </c>
      <c r="D604" s="1" t="s">
        <v>15</v>
      </c>
      <c r="E604" s="1" t="s">
        <v>24</v>
      </c>
      <c r="F604" s="1" t="s">
        <v>31</v>
      </c>
      <c r="G604" s="1">
        <f>YEAR(Table1[[#This Row],[Application_Date]])</f>
        <v>2025</v>
      </c>
      <c r="H604" s="1" t="str">
        <f>TEXT(Table1[[#This Row],[EMI_payment_date]],"mmmm")</f>
        <v>December</v>
      </c>
      <c r="I604" s="3">
        <v>45984</v>
      </c>
      <c r="J604" s="3">
        <f>EDATE(Table1[[#This Row],[Application_Date]],1)</f>
        <v>46014</v>
      </c>
      <c r="K604" s="9">
        <v>1776000</v>
      </c>
      <c r="L604" s="9">
        <f>Table1[[#This Row],[Annual_Income]]/12</f>
        <v>148000</v>
      </c>
      <c r="M604" s="9">
        <v>1976000</v>
      </c>
      <c r="N604" s="5">
        <f ca="1">DATEDIF(Table1[[#This Row],[EMI_payment_date]],TODAY(),"m")</f>
        <v>7</v>
      </c>
      <c r="O604" s="9">
        <f>8*Table1[[#This Row],[monthly_EMI]]</f>
        <v>355200</v>
      </c>
      <c r="P604" s="1">
        <v>5.07</v>
      </c>
      <c r="Q604" s="9">
        <f>Table1[[#This Row],[monthly_income]]*30%</f>
        <v>44400</v>
      </c>
      <c r="R604" s="1">
        <f>ROUNDUP(NPER(P604/100/12,-Q604,Table1[[#This Row],[Loan_Amount]]),0)</f>
        <v>50</v>
      </c>
      <c r="S604" s="1">
        <v>832</v>
      </c>
      <c r="T604" s="1" t="s">
        <v>37</v>
      </c>
      <c r="U604" s="1" t="str">
        <f>IF(Table1[[#This Row],[Repayment_Status]]="late","bad loan","good loan")</f>
        <v>bad loan</v>
      </c>
      <c r="V604" s="1" t="str">
        <f>IF(Table1[[#This Row],[Repayment_Status]]="late","high","low")</f>
        <v>high</v>
      </c>
      <c r="W604" s="1">
        <f>(Table1[[#This Row],[monthly_EMI]]/Table1[[#This Row],[monthly_income]])*100</f>
        <v>30</v>
      </c>
      <c r="X604" s="7">
        <v>11702.44</v>
      </c>
    </row>
    <row r="605" spans="1:24" x14ac:dyDescent="0.25">
      <c r="A605" s="1" t="s">
        <v>205</v>
      </c>
      <c r="B605" s="2" t="s">
        <v>847</v>
      </c>
      <c r="C605" s="5">
        <v>39</v>
      </c>
      <c r="D605" s="1" t="s">
        <v>26</v>
      </c>
      <c r="E605" s="1" t="s">
        <v>36</v>
      </c>
      <c r="F605" s="1" t="s">
        <v>22</v>
      </c>
      <c r="G605" s="1">
        <f>YEAR(Table1[[#This Row],[Application_Date]])</f>
        <v>2025</v>
      </c>
      <c r="H605" s="1" t="str">
        <f>TEXT(Table1[[#This Row],[EMI_payment_date]],"mmmm")</f>
        <v>December</v>
      </c>
      <c r="I605" s="3">
        <v>45985</v>
      </c>
      <c r="J605" s="3">
        <f>EDATE(Table1[[#This Row],[Application_Date]],1)</f>
        <v>46015</v>
      </c>
      <c r="K605" s="9">
        <v>2724000</v>
      </c>
      <c r="L605" s="9">
        <f>Table1[[#This Row],[Annual_Income]]/12</f>
        <v>227000</v>
      </c>
      <c r="M605" s="9">
        <v>2924000</v>
      </c>
      <c r="N605" s="5">
        <f ca="1">DATEDIF(Table1[[#This Row],[EMI_payment_date]],TODAY(),"m")</f>
        <v>7</v>
      </c>
      <c r="O605" s="9">
        <f>8*Table1[[#This Row],[monthly_EMI]]</f>
        <v>544800</v>
      </c>
      <c r="P605" s="1">
        <v>7.21</v>
      </c>
      <c r="Q605" s="9">
        <f>Table1[[#This Row],[monthly_income]]*30%</f>
        <v>68100</v>
      </c>
      <c r="R605" s="1">
        <f>ROUNDUP(NPER(P605/100/12,-Q605,Table1[[#This Row],[Loan_Amount]]),0)</f>
        <v>50</v>
      </c>
      <c r="S605" s="1">
        <v>657</v>
      </c>
      <c r="T605" s="1" t="s">
        <v>37</v>
      </c>
      <c r="U605" s="1" t="str">
        <f>IF(Table1[[#This Row],[Repayment_Status]]="late","bad loan","good loan")</f>
        <v>bad loan</v>
      </c>
      <c r="V605" s="1" t="str">
        <f>IF(Table1[[#This Row],[Repayment_Status]]="late","high","low")</f>
        <v>high</v>
      </c>
      <c r="W605" s="1">
        <f>(Table1[[#This Row],[monthly_EMI]]/Table1[[#This Row],[monthly_income]])*100</f>
        <v>30</v>
      </c>
      <c r="X605" s="7">
        <v>28060.84</v>
      </c>
    </row>
    <row r="606" spans="1:24" x14ac:dyDescent="0.25">
      <c r="A606" s="1" t="s">
        <v>683</v>
      </c>
      <c r="B606" s="2" t="s">
        <v>914</v>
      </c>
      <c r="C606" s="5">
        <v>29</v>
      </c>
      <c r="D606" s="1" t="s">
        <v>15</v>
      </c>
      <c r="E606" s="1" t="s">
        <v>36</v>
      </c>
      <c r="F606" s="1" t="s">
        <v>51</v>
      </c>
      <c r="G606" s="1">
        <f>YEAR(Table1[[#This Row],[Application_Date]])</f>
        <v>2025</v>
      </c>
      <c r="H606" s="1" t="str">
        <f>TEXT(Table1[[#This Row],[EMI_payment_date]],"mmmm")</f>
        <v>December</v>
      </c>
      <c r="I606" s="3">
        <v>45986</v>
      </c>
      <c r="J606" s="3">
        <f>EDATE(Table1[[#This Row],[Application_Date]],1)</f>
        <v>46016</v>
      </c>
      <c r="K606" s="9">
        <v>8460000</v>
      </c>
      <c r="L606" s="9">
        <f>Table1[[#This Row],[Annual_Income]]/12</f>
        <v>705000</v>
      </c>
      <c r="M606" s="9">
        <v>8660000</v>
      </c>
      <c r="N606" s="5">
        <f ca="1">DATEDIF(Table1[[#This Row],[EMI_payment_date]],TODAY(),"m")</f>
        <v>7</v>
      </c>
      <c r="O606" s="9">
        <f>8*Table1[[#This Row],[monthly_EMI]]</f>
        <v>1692000</v>
      </c>
      <c r="P606" s="1">
        <v>6.6</v>
      </c>
      <c r="Q606" s="9">
        <f>Table1[[#This Row],[monthly_income]]*30%</f>
        <v>211500</v>
      </c>
      <c r="R606" s="1">
        <f>ROUNDUP(NPER(P606/100/12,-Q606,Table1[[#This Row],[Loan_Amount]]),0)</f>
        <v>47</v>
      </c>
      <c r="S606" s="1">
        <v>681</v>
      </c>
      <c r="T606" s="1" t="s">
        <v>37</v>
      </c>
      <c r="U606" s="1" t="str">
        <f>IF(Table1[[#This Row],[Repayment_Status]]="late","bad loan","good loan")</f>
        <v>bad loan</v>
      </c>
      <c r="V606" s="1" t="str">
        <f>IF(Table1[[#This Row],[Repayment_Status]]="late","high","low")</f>
        <v>high</v>
      </c>
      <c r="W606" s="1">
        <f>(Table1[[#This Row],[monthly_EMI]]/Table1[[#This Row],[monthly_income]])*100</f>
        <v>30</v>
      </c>
      <c r="X606" s="7">
        <v>12187.05</v>
      </c>
    </row>
    <row r="607" spans="1:24" x14ac:dyDescent="0.25">
      <c r="A607" s="1" t="s">
        <v>507</v>
      </c>
      <c r="B607" s="2" t="s">
        <v>863</v>
      </c>
      <c r="C607" s="5">
        <v>34</v>
      </c>
      <c r="D607" s="1" t="s">
        <v>26</v>
      </c>
      <c r="E607" s="1" t="s">
        <v>24</v>
      </c>
      <c r="F607" s="1" t="s">
        <v>31</v>
      </c>
      <c r="G607" s="1">
        <f>YEAR(Table1[[#This Row],[Application_Date]])</f>
        <v>2025</v>
      </c>
      <c r="H607" s="1" t="str">
        <f>TEXT(Table1[[#This Row],[EMI_payment_date]],"mmmm")</f>
        <v>December</v>
      </c>
      <c r="I607" s="3">
        <v>45987</v>
      </c>
      <c r="J607" s="3">
        <f>EDATE(Table1[[#This Row],[Application_Date]],1)</f>
        <v>46017</v>
      </c>
      <c r="K607" s="9">
        <v>6348000</v>
      </c>
      <c r="L607" s="9">
        <f>Table1[[#This Row],[Annual_Income]]/12</f>
        <v>529000</v>
      </c>
      <c r="M607" s="9">
        <v>6548000</v>
      </c>
      <c r="N607" s="5">
        <f ca="1">DATEDIF(Table1[[#This Row],[EMI_payment_date]],TODAY(),"m")</f>
        <v>7</v>
      </c>
      <c r="O607" s="9">
        <f>8*Table1[[#This Row],[monthly_EMI]]</f>
        <v>1269600</v>
      </c>
      <c r="P607" s="1">
        <v>5.69</v>
      </c>
      <c r="Q607" s="9">
        <f>Table1[[#This Row],[monthly_income]]*30%</f>
        <v>158700</v>
      </c>
      <c r="R607" s="1">
        <f>ROUNDUP(NPER(P607/100/12,-Q607,Table1[[#This Row],[Loan_Amount]]),0)</f>
        <v>47</v>
      </c>
      <c r="S607" s="1">
        <v>759</v>
      </c>
      <c r="T607" s="1" t="s">
        <v>20</v>
      </c>
      <c r="U607" s="1" t="str">
        <f>IF(Table1[[#This Row],[Repayment_Status]]="late","bad loan","good loan")</f>
        <v>good loan</v>
      </c>
      <c r="V607" s="1" t="str">
        <f>IF(Table1[[#This Row],[Repayment_Status]]="late","high","low")</f>
        <v>low</v>
      </c>
      <c r="W607" s="1">
        <f>(Table1[[#This Row],[monthly_EMI]]/Table1[[#This Row],[monthly_income]])*100</f>
        <v>30</v>
      </c>
      <c r="X607" s="7">
        <v>22910.79</v>
      </c>
    </row>
    <row r="608" spans="1:24" x14ac:dyDescent="0.25">
      <c r="A608" s="1" t="s">
        <v>529</v>
      </c>
      <c r="B608" s="2" t="s">
        <v>824</v>
      </c>
      <c r="C608" s="5">
        <v>39</v>
      </c>
      <c r="D608" s="1" t="s">
        <v>15</v>
      </c>
      <c r="E608" s="1" t="s">
        <v>36</v>
      </c>
      <c r="F608" s="1" t="s">
        <v>17</v>
      </c>
      <c r="G608" s="1">
        <f>YEAR(Table1[[#This Row],[Application_Date]])</f>
        <v>2025</v>
      </c>
      <c r="H608" s="1" t="str">
        <f>TEXT(Table1[[#This Row],[EMI_payment_date]],"mmmm")</f>
        <v>December</v>
      </c>
      <c r="I608" s="3">
        <v>45988</v>
      </c>
      <c r="J608" s="3">
        <f>EDATE(Table1[[#This Row],[Application_Date]],1)</f>
        <v>46018</v>
      </c>
      <c r="K608" s="9">
        <v>6612000</v>
      </c>
      <c r="L608" s="9">
        <f>Table1[[#This Row],[Annual_Income]]/12</f>
        <v>551000</v>
      </c>
      <c r="M608" s="9">
        <v>6812000</v>
      </c>
      <c r="N608" s="5">
        <f ca="1">DATEDIF(Table1[[#This Row],[EMI_payment_date]],TODAY(),"m")</f>
        <v>7</v>
      </c>
      <c r="O608" s="9">
        <f>8*Table1[[#This Row],[monthly_EMI]]</f>
        <v>1322400</v>
      </c>
      <c r="P608" s="1">
        <v>9.94</v>
      </c>
      <c r="Q608" s="9">
        <f>Table1[[#This Row],[monthly_income]]*30%</f>
        <v>165300</v>
      </c>
      <c r="R608" s="1">
        <f>ROUNDUP(NPER(P608/100/12,-Q608,Table1[[#This Row],[Loan_Amount]]),0)</f>
        <v>51</v>
      </c>
      <c r="S608" s="1">
        <v>677</v>
      </c>
      <c r="T608" s="1" t="s">
        <v>37</v>
      </c>
      <c r="U608" s="1" t="str">
        <f>IF(Table1[[#This Row],[Repayment_Status]]="late","bad loan","good loan")</f>
        <v>bad loan</v>
      </c>
      <c r="V608" s="1" t="str">
        <f>IF(Table1[[#This Row],[Repayment_Status]]="late","high","low")</f>
        <v>high</v>
      </c>
      <c r="W608" s="1">
        <f>(Table1[[#This Row],[monthly_EMI]]/Table1[[#This Row],[monthly_income]])*100</f>
        <v>30</v>
      </c>
      <c r="X608" s="7">
        <v>41574.43</v>
      </c>
    </row>
    <row r="609" spans="1:24" x14ac:dyDescent="0.25">
      <c r="A609" s="1" t="s">
        <v>671</v>
      </c>
      <c r="B609" s="2" t="s">
        <v>742</v>
      </c>
      <c r="C609" s="5">
        <v>21</v>
      </c>
      <c r="D609" s="1" t="s">
        <v>26</v>
      </c>
      <c r="E609" s="1" t="s">
        <v>16</v>
      </c>
      <c r="F609" s="1" t="s">
        <v>22</v>
      </c>
      <c r="G609" s="1">
        <f>YEAR(Table1[[#This Row],[Application_Date]])</f>
        <v>2025</v>
      </c>
      <c r="H609" s="1" t="str">
        <f>TEXT(Table1[[#This Row],[EMI_payment_date]],"mmmm")</f>
        <v>December</v>
      </c>
      <c r="I609" s="3">
        <v>45989</v>
      </c>
      <c r="J609" s="3">
        <f>EDATE(Table1[[#This Row],[Application_Date]],1)</f>
        <v>46019</v>
      </c>
      <c r="K609" s="9">
        <v>8316000</v>
      </c>
      <c r="L609" s="9">
        <f>Table1[[#This Row],[Annual_Income]]/12</f>
        <v>693000</v>
      </c>
      <c r="M609" s="9">
        <v>8516000</v>
      </c>
      <c r="N609" s="5">
        <f ca="1">DATEDIF(Table1[[#This Row],[EMI_payment_date]],TODAY(),"m")</f>
        <v>7</v>
      </c>
      <c r="O609" s="9">
        <f>8*Table1[[#This Row],[monthly_EMI]]</f>
        <v>1663200</v>
      </c>
      <c r="P609" s="1">
        <v>9.7899999999999991</v>
      </c>
      <c r="Q609" s="9">
        <f>Table1[[#This Row],[monthly_income]]*30%</f>
        <v>207900</v>
      </c>
      <c r="R609" s="1">
        <f>ROUNDUP(NPER(P609/100/12,-Q609,Table1[[#This Row],[Loan_Amount]]),0)</f>
        <v>51</v>
      </c>
      <c r="S609" s="1">
        <v>636</v>
      </c>
      <c r="T609" s="1" t="s">
        <v>20</v>
      </c>
      <c r="U609" s="1" t="str">
        <f>IF(Table1[[#This Row],[Repayment_Status]]="late","bad loan","good loan")</f>
        <v>good loan</v>
      </c>
      <c r="V609" s="1" t="str">
        <f>IF(Table1[[#This Row],[Repayment_Status]]="late","high","low")</f>
        <v>low</v>
      </c>
      <c r="W609" s="1">
        <f>(Table1[[#This Row],[monthly_EMI]]/Table1[[#This Row],[monthly_income]])*100</f>
        <v>30</v>
      </c>
      <c r="X609" s="7">
        <v>16942.849999999999</v>
      </c>
    </row>
    <row r="610" spans="1:24" x14ac:dyDescent="0.25">
      <c r="A610" s="1" t="s">
        <v>415</v>
      </c>
      <c r="B610" s="2" t="s">
        <v>900</v>
      </c>
      <c r="C610" s="5">
        <v>43</v>
      </c>
      <c r="D610" s="1" t="s">
        <v>26</v>
      </c>
      <c r="E610" s="1" t="s">
        <v>36</v>
      </c>
      <c r="F610" s="1" t="s">
        <v>19</v>
      </c>
      <c r="G610" s="1">
        <f>YEAR(Table1[[#This Row],[Application_Date]])</f>
        <v>2025</v>
      </c>
      <c r="H610" s="1" t="str">
        <f>TEXT(Table1[[#This Row],[EMI_payment_date]],"mmmm")</f>
        <v>December</v>
      </c>
      <c r="I610" s="3">
        <v>45990</v>
      </c>
      <c r="J610" s="3">
        <f>EDATE(Table1[[#This Row],[Application_Date]],1)</f>
        <v>46020</v>
      </c>
      <c r="K610" s="9">
        <v>5244000</v>
      </c>
      <c r="L610" s="9">
        <f>Table1[[#This Row],[Annual_Income]]/12</f>
        <v>437000</v>
      </c>
      <c r="M610" s="9">
        <v>5444000</v>
      </c>
      <c r="N610" s="5">
        <f ca="1">DATEDIF(Table1[[#This Row],[EMI_payment_date]],TODAY(),"m")</f>
        <v>7</v>
      </c>
      <c r="O610" s="9">
        <f>8*Table1[[#This Row],[monthly_EMI]]</f>
        <v>1048800</v>
      </c>
      <c r="P610" s="1">
        <v>6.82</v>
      </c>
      <c r="Q610" s="9">
        <f>Table1[[#This Row],[monthly_income]]*30%</f>
        <v>131100</v>
      </c>
      <c r="R610" s="1">
        <f>ROUNDUP(NPER(P610/100/12,-Q610,Table1[[#This Row],[Loan_Amount]]),0)</f>
        <v>48</v>
      </c>
      <c r="S610" s="1">
        <v>764</v>
      </c>
      <c r="T610" s="1" t="s">
        <v>37</v>
      </c>
      <c r="U610" s="1" t="str">
        <f>IF(Table1[[#This Row],[Repayment_Status]]="late","bad loan","good loan")</f>
        <v>bad loan</v>
      </c>
      <c r="V610" s="1" t="str">
        <f>IF(Table1[[#This Row],[Repayment_Status]]="late","high","low")</f>
        <v>high</v>
      </c>
      <c r="W610" s="1">
        <f>(Table1[[#This Row],[monthly_EMI]]/Table1[[#This Row],[monthly_income]])*100</f>
        <v>30</v>
      </c>
      <c r="X610" s="7">
        <v>16820.71</v>
      </c>
    </row>
    <row r="611" spans="1:24" x14ac:dyDescent="0.25">
      <c r="A611" s="1" t="s">
        <v>182</v>
      </c>
      <c r="B611" s="2" t="s">
        <v>836</v>
      </c>
      <c r="C611" s="5">
        <v>38</v>
      </c>
      <c r="D611" s="1" t="s">
        <v>26</v>
      </c>
      <c r="E611" s="1" t="s">
        <v>36</v>
      </c>
      <c r="F611" s="1" t="s">
        <v>31</v>
      </c>
      <c r="G611" s="1">
        <f>YEAR(Table1[[#This Row],[Application_Date]])</f>
        <v>2025</v>
      </c>
      <c r="H611" s="1" t="str">
        <f>TEXT(Table1[[#This Row],[EMI_payment_date]],"mmmm")</f>
        <v>December</v>
      </c>
      <c r="I611" s="3">
        <v>45991</v>
      </c>
      <c r="J611" s="3">
        <f>EDATE(Table1[[#This Row],[Application_Date]],1)</f>
        <v>46021</v>
      </c>
      <c r="K611" s="9">
        <v>2448000</v>
      </c>
      <c r="L611" s="9">
        <f>Table1[[#This Row],[Annual_Income]]/12</f>
        <v>204000</v>
      </c>
      <c r="M611" s="9">
        <v>2648000</v>
      </c>
      <c r="N611" s="5">
        <f ca="1">DATEDIF(Table1[[#This Row],[EMI_payment_date]],TODAY(),"m")</f>
        <v>7</v>
      </c>
      <c r="O611" s="9">
        <f>8*Table1[[#This Row],[monthly_EMI]]</f>
        <v>489600</v>
      </c>
      <c r="P611" s="1">
        <v>5.08</v>
      </c>
      <c r="Q611" s="9">
        <f>Table1[[#This Row],[monthly_income]]*30%</f>
        <v>61200</v>
      </c>
      <c r="R611" s="1">
        <f>ROUNDUP(NPER(P611/100/12,-Q611,Table1[[#This Row],[Loan_Amount]]),0)</f>
        <v>48</v>
      </c>
      <c r="S611" s="1">
        <v>719</v>
      </c>
      <c r="T611" s="1" t="s">
        <v>20</v>
      </c>
      <c r="U611" s="1" t="str">
        <f>IF(Table1[[#This Row],[Repayment_Status]]="late","bad loan","good loan")</f>
        <v>good loan</v>
      </c>
      <c r="V611" s="1" t="str">
        <f>IF(Table1[[#This Row],[Repayment_Status]]="late","high","low")</f>
        <v>low</v>
      </c>
      <c r="W611" s="1">
        <f>(Table1[[#This Row],[monthly_EMI]]/Table1[[#This Row],[monthly_income]])*100</f>
        <v>30</v>
      </c>
      <c r="X611" s="7">
        <v>15723.73</v>
      </c>
    </row>
    <row r="612" spans="1:24" x14ac:dyDescent="0.25">
      <c r="A612" s="1" t="s">
        <v>681</v>
      </c>
      <c r="B612" s="2" t="s">
        <v>775</v>
      </c>
      <c r="C612" s="5">
        <v>21</v>
      </c>
      <c r="D612" s="1" t="s">
        <v>26</v>
      </c>
      <c r="E612" s="1" t="s">
        <v>24</v>
      </c>
      <c r="F612" s="1" t="s">
        <v>19</v>
      </c>
      <c r="G612" s="1">
        <f>YEAR(Table1[[#This Row],[Application_Date]])</f>
        <v>2025</v>
      </c>
      <c r="H612" s="1" t="str">
        <f>TEXT(Table1[[#This Row],[EMI_payment_date]],"mmmm")</f>
        <v>January</v>
      </c>
      <c r="I612" s="3">
        <v>45992</v>
      </c>
      <c r="J612" s="3">
        <f>EDATE(Table1[[#This Row],[Application_Date]],1)</f>
        <v>46023</v>
      </c>
      <c r="K612" s="9">
        <v>8436000</v>
      </c>
      <c r="L612" s="9">
        <f>Table1[[#This Row],[Annual_Income]]/12</f>
        <v>703000</v>
      </c>
      <c r="M612" s="9">
        <v>8636000</v>
      </c>
      <c r="N612" s="5">
        <f ca="1">DATEDIF(Table1[[#This Row],[EMI_payment_date]],TODAY(),"m")</f>
        <v>6</v>
      </c>
      <c r="O612" s="9">
        <f>7*Table1[[#This Row],[monthly_EMI]]</f>
        <v>1476300</v>
      </c>
      <c r="P612" s="1">
        <v>7.03</v>
      </c>
      <c r="Q612" s="9">
        <f>Table1[[#This Row],[monthly_income]]*30%</f>
        <v>210900</v>
      </c>
      <c r="R612" s="1">
        <f>ROUNDUP(NPER(P612/100/12,-Q612,Table1[[#This Row],[Loan_Amount]]),0)</f>
        <v>47</v>
      </c>
      <c r="S612" s="1">
        <v>795</v>
      </c>
      <c r="T612" s="1" t="s">
        <v>20</v>
      </c>
      <c r="U612" s="1" t="str">
        <f>IF(Table1[[#This Row],[Repayment_Status]]="late","bad loan","good loan")</f>
        <v>good loan</v>
      </c>
      <c r="V612" s="1" t="str">
        <f>IF(Table1[[#This Row],[Repayment_Status]]="late","high","low")</f>
        <v>low</v>
      </c>
      <c r="W612" s="1">
        <f>(Table1[[#This Row],[monthly_EMI]]/Table1[[#This Row],[monthly_income]])*100</f>
        <v>30</v>
      </c>
      <c r="X612" s="7">
        <v>7326.82</v>
      </c>
    </row>
    <row r="613" spans="1:24" x14ac:dyDescent="0.25">
      <c r="A613" s="1" t="s">
        <v>663</v>
      </c>
      <c r="B613" s="2" t="s">
        <v>757</v>
      </c>
      <c r="C613" s="5">
        <v>27</v>
      </c>
      <c r="D613" s="1" t="s">
        <v>26</v>
      </c>
      <c r="E613" s="1" t="s">
        <v>24</v>
      </c>
      <c r="F613" s="1" t="s">
        <v>17</v>
      </c>
      <c r="G613" s="1">
        <f>YEAR(Table1[[#This Row],[Application_Date]])</f>
        <v>2025</v>
      </c>
      <c r="H613" s="1" t="str">
        <f>TEXT(Table1[[#This Row],[EMI_payment_date]],"mmmm")</f>
        <v>January</v>
      </c>
      <c r="I613" s="3">
        <v>45993</v>
      </c>
      <c r="J613" s="3">
        <f>EDATE(Table1[[#This Row],[Application_Date]],1)</f>
        <v>46024</v>
      </c>
      <c r="K613" s="9">
        <v>8220000</v>
      </c>
      <c r="L613" s="9">
        <f>Table1[[#This Row],[Annual_Income]]/12</f>
        <v>685000</v>
      </c>
      <c r="M613" s="9">
        <v>8420000</v>
      </c>
      <c r="N613" s="5">
        <f ca="1">DATEDIF(Table1[[#This Row],[EMI_payment_date]],TODAY(),"m")</f>
        <v>6</v>
      </c>
      <c r="O613" s="9">
        <f>7*Table1[[#This Row],[monthly_EMI]]</f>
        <v>1438500</v>
      </c>
      <c r="P613" s="1">
        <v>9.93</v>
      </c>
      <c r="Q613" s="9">
        <f>Table1[[#This Row],[monthly_income]]*30%</f>
        <v>205500</v>
      </c>
      <c r="R613" s="1">
        <f>ROUNDUP(NPER(P613/100/12,-Q613,Table1[[#This Row],[Loan_Amount]]),0)</f>
        <v>51</v>
      </c>
      <c r="S613" s="1">
        <v>761</v>
      </c>
      <c r="T613" s="1" t="s">
        <v>20</v>
      </c>
      <c r="U613" s="1" t="str">
        <f>IF(Table1[[#This Row],[Repayment_Status]]="late","bad loan","good loan")</f>
        <v>good loan</v>
      </c>
      <c r="V613" s="1" t="str">
        <f>IF(Table1[[#This Row],[Repayment_Status]]="late","high","low")</f>
        <v>low</v>
      </c>
      <c r="W613" s="1">
        <f>(Table1[[#This Row],[monthly_EMI]]/Table1[[#This Row],[monthly_income]])*100</f>
        <v>30</v>
      </c>
      <c r="X613" s="7">
        <v>28583.94</v>
      </c>
    </row>
    <row r="614" spans="1:24" x14ac:dyDescent="0.25">
      <c r="A614" s="1" t="s">
        <v>644</v>
      </c>
      <c r="B614" s="2" t="s">
        <v>852</v>
      </c>
      <c r="C614" s="5">
        <v>57</v>
      </c>
      <c r="D614" s="1" t="s">
        <v>26</v>
      </c>
      <c r="E614" s="1" t="s">
        <v>36</v>
      </c>
      <c r="F614" s="1" t="s">
        <v>31</v>
      </c>
      <c r="G614" s="1">
        <f>YEAR(Table1[[#This Row],[Application_Date]])</f>
        <v>2025</v>
      </c>
      <c r="H614" s="1" t="str">
        <f>TEXT(Table1[[#This Row],[EMI_payment_date]],"mmmm")</f>
        <v>January</v>
      </c>
      <c r="I614" s="3">
        <v>45994</v>
      </c>
      <c r="J614" s="3">
        <f>EDATE(Table1[[#This Row],[Application_Date]],1)</f>
        <v>46025</v>
      </c>
      <c r="K614" s="9">
        <v>7992000</v>
      </c>
      <c r="L614" s="9">
        <f>Table1[[#This Row],[Annual_Income]]/12</f>
        <v>666000</v>
      </c>
      <c r="M614" s="9">
        <v>8192000</v>
      </c>
      <c r="N614" s="5">
        <f ca="1">DATEDIF(Table1[[#This Row],[EMI_payment_date]],TODAY(),"m")</f>
        <v>6</v>
      </c>
      <c r="O614" s="9">
        <f>7*Table1[[#This Row],[monthly_EMI]]</f>
        <v>1398600</v>
      </c>
      <c r="P614" s="1">
        <v>6.34</v>
      </c>
      <c r="Q614" s="9">
        <f>Table1[[#This Row],[monthly_income]]*30%</f>
        <v>199800</v>
      </c>
      <c r="R614" s="1">
        <f>ROUNDUP(NPER(P614/100/12,-Q614,Table1[[#This Row],[Loan_Amount]]),0)</f>
        <v>47</v>
      </c>
      <c r="S614" s="1">
        <v>745</v>
      </c>
      <c r="T614" s="1" t="s">
        <v>20</v>
      </c>
      <c r="U614" s="1" t="str">
        <f>IF(Table1[[#This Row],[Repayment_Status]]="late","bad loan","good loan")</f>
        <v>good loan</v>
      </c>
      <c r="V614" s="1" t="str">
        <f>IF(Table1[[#This Row],[Repayment_Status]]="late","high","low")</f>
        <v>low</v>
      </c>
      <c r="W614" s="1">
        <f>(Table1[[#This Row],[monthly_EMI]]/Table1[[#This Row],[monthly_income]])*100</f>
        <v>30</v>
      </c>
      <c r="X614" s="7">
        <v>16638.97</v>
      </c>
    </row>
    <row r="615" spans="1:24" x14ac:dyDescent="0.25">
      <c r="A615" s="1" t="s">
        <v>686</v>
      </c>
      <c r="B615" s="2" t="s">
        <v>815</v>
      </c>
      <c r="C615" s="5">
        <v>31</v>
      </c>
      <c r="D615" s="1" t="s">
        <v>15</v>
      </c>
      <c r="E615" s="1" t="s">
        <v>33</v>
      </c>
      <c r="F615" s="1" t="s">
        <v>17</v>
      </c>
      <c r="G615" s="1">
        <f>YEAR(Table1[[#This Row],[Application_Date]])</f>
        <v>2025</v>
      </c>
      <c r="H615" s="1" t="str">
        <f>TEXT(Table1[[#This Row],[EMI_payment_date]],"mmmm")</f>
        <v>January</v>
      </c>
      <c r="I615" s="3">
        <v>45995</v>
      </c>
      <c r="J615" s="3">
        <f>EDATE(Table1[[#This Row],[Application_Date]],1)</f>
        <v>46026</v>
      </c>
      <c r="K615" s="9">
        <v>8496000</v>
      </c>
      <c r="L615" s="9">
        <f>Table1[[#This Row],[Annual_Income]]/12</f>
        <v>708000</v>
      </c>
      <c r="M615" s="9">
        <v>8696000</v>
      </c>
      <c r="N615" s="5">
        <f ca="1">DATEDIF(Table1[[#This Row],[EMI_payment_date]],TODAY(),"m")</f>
        <v>6</v>
      </c>
      <c r="O615" s="9">
        <f>7*Table1[[#This Row],[monthly_EMI]]</f>
        <v>1486800</v>
      </c>
      <c r="P615" s="1">
        <v>9.86</v>
      </c>
      <c r="Q615" s="9">
        <f>Table1[[#This Row],[monthly_income]]*30%</f>
        <v>212400</v>
      </c>
      <c r="R615" s="1">
        <f>ROUNDUP(NPER(P615/100/12,-Q615,Table1[[#This Row],[Loan_Amount]]),0)</f>
        <v>51</v>
      </c>
      <c r="S615" s="1">
        <v>673</v>
      </c>
      <c r="T615" s="1" t="s">
        <v>37</v>
      </c>
      <c r="U615" s="1" t="str">
        <f>IF(Table1[[#This Row],[Repayment_Status]]="late","bad loan","good loan")</f>
        <v>bad loan</v>
      </c>
      <c r="V615" s="1" t="str">
        <f>IF(Table1[[#This Row],[Repayment_Status]]="late","high","low")</f>
        <v>high</v>
      </c>
      <c r="W615" s="1">
        <f>(Table1[[#This Row],[monthly_EMI]]/Table1[[#This Row],[monthly_income]])*100</f>
        <v>30</v>
      </c>
      <c r="X615" s="7">
        <v>18400.04</v>
      </c>
    </row>
    <row r="616" spans="1:24" x14ac:dyDescent="0.25">
      <c r="A616" s="1" t="s">
        <v>699</v>
      </c>
      <c r="B616" s="2" t="s">
        <v>737</v>
      </c>
      <c r="C616" s="5">
        <v>51</v>
      </c>
      <c r="D616" s="1" t="s">
        <v>26</v>
      </c>
      <c r="E616" s="1" t="s">
        <v>27</v>
      </c>
      <c r="F616" s="1" t="s">
        <v>17</v>
      </c>
      <c r="G616" s="1">
        <f>YEAR(Table1[[#This Row],[Application_Date]])</f>
        <v>2025</v>
      </c>
      <c r="H616" s="1" t="str">
        <f>TEXT(Table1[[#This Row],[EMI_payment_date]],"mmmm")</f>
        <v>January</v>
      </c>
      <c r="I616" s="3">
        <v>45996</v>
      </c>
      <c r="J616" s="3">
        <f>EDATE(Table1[[#This Row],[Application_Date]],1)</f>
        <v>46027</v>
      </c>
      <c r="K616" s="9">
        <v>8652000</v>
      </c>
      <c r="L616" s="9">
        <f>Table1[[#This Row],[Annual_Income]]/12</f>
        <v>721000</v>
      </c>
      <c r="M616" s="9">
        <v>8852000</v>
      </c>
      <c r="N616" s="5">
        <f ca="1">DATEDIF(Table1[[#This Row],[EMI_payment_date]],TODAY(),"m")</f>
        <v>6</v>
      </c>
      <c r="O616" s="9">
        <f>7*Table1[[#This Row],[monthly_EMI]]</f>
        <v>1514100</v>
      </c>
      <c r="P616" s="1">
        <v>9.66</v>
      </c>
      <c r="Q616" s="9">
        <f>Table1[[#This Row],[monthly_income]]*30%</f>
        <v>216300</v>
      </c>
      <c r="R616" s="1">
        <f>ROUNDUP(NPER(P616/100/12,-Q616,Table1[[#This Row],[Loan_Amount]]),0)</f>
        <v>50</v>
      </c>
      <c r="S616" s="1">
        <v>754</v>
      </c>
      <c r="T616" s="1" t="s">
        <v>20</v>
      </c>
      <c r="U616" s="1" t="str">
        <f>IF(Table1[[#This Row],[Repayment_Status]]="late","bad loan","good loan")</f>
        <v>good loan</v>
      </c>
      <c r="V616" s="1" t="str">
        <f>IF(Table1[[#This Row],[Repayment_Status]]="late","high","low")</f>
        <v>low</v>
      </c>
      <c r="W616" s="1">
        <f>(Table1[[#This Row],[monthly_EMI]]/Table1[[#This Row],[monthly_income]])*100</f>
        <v>30</v>
      </c>
      <c r="X616" s="7">
        <v>21378.53</v>
      </c>
    </row>
    <row r="617" spans="1:24" x14ac:dyDescent="0.25">
      <c r="A617" s="1" t="s">
        <v>714</v>
      </c>
      <c r="B617" s="2" t="s">
        <v>815</v>
      </c>
      <c r="C617" s="5">
        <v>36</v>
      </c>
      <c r="D617" s="1" t="s">
        <v>26</v>
      </c>
      <c r="E617" s="1" t="s">
        <v>36</v>
      </c>
      <c r="F617" s="1" t="s">
        <v>17</v>
      </c>
      <c r="G617" s="1">
        <f>YEAR(Table1[[#This Row],[Application_Date]])</f>
        <v>2025</v>
      </c>
      <c r="H617" s="1" t="str">
        <f>TEXT(Table1[[#This Row],[EMI_payment_date]],"mmmm")</f>
        <v>January</v>
      </c>
      <c r="I617" s="3">
        <v>45997</v>
      </c>
      <c r="J617" s="3">
        <f>EDATE(Table1[[#This Row],[Application_Date]],1)</f>
        <v>46028</v>
      </c>
      <c r="K617" s="9">
        <v>8832000</v>
      </c>
      <c r="L617" s="9">
        <f>Table1[[#This Row],[Annual_Income]]/12</f>
        <v>736000</v>
      </c>
      <c r="M617" s="9">
        <v>9032000</v>
      </c>
      <c r="N617" s="5">
        <f ca="1">DATEDIF(Table1[[#This Row],[EMI_payment_date]],TODAY(),"m")</f>
        <v>6</v>
      </c>
      <c r="O617" s="9">
        <f>7*Table1[[#This Row],[monthly_EMI]]</f>
        <v>1545600</v>
      </c>
      <c r="P617" s="1">
        <v>8.9600000000000009</v>
      </c>
      <c r="Q617" s="9">
        <f>Table1[[#This Row],[monthly_income]]*30%</f>
        <v>220800</v>
      </c>
      <c r="R617" s="1">
        <f>ROUNDUP(NPER(P617/100/12,-Q617,Table1[[#This Row],[Loan_Amount]]),0)</f>
        <v>49</v>
      </c>
      <c r="S617" s="1">
        <v>744</v>
      </c>
      <c r="T617" s="1" t="s">
        <v>37</v>
      </c>
      <c r="U617" s="1" t="str">
        <f>IF(Table1[[#This Row],[Repayment_Status]]="late","bad loan","good loan")</f>
        <v>bad loan</v>
      </c>
      <c r="V617" s="1" t="str">
        <f>IF(Table1[[#This Row],[Repayment_Status]]="late","high","low")</f>
        <v>high</v>
      </c>
      <c r="W617" s="1">
        <f>(Table1[[#This Row],[monthly_EMI]]/Table1[[#This Row],[monthly_income]])*100</f>
        <v>30</v>
      </c>
      <c r="X617" s="7">
        <v>19177.52</v>
      </c>
    </row>
    <row r="618" spans="1:24" x14ac:dyDescent="0.25">
      <c r="A618" s="1" t="s">
        <v>96</v>
      </c>
      <c r="B618" s="2" t="s">
        <v>763</v>
      </c>
      <c r="C618" s="5">
        <v>42</v>
      </c>
      <c r="D618" s="1" t="s">
        <v>26</v>
      </c>
      <c r="E618" s="1" t="s">
        <v>33</v>
      </c>
      <c r="F618" s="1" t="s">
        <v>19</v>
      </c>
      <c r="G618" s="1">
        <f>YEAR(Table1[[#This Row],[Application_Date]])</f>
        <v>2025</v>
      </c>
      <c r="H618" s="1" t="str">
        <f>TEXT(Table1[[#This Row],[EMI_payment_date]],"mmmm")</f>
        <v>January</v>
      </c>
      <c r="I618" s="3">
        <v>45998</v>
      </c>
      <c r="J618" s="3">
        <f>EDATE(Table1[[#This Row],[Application_Date]],1)</f>
        <v>46029</v>
      </c>
      <c r="K618" s="9">
        <v>1404000</v>
      </c>
      <c r="L618" s="9">
        <f>Table1[[#This Row],[Annual_Income]]/12</f>
        <v>117000</v>
      </c>
      <c r="M618" s="9">
        <v>1604000</v>
      </c>
      <c r="N618" s="5">
        <f ca="1">DATEDIF(Table1[[#This Row],[EMI_payment_date]],TODAY(),"m")</f>
        <v>6</v>
      </c>
      <c r="O618" s="9">
        <f>7*Table1[[#This Row],[monthly_EMI]]</f>
        <v>245700</v>
      </c>
      <c r="P618" s="1">
        <v>9.86</v>
      </c>
      <c r="Q618" s="9">
        <f>Table1[[#This Row],[monthly_income]]*30%</f>
        <v>35100</v>
      </c>
      <c r="R618" s="1">
        <f>ROUNDUP(NPER(P618/100/12,-Q618,Table1[[#This Row],[Loan_Amount]]),0)</f>
        <v>58</v>
      </c>
      <c r="S618" s="1">
        <v>840</v>
      </c>
      <c r="T618" s="1" t="s">
        <v>20</v>
      </c>
      <c r="U618" s="1" t="str">
        <f>IF(Table1[[#This Row],[Repayment_Status]]="late","bad loan","good loan")</f>
        <v>good loan</v>
      </c>
      <c r="V618" s="1" t="str">
        <f>IF(Table1[[#This Row],[Repayment_Status]]="late","high","low")</f>
        <v>low</v>
      </c>
      <c r="W618" s="1">
        <f>(Table1[[#This Row],[monthly_EMI]]/Table1[[#This Row],[monthly_income]])*100</f>
        <v>30</v>
      </c>
      <c r="X618" s="7">
        <v>15606.03</v>
      </c>
    </row>
    <row r="619" spans="1:24" x14ac:dyDescent="0.25">
      <c r="A619" s="1" t="s">
        <v>652</v>
      </c>
      <c r="B619" s="2" t="s">
        <v>905</v>
      </c>
      <c r="C619" s="5">
        <v>32</v>
      </c>
      <c r="D619" s="1" t="s">
        <v>15</v>
      </c>
      <c r="E619" s="1" t="s">
        <v>36</v>
      </c>
      <c r="F619" s="1" t="s">
        <v>31</v>
      </c>
      <c r="G619" s="1">
        <f>YEAR(Table1[[#This Row],[Application_Date]])</f>
        <v>2025</v>
      </c>
      <c r="H619" s="1" t="str">
        <f>TEXT(Table1[[#This Row],[EMI_payment_date]],"mmmm")</f>
        <v>January</v>
      </c>
      <c r="I619" s="3">
        <v>45999</v>
      </c>
      <c r="J619" s="3">
        <f>EDATE(Table1[[#This Row],[Application_Date]],1)</f>
        <v>46030</v>
      </c>
      <c r="K619" s="9">
        <v>8088000</v>
      </c>
      <c r="L619" s="9">
        <f>Table1[[#This Row],[Annual_Income]]/12</f>
        <v>674000</v>
      </c>
      <c r="M619" s="9">
        <v>8288000</v>
      </c>
      <c r="N619" s="5">
        <f ca="1">DATEDIF(Table1[[#This Row],[EMI_payment_date]],TODAY(),"m")</f>
        <v>6</v>
      </c>
      <c r="O619" s="9">
        <f>7*Table1[[#This Row],[monthly_EMI]]</f>
        <v>1415400</v>
      </c>
      <c r="P619" s="1">
        <v>9.65</v>
      </c>
      <c r="Q619" s="9">
        <f>Table1[[#This Row],[monthly_income]]*30%</f>
        <v>202200</v>
      </c>
      <c r="R619" s="1">
        <f>ROUNDUP(NPER(P619/100/12,-Q619,Table1[[#This Row],[Loan_Amount]]),0)</f>
        <v>50</v>
      </c>
      <c r="S619" s="1">
        <v>823</v>
      </c>
      <c r="T619" s="1" t="s">
        <v>20</v>
      </c>
      <c r="U619" s="1" t="str">
        <f>IF(Table1[[#This Row],[Repayment_Status]]="late","bad loan","good loan")</f>
        <v>good loan</v>
      </c>
      <c r="V619" s="1" t="str">
        <f>IF(Table1[[#This Row],[Repayment_Status]]="late","high","low")</f>
        <v>low</v>
      </c>
      <c r="W619" s="1">
        <f>(Table1[[#This Row],[monthly_EMI]]/Table1[[#This Row],[monthly_income]])*100</f>
        <v>30</v>
      </c>
      <c r="X619" s="7">
        <v>20962.169999999998</v>
      </c>
    </row>
    <row r="620" spans="1:24" x14ac:dyDescent="0.25">
      <c r="A620" s="1" t="s">
        <v>679</v>
      </c>
      <c r="B620" s="2" t="s">
        <v>765</v>
      </c>
      <c r="C620" s="5">
        <v>35</v>
      </c>
      <c r="D620" s="1" t="s">
        <v>26</v>
      </c>
      <c r="E620" s="1" t="s">
        <v>29</v>
      </c>
      <c r="F620" s="1" t="s">
        <v>22</v>
      </c>
      <c r="G620" s="1">
        <f>YEAR(Table1[[#This Row],[Application_Date]])</f>
        <v>2025</v>
      </c>
      <c r="H620" s="1" t="str">
        <f>TEXT(Table1[[#This Row],[EMI_payment_date]],"mmmm")</f>
        <v>January</v>
      </c>
      <c r="I620" s="3">
        <v>46000</v>
      </c>
      <c r="J620" s="3">
        <f>EDATE(Table1[[#This Row],[Application_Date]],1)</f>
        <v>46031</v>
      </c>
      <c r="K620" s="9">
        <v>8412000</v>
      </c>
      <c r="L620" s="9">
        <f>Table1[[#This Row],[Annual_Income]]/12</f>
        <v>701000</v>
      </c>
      <c r="M620" s="9">
        <v>8612000</v>
      </c>
      <c r="N620" s="5">
        <f ca="1">DATEDIF(Table1[[#This Row],[EMI_payment_date]],TODAY(),"m")</f>
        <v>6</v>
      </c>
      <c r="O620" s="9">
        <f>7*Table1[[#This Row],[monthly_EMI]]</f>
        <v>1472100</v>
      </c>
      <c r="P620" s="1">
        <v>5.95</v>
      </c>
      <c r="Q620" s="9">
        <f>Table1[[#This Row],[monthly_income]]*30%</f>
        <v>210300</v>
      </c>
      <c r="R620" s="1">
        <f>ROUNDUP(NPER(P620/100/12,-Q620,Table1[[#This Row],[Loan_Amount]]),0)</f>
        <v>46</v>
      </c>
      <c r="S620" s="1">
        <v>846</v>
      </c>
      <c r="T620" s="1" t="s">
        <v>20</v>
      </c>
      <c r="U620" s="1" t="str">
        <f>IF(Table1[[#This Row],[Repayment_Status]]="late","bad loan","good loan")</f>
        <v>good loan</v>
      </c>
      <c r="V620" s="1" t="str">
        <f>IF(Table1[[#This Row],[Repayment_Status]]="late","high","low")</f>
        <v>low</v>
      </c>
      <c r="W620" s="1">
        <f>(Table1[[#This Row],[monthly_EMI]]/Table1[[#This Row],[monthly_income]])*100</f>
        <v>30</v>
      </c>
      <c r="X620" s="7">
        <v>22283.33</v>
      </c>
    </row>
    <row r="621" spans="1:24" x14ac:dyDescent="0.25">
      <c r="A621" s="1" t="s">
        <v>337</v>
      </c>
      <c r="B621" s="2" t="s">
        <v>822</v>
      </c>
      <c r="C621" s="5">
        <v>48</v>
      </c>
      <c r="D621" s="1" t="s">
        <v>26</v>
      </c>
      <c r="E621" s="1" t="s">
        <v>27</v>
      </c>
      <c r="F621" s="1" t="s">
        <v>31</v>
      </c>
      <c r="G621" s="1">
        <f>YEAR(Table1[[#This Row],[Application_Date]])</f>
        <v>2025</v>
      </c>
      <c r="H621" s="1" t="str">
        <f>TEXT(Table1[[#This Row],[EMI_payment_date]],"mmmm")</f>
        <v>January</v>
      </c>
      <c r="I621" s="3">
        <v>46001</v>
      </c>
      <c r="J621" s="3">
        <f>EDATE(Table1[[#This Row],[Application_Date]],1)</f>
        <v>46032</v>
      </c>
      <c r="K621" s="9">
        <v>4308000</v>
      </c>
      <c r="L621" s="9">
        <f>Table1[[#This Row],[Annual_Income]]/12</f>
        <v>359000</v>
      </c>
      <c r="M621" s="9">
        <v>4508000</v>
      </c>
      <c r="N621" s="5">
        <f ca="1">DATEDIF(Table1[[#This Row],[EMI_payment_date]],TODAY(),"m")</f>
        <v>6</v>
      </c>
      <c r="O621" s="9">
        <f>7*Table1[[#This Row],[monthly_EMI]]</f>
        <v>753900</v>
      </c>
      <c r="P621" s="1">
        <v>5.85</v>
      </c>
      <c r="Q621" s="9">
        <f>Table1[[#This Row],[monthly_income]]*30%</f>
        <v>107700</v>
      </c>
      <c r="R621" s="1">
        <f>ROUNDUP(NPER(P621/100/12,-Q621,Table1[[#This Row],[Loan_Amount]]),0)</f>
        <v>47</v>
      </c>
      <c r="S621" s="1">
        <v>751</v>
      </c>
      <c r="T621" s="1" t="s">
        <v>37</v>
      </c>
      <c r="U621" s="1" t="str">
        <f>IF(Table1[[#This Row],[Repayment_Status]]="late","bad loan","good loan")</f>
        <v>bad loan</v>
      </c>
      <c r="V621" s="1" t="str">
        <f>IF(Table1[[#This Row],[Repayment_Status]]="late","high","low")</f>
        <v>high</v>
      </c>
      <c r="W621" s="1">
        <f>(Table1[[#This Row],[monthly_EMI]]/Table1[[#This Row],[monthly_income]])*100</f>
        <v>30</v>
      </c>
      <c r="X621" s="7">
        <v>11216.3</v>
      </c>
    </row>
    <row r="622" spans="1:24" x14ac:dyDescent="0.25">
      <c r="A622" s="1" t="s">
        <v>446</v>
      </c>
      <c r="B622" s="2" t="s">
        <v>793</v>
      </c>
      <c r="C622" s="5">
        <v>45</v>
      </c>
      <c r="D622" s="1" t="s">
        <v>26</v>
      </c>
      <c r="E622" s="1" t="s">
        <v>16</v>
      </c>
      <c r="F622" s="1" t="s">
        <v>17</v>
      </c>
      <c r="G622" s="1">
        <f>YEAR(Table1[[#This Row],[Application_Date]])</f>
        <v>2025</v>
      </c>
      <c r="H622" s="1" t="str">
        <f>TEXT(Table1[[#This Row],[EMI_payment_date]],"mmmm")</f>
        <v>January</v>
      </c>
      <c r="I622" s="3">
        <v>46002</v>
      </c>
      <c r="J622" s="3">
        <f>EDATE(Table1[[#This Row],[Application_Date]],1)</f>
        <v>46033</v>
      </c>
      <c r="K622" s="9">
        <v>5616000</v>
      </c>
      <c r="L622" s="9">
        <f>Table1[[#This Row],[Annual_Income]]/12</f>
        <v>468000</v>
      </c>
      <c r="M622" s="9">
        <v>5816000</v>
      </c>
      <c r="N622" s="5">
        <f ca="1">DATEDIF(Table1[[#This Row],[EMI_payment_date]],TODAY(),"m")</f>
        <v>6</v>
      </c>
      <c r="O622" s="9">
        <f>7*Table1[[#This Row],[monthly_EMI]]</f>
        <v>982800</v>
      </c>
      <c r="P622" s="1">
        <v>8.81</v>
      </c>
      <c r="Q622" s="9">
        <f>Table1[[#This Row],[monthly_income]]*30%</f>
        <v>140400</v>
      </c>
      <c r="R622" s="1">
        <f>ROUNDUP(NPER(P622/100/12,-Q622,Table1[[#This Row],[Loan_Amount]]),0)</f>
        <v>50</v>
      </c>
      <c r="S622" s="1">
        <v>670</v>
      </c>
      <c r="T622" s="1" t="s">
        <v>20</v>
      </c>
      <c r="U622" s="1" t="str">
        <f>IF(Table1[[#This Row],[Repayment_Status]]="late","bad loan","good loan")</f>
        <v>good loan</v>
      </c>
      <c r="V622" s="1" t="str">
        <f>IF(Table1[[#This Row],[Repayment_Status]]="late","high","low")</f>
        <v>low</v>
      </c>
      <c r="W622" s="1">
        <f>(Table1[[#This Row],[monthly_EMI]]/Table1[[#This Row],[monthly_income]])*100</f>
        <v>30</v>
      </c>
      <c r="X622" s="7">
        <v>33024.83</v>
      </c>
    </row>
    <row r="623" spans="1:24" x14ac:dyDescent="0.25">
      <c r="A623" s="1" t="s">
        <v>545</v>
      </c>
      <c r="B623" s="2" t="s">
        <v>861</v>
      </c>
      <c r="C623" s="5">
        <v>25</v>
      </c>
      <c r="D623" s="1" t="s">
        <v>26</v>
      </c>
      <c r="E623" s="1" t="s">
        <v>16</v>
      </c>
      <c r="F623" s="1" t="s">
        <v>19</v>
      </c>
      <c r="G623" s="1">
        <f>YEAR(Table1[[#This Row],[Application_Date]])</f>
        <v>2025</v>
      </c>
      <c r="H623" s="1" t="str">
        <f>TEXT(Table1[[#This Row],[EMI_payment_date]],"mmmm")</f>
        <v>January</v>
      </c>
      <c r="I623" s="3">
        <v>46003</v>
      </c>
      <c r="J623" s="3">
        <f>EDATE(Table1[[#This Row],[Application_Date]],1)</f>
        <v>46034</v>
      </c>
      <c r="K623" s="9">
        <v>6804000</v>
      </c>
      <c r="L623" s="9">
        <f>Table1[[#This Row],[Annual_Income]]/12</f>
        <v>567000</v>
      </c>
      <c r="M623" s="9">
        <v>7004000</v>
      </c>
      <c r="N623" s="5">
        <f ca="1">DATEDIF(Table1[[#This Row],[EMI_payment_date]],TODAY(),"m")</f>
        <v>6</v>
      </c>
      <c r="O623" s="9">
        <f>7*Table1[[#This Row],[monthly_EMI]]</f>
        <v>1190700</v>
      </c>
      <c r="P623" s="1">
        <v>9.89</v>
      </c>
      <c r="Q623" s="9">
        <f>Table1[[#This Row],[monthly_income]]*30%</f>
        <v>170100</v>
      </c>
      <c r="R623" s="1">
        <f>ROUNDUP(NPER(P623/100/12,-Q623,Table1[[#This Row],[Loan_Amount]]),0)</f>
        <v>51</v>
      </c>
      <c r="S623" s="1">
        <v>834</v>
      </c>
      <c r="T623" s="1" t="s">
        <v>37</v>
      </c>
      <c r="U623" s="1" t="str">
        <f>IF(Table1[[#This Row],[Repayment_Status]]="late","bad loan","good loan")</f>
        <v>bad loan</v>
      </c>
      <c r="V623" s="1" t="str">
        <f>IF(Table1[[#This Row],[Repayment_Status]]="late","high","low")</f>
        <v>high</v>
      </c>
      <c r="W623" s="1">
        <f>(Table1[[#This Row],[monthly_EMI]]/Table1[[#This Row],[monthly_income]])*100</f>
        <v>30</v>
      </c>
      <c r="X623" s="7">
        <v>35294.400000000001</v>
      </c>
    </row>
    <row r="624" spans="1:24" x14ac:dyDescent="0.25">
      <c r="A624" s="1" t="s">
        <v>243</v>
      </c>
      <c r="B624" s="2" t="s">
        <v>809</v>
      </c>
      <c r="C624" s="5">
        <v>27</v>
      </c>
      <c r="D624" s="1" t="s">
        <v>15</v>
      </c>
      <c r="E624" s="1" t="s">
        <v>24</v>
      </c>
      <c r="F624" s="1" t="s">
        <v>22</v>
      </c>
      <c r="G624" s="1">
        <f>YEAR(Table1[[#This Row],[Application_Date]])</f>
        <v>2025</v>
      </c>
      <c r="H624" s="1" t="str">
        <f>TEXT(Table1[[#This Row],[EMI_payment_date]],"mmmm")</f>
        <v>January</v>
      </c>
      <c r="I624" s="3">
        <v>46004</v>
      </c>
      <c r="J624" s="3">
        <f>EDATE(Table1[[#This Row],[Application_Date]],1)</f>
        <v>46035</v>
      </c>
      <c r="K624" s="9">
        <v>3180000</v>
      </c>
      <c r="L624" s="9">
        <f>Table1[[#This Row],[Annual_Income]]/12</f>
        <v>265000</v>
      </c>
      <c r="M624" s="9">
        <v>3380000</v>
      </c>
      <c r="N624" s="5">
        <f ca="1">DATEDIF(Table1[[#This Row],[EMI_payment_date]],TODAY(),"m")</f>
        <v>6</v>
      </c>
      <c r="O624" s="9">
        <f>7*Table1[[#This Row],[monthly_EMI]]</f>
        <v>556500</v>
      </c>
      <c r="P624" s="1">
        <v>6.91</v>
      </c>
      <c r="Q624" s="9">
        <f>Table1[[#This Row],[monthly_income]]*30%</f>
        <v>79500</v>
      </c>
      <c r="R624" s="1">
        <f>ROUNDUP(NPER(P624/100/12,-Q624,Table1[[#This Row],[Loan_Amount]]),0)</f>
        <v>49</v>
      </c>
      <c r="S624" s="1">
        <v>791</v>
      </c>
      <c r="T624" s="1" t="s">
        <v>20</v>
      </c>
      <c r="U624" s="1" t="str">
        <f>IF(Table1[[#This Row],[Repayment_Status]]="late","bad loan","good loan")</f>
        <v>good loan</v>
      </c>
      <c r="V624" s="1" t="str">
        <f>IF(Table1[[#This Row],[Repayment_Status]]="late","high","low")</f>
        <v>low</v>
      </c>
      <c r="W624" s="1">
        <f>(Table1[[#This Row],[monthly_EMI]]/Table1[[#This Row],[monthly_income]])*100</f>
        <v>30</v>
      </c>
      <c r="X624" s="7">
        <v>13217.45</v>
      </c>
    </row>
    <row r="625" spans="1:24" x14ac:dyDescent="0.25">
      <c r="A625" s="1" t="s">
        <v>407</v>
      </c>
      <c r="B625" s="2" t="s">
        <v>742</v>
      </c>
      <c r="C625" s="5">
        <v>37</v>
      </c>
      <c r="D625" s="1" t="s">
        <v>26</v>
      </c>
      <c r="E625" s="1" t="s">
        <v>29</v>
      </c>
      <c r="F625" s="1" t="s">
        <v>31</v>
      </c>
      <c r="G625" s="1">
        <f>YEAR(Table1[[#This Row],[Application_Date]])</f>
        <v>2025</v>
      </c>
      <c r="H625" s="1" t="str">
        <f>TEXT(Table1[[#This Row],[EMI_payment_date]],"mmmm")</f>
        <v>January</v>
      </c>
      <c r="I625" s="3">
        <v>46005</v>
      </c>
      <c r="J625" s="3">
        <f>EDATE(Table1[[#This Row],[Application_Date]],1)</f>
        <v>46036</v>
      </c>
      <c r="K625" s="9">
        <v>5148000</v>
      </c>
      <c r="L625" s="9">
        <f>Table1[[#This Row],[Annual_Income]]/12</f>
        <v>429000</v>
      </c>
      <c r="M625" s="9">
        <v>5348000</v>
      </c>
      <c r="N625" s="5">
        <f ca="1">DATEDIF(Table1[[#This Row],[EMI_payment_date]],TODAY(),"m")</f>
        <v>6</v>
      </c>
      <c r="O625" s="9">
        <f>7*Table1[[#This Row],[monthly_EMI]]</f>
        <v>900900</v>
      </c>
      <c r="P625" s="1">
        <v>9.15</v>
      </c>
      <c r="Q625" s="9">
        <f>Table1[[#This Row],[monthly_income]]*30%</f>
        <v>128700</v>
      </c>
      <c r="R625" s="1">
        <f>ROUNDUP(NPER(P625/100/12,-Q625,Table1[[#This Row],[Loan_Amount]]),0)</f>
        <v>51</v>
      </c>
      <c r="S625" s="1">
        <v>671</v>
      </c>
      <c r="T625" s="1" t="s">
        <v>20</v>
      </c>
      <c r="U625" s="1" t="str">
        <f>IF(Table1[[#This Row],[Repayment_Status]]="late","bad loan","good loan")</f>
        <v>good loan</v>
      </c>
      <c r="V625" s="1" t="str">
        <f>IF(Table1[[#This Row],[Repayment_Status]]="late","high","low")</f>
        <v>low</v>
      </c>
      <c r="W625" s="1">
        <f>(Table1[[#This Row],[monthly_EMI]]/Table1[[#This Row],[monthly_income]])*100</f>
        <v>30</v>
      </c>
      <c r="X625" s="7">
        <v>18730.07</v>
      </c>
    </row>
    <row r="626" spans="1:24" x14ac:dyDescent="0.25">
      <c r="A626" s="1" t="s">
        <v>605</v>
      </c>
      <c r="B626" s="2" t="s">
        <v>870</v>
      </c>
      <c r="C626" s="5">
        <v>50</v>
      </c>
      <c r="D626" s="1" t="s">
        <v>15</v>
      </c>
      <c r="E626" s="1" t="s">
        <v>33</v>
      </c>
      <c r="F626" s="1" t="s">
        <v>31</v>
      </c>
      <c r="G626" s="1">
        <f>YEAR(Table1[[#This Row],[Application_Date]])</f>
        <v>2025</v>
      </c>
      <c r="H626" s="1" t="str">
        <f>TEXT(Table1[[#This Row],[EMI_payment_date]],"mmmm")</f>
        <v>January</v>
      </c>
      <c r="I626" s="3">
        <v>46006</v>
      </c>
      <c r="J626" s="3">
        <f>EDATE(Table1[[#This Row],[Application_Date]],1)</f>
        <v>46037</v>
      </c>
      <c r="K626" s="9">
        <v>7524000</v>
      </c>
      <c r="L626" s="9">
        <f>Table1[[#This Row],[Annual_Income]]/12</f>
        <v>627000</v>
      </c>
      <c r="M626" s="9">
        <v>7724000</v>
      </c>
      <c r="N626" s="5">
        <f ca="1">DATEDIF(Table1[[#This Row],[EMI_payment_date]],TODAY(),"m")</f>
        <v>6</v>
      </c>
      <c r="O626" s="9">
        <f>7*Table1[[#This Row],[monthly_EMI]]</f>
        <v>1316700</v>
      </c>
      <c r="P626" s="1">
        <v>6.52</v>
      </c>
      <c r="Q626" s="9">
        <f>Table1[[#This Row],[monthly_income]]*30%</f>
        <v>188100</v>
      </c>
      <c r="R626" s="1">
        <f>ROUNDUP(NPER(P626/100/12,-Q626,Table1[[#This Row],[Loan_Amount]]),0)</f>
        <v>47</v>
      </c>
      <c r="S626" s="1">
        <v>840</v>
      </c>
      <c r="T626" s="1" t="s">
        <v>20</v>
      </c>
      <c r="U626" s="1" t="str">
        <f>IF(Table1[[#This Row],[Repayment_Status]]="late","bad loan","good loan")</f>
        <v>good loan</v>
      </c>
      <c r="V626" s="1" t="str">
        <f>IF(Table1[[#This Row],[Repayment_Status]]="late","high","low")</f>
        <v>low</v>
      </c>
      <c r="W626" s="1">
        <f>(Table1[[#This Row],[monthly_EMI]]/Table1[[#This Row],[monthly_income]])*100</f>
        <v>30</v>
      </c>
      <c r="X626" s="7">
        <v>17921.63</v>
      </c>
    </row>
    <row r="627" spans="1:24" x14ac:dyDescent="0.25">
      <c r="A627" s="1" t="s">
        <v>215</v>
      </c>
      <c r="B627" s="2" t="s">
        <v>852</v>
      </c>
      <c r="C627" s="5">
        <v>60</v>
      </c>
      <c r="D627" s="1" t="s">
        <v>26</v>
      </c>
      <c r="E627" s="1" t="s">
        <v>16</v>
      </c>
      <c r="F627" s="1" t="s">
        <v>22</v>
      </c>
      <c r="G627" s="1">
        <f>YEAR(Table1[[#This Row],[Application_Date]])</f>
        <v>2025</v>
      </c>
      <c r="H627" s="1" t="str">
        <f>TEXT(Table1[[#This Row],[EMI_payment_date]],"mmmm")</f>
        <v>January</v>
      </c>
      <c r="I627" s="3">
        <v>46007</v>
      </c>
      <c r="J627" s="3">
        <f>EDATE(Table1[[#This Row],[Application_Date]],1)</f>
        <v>46038</v>
      </c>
      <c r="K627" s="9">
        <v>2844000</v>
      </c>
      <c r="L627" s="9">
        <f>Table1[[#This Row],[Annual_Income]]/12</f>
        <v>237000</v>
      </c>
      <c r="M627" s="9">
        <v>3044000</v>
      </c>
      <c r="N627" s="5">
        <f ca="1">DATEDIF(Table1[[#This Row],[EMI_payment_date]],TODAY(),"m")</f>
        <v>6</v>
      </c>
      <c r="O627" s="9">
        <f>7*Table1[[#This Row],[monthly_EMI]]</f>
        <v>497700</v>
      </c>
      <c r="P627" s="1">
        <v>9.7799999999999994</v>
      </c>
      <c r="Q627" s="9">
        <f>Table1[[#This Row],[monthly_income]]*30%</f>
        <v>71100</v>
      </c>
      <c r="R627" s="1">
        <f>ROUNDUP(NPER(P627/100/12,-Q627,Table1[[#This Row],[Loan_Amount]]),0)</f>
        <v>53</v>
      </c>
      <c r="S627" s="1">
        <v>661</v>
      </c>
      <c r="T627" s="1" t="s">
        <v>37</v>
      </c>
      <c r="U627" s="1" t="str">
        <f>IF(Table1[[#This Row],[Repayment_Status]]="late","bad loan","good loan")</f>
        <v>bad loan</v>
      </c>
      <c r="V627" s="1" t="str">
        <f>IF(Table1[[#This Row],[Repayment_Status]]="late","high","low")</f>
        <v>high</v>
      </c>
      <c r="W627" s="1">
        <f>(Table1[[#This Row],[monthly_EMI]]/Table1[[#This Row],[monthly_income]])*100</f>
        <v>30</v>
      </c>
      <c r="X627" s="7">
        <v>28848.67</v>
      </c>
    </row>
    <row r="628" spans="1:24" x14ac:dyDescent="0.25">
      <c r="A628" s="1" t="s">
        <v>651</v>
      </c>
      <c r="B628" s="2" t="s">
        <v>766</v>
      </c>
      <c r="C628" s="5">
        <v>36</v>
      </c>
      <c r="D628" s="1" t="s">
        <v>15</v>
      </c>
      <c r="E628" s="1" t="s">
        <v>33</v>
      </c>
      <c r="F628" s="1" t="s">
        <v>22</v>
      </c>
      <c r="G628" s="1">
        <f>YEAR(Table1[[#This Row],[Application_Date]])</f>
        <v>2025</v>
      </c>
      <c r="H628" s="1" t="str">
        <f>TEXT(Table1[[#This Row],[EMI_payment_date]],"mmmm")</f>
        <v>January</v>
      </c>
      <c r="I628" s="3">
        <v>46008</v>
      </c>
      <c r="J628" s="3">
        <f>EDATE(Table1[[#This Row],[Application_Date]],1)</f>
        <v>46039</v>
      </c>
      <c r="K628" s="9">
        <v>8076000</v>
      </c>
      <c r="L628" s="9">
        <f>Table1[[#This Row],[Annual_Income]]/12</f>
        <v>673000</v>
      </c>
      <c r="M628" s="9">
        <v>8276000</v>
      </c>
      <c r="N628" s="5">
        <f ca="1">DATEDIF(Table1[[#This Row],[EMI_payment_date]],TODAY(),"m")</f>
        <v>6</v>
      </c>
      <c r="O628" s="9">
        <f>7*Table1[[#This Row],[monthly_EMI]]</f>
        <v>1413300</v>
      </c>
      <c r="P628" s="1">
        <v>9.31</v>
      </c>
      <c r="Q628" s="9">
        <f>Table1[[#This Row],[monthly_income]]*30%</f>
        <v>201900</v>
      </c>
      <c r="R628" s="1">
        <f>ROUNDUP(NPER(P628/100/12,-Q628,Table1[[#This Row],[Loan_Amount]]),0)</f>
        <v>50</v>
      </c>
      <c r="S628" s="1">
        <v>833</v>
      </c>
      <c r="T628" s="1" t="s">
        <v>20</v>
      </c>
      <c r="U628" s="1" t="str">
        <f>IF(Table1[[#This Row],[Repayment_Status]]="late","bad loan","good loan")</f>
        <v>good loan</v>
      </c>
      <c r="V628" s="1" t="str">
        <f>IF(Table1[[#This Row],[Repayment_Status]]="late","high","low")</f>
        <v>low</v>
      </c>
      <c r="W628" s="1">
        <f>(Table1[[#This Row],[monthly_EMI]]/Table1[[#This Row],[monthly_income]])*100</f>
        <v>30</v>
      </c>
      <c r="X628" s="7">
        <v>29552.34</v>
      </c>
    </row>
    <row r="629" spans="1:24" x14ac:dyDescent="0.25">
      <c r="A629" s="1" t="s">
        <v>237</v>
      </c>
      <c r="B629" s="2" t="s">
        <v>863</v>
      </c>
      <c r="C629" s="5">
        <v>50</v>
      </c>
      <c r="D629" s="1" t="s">
        <v>15</v>
      </c>
      <c r="E629" s="1" t="s">
        <v>24</v>
      </c>
      <c r="F629" s="1" t="s">
        <v>51</v>
      </c>
      <c r="G629" s="1">
        <f>YEAR(Table1[[#This Row],[Application_Date]])</f>
        <v>2025</v>
      </c>
      <c r="H629" s="1" t="str">
        <f>TEXT(Table1[[#This Row],[EMI_payment_date]],"mmmm")</f>
        <v>January</v>
      </c>
      <c r="I629" s="3">
        <v>46009</v>
      </c>
      <c r="J629" s="3">
        <f>EDATE(Table1[[#This Row],[Application_Date]],1)</f>
        <v>46040</v>
      </c>
      <c r="K629" s="9">
        <v>3108000</v>
      </c>
      <c r="L629" s="9">
        <f>Table1[[#This Row],[Annual_Income]]/12</f>
        <v>259000</v>
      </c>
      <c r="M629" s="9">
        <v>3308000</v>
      </c>
      <c r="N629" s="5">
        <f ca="1">DATEDIF(Table1[[#This Row],[EMI_payment_date]],TODAY(),"m")</f>
        <v>6</v>
      </c>
      <c r="O629" s="9">
        <f>7*Table1[[#This Row],[monthly_EMI]]</f>
        <v>543900</v>
      </c>
      <c r="P629" s="1">
        <v>8.0399999999999991</v>
      </c>
      <c r="Q629" s="9">
        <f>Table1[[#This Row],[monthly_income]]*30%</f>
        <v>77700</v>
      </c>
      <c r="R629" s="1">
        <f>ROUNDUP(NPER(P629/100/12,-Q629,Table1[[#This Row],[Loan_Amount]]),0)</f>
        <v>51</v>
      </c>
      <c r="S629" s="1">
        <v>670</v>
      </c>
      <c r="T629" s="1" t="s">
        <v>20</v>
      </c>
      <c r="U629" s="1" t="str">
        <f>IF(Table1[[#This Row],[Repayment_Status]]="late","bad loan","good loan")</f>
        <v>good loan</v>
      </c>
      <c r="V629" s="1" t="str">
        <f>IF(Table1[[#This Row],[Repayment_Status]]="late","high","low")</f>
        <v>low</v>
      </c>
      <c r="W629" s="1">
        <f>(Table1[[#This Row],[monthly_EMI]]/Table1[[#This Row],[monthly_income]])*100</f>
        <v>30</v>
      </c>
      <c r="X629" s="7">
        <v>25092.12</v>
      </c>
    </row>
    <row r="630" spans="1:24" x14ac:dyDescent="0.25">
      <c r="A630" s="1" t="s">
        <v>478</v>
      </c>
      <c r="B630" s="2" t="s">
        <v>744</v>
      </c>
      <c r="C630" s="5">
        <v>24</v>
      </c>
      <c r="D630" s="1" t="s">
        <v>26</v>
      </c>
      <c r="E630" s="1" t="s">
        <v>33</v>
      </c>
      <c r="F630" s="1" t="s">
        <v>22</v>
      </c>
      <c r="G630" s="1">
        <f>YEAR(Table1[[#This Row],[Application_Date]])</f>
        <v>2025</v>
      </c>
      <c r="H630" s="1" t="str">
        <f>TEXT(Table1[[#This Row],[EMI_payment_date]],"mmmm")</f>
        <v>January</v>
      </c>
      <c r="I630" s="3">
        <v>46010</v>
      </c>
      <c r="J630" s="3">
        <f>EDATE(Table1[[#This Row],[Application_Date]],1)</f>
        <v>46041</v>
      </c>
      <c r="K630" s="9">
        <v>6000000</v>
      </c>
      <c r="L630" s="9">
        <f>Table1[[#This Row],[Annual_Income]]/12</f>
        <v>500000</v>
      </c>
      <c r="M630" s="9">
        <v>6200000</v>
      </c>
      <c r="N630" s="5">
        <f ca="1">DATEDIF(Table1[[#This Row],[EMI_payment_date]],TODAY(),"m")</f>
        <v>6</v>
      </c>
      <c r="O630" s="9">
        <f>7*Table1[[#This Row],[monthly_EMI]]</f>
        <v>1050000</v>
      </c>
      <c r="P630" s="1">
        <v>9.52</v>
      </c>
      <c r="Q630" s="9">
        <f>Table1[[#This Row],[monthly_income]]*30%</f>
        <v>150000</v>
      </c>
      <c r="R630" s="1">
        <f>ROUNDUP(NPER(P630/100/12,-Q630,Table1[[#This Row],[Loan_Amount]]),0)</f>
        <v>51</v>
      </c>
      <c r="S630" s="1">
        <v>676</v>
      </c>
      <c r="T630" s="1" t="s">
        <v>37</v>
      </c>
      <c r="U630" s="1" t="str">
        <f>IF(Table1[[#This Row],[Repayment_Status]]="late","bad loan","good loan")</f>
        <v>bad loan</v>
      </c>
      <c r="V630" s="1" t="str">
        <f>IF(Table1[[#This Row],[Repayment_Status]]="late","high","low")</f>
        <v>high</v>
      </c>
      <c r="W630" s="1">
        <f>(Table1[[#This Row],[monthly_EMI]]/Table1[[#This Row],[monthly_income]])*100</f>
        <v>30</v>
      </c>
      <c r="X630" s="7">
        <v>36157.760000000002</v>
      </c>
    </row>
    <row r="631" spans="1:24" x14ac:dyDescent="0.25">
      <c r="A631" s="1" t="s">
        <v>723</v>
      </c>
      <c r="B631" s="2" t="s">
        <v>747</v>
      </c>
      <c r="C631" s="5">
        <v>42</v>
      </c>
      <c r="D631" s="1" t="s">
        <v>26</v>
      </c>
      <c r="E631" s="1" t="s">
        <v>29</v>
      </c>
      <c r="F631" s="1" t="s">
        <v>17</v>
      </c>
      <c r="G631" s="1">
        <f>YEAR(Table1[[#This Row],[Application_Date]])</f>
        <v>2025</v>
      </c>
      <c r="H631" s="1" t="str">
        <f>TEXT(Table1[[#This Row],[EMI_payment_date]],"mmmm")</f>
        <v>January</v>
      </c>
      <c r="I631" s="3">
        <v>46011</v>
      </c>
      <c r="J631" s="3">
        <f>EDATE(Table1[[#This Row],[Application_Date]],1)</f>
        <v>46042</v>
      </c>
      <c r="K631" s="9">
        <v>8940000</v>
      </c>
      <c r="L631" s="9">
        <f>Table1[[#This Row],[Annual_Income]]/12</f>
        <v>745000</v>
      </c>
      <c r="M631" s="9">
        <v>9140000</v>
      </c>
      <c r="N631" s="5">
        <f ca="1">DATEDIF(Table1[[#This Row],[EMI_payment_date]],TODAY(),"m")</f>
        <v>6</v>
      </c>
      <c r="O631" s="9">
        <f>7*Table1[[#This Row],[monthly_EMI]]</f>
        <v>1564500</v>
      </c>
      <c r="P631" s="1">
        <v>9.6199999999999992</v>
      </c>
      <c r="Q631" s="9">
        <f>Table1[[#This Row],[monthly_income]]*30%</f>
        <v>223500</v>
      </c>
      <c r="R631" s="1">
        <f>ROUNDUP(NPER(P631/100/12,-Q631,Table1[[#This Row],[Loan_Amount]]),0)</f>
        <v>50</v>
      </c>
      <c r="S631" s="1">
        <v>735</v>
      </c>
      <c r="T631" s="1" t="s">
        <v>20</v>
      </c>
      <c r="U631" s="1" t="str">
        <f>IF(Table1[[#This Row],[Repayment_Status]]="late","bad loan","good loan")</f>
        <v>good loan</v>
      </c>
      <c r="V631" s="1" t="str">
        <f>IF(Table1[[#This Row],[Repayment_Status]]="late","high","low")</f>
        <v>low</v>
      </c>
      <c r="W631" s="1">
        <f>(Table1[[#This Row],[monthly_EMI]]/Table1[[#This Row],[monthly_income]])*100</f>
        <v>30</v>
      </c>
      <c r="X631" s="7">
        <v>40680.629999999997</v>
      </c>
    </row>
    <row r="632" spans="1:24" x14ac:dyDescent="0.25">
      <c r="A632" s="1" t="s">
        <v>208</v>
      </c>
      <c r="B632" s="2" t="s">
        <v>793</v>
      </c>
      <c r="C632" s="5">
        <v>49</v>
      </c>
      <c r="D632" s="1" t="s">
        <v>15</v>
      </c>
      <c r="E632" s="1" t="s">
        <v>27</v>
      </c>
      <c r="F632" s="1" t="s">
        <v>31</v>
      </c>
      <c r="G632" s="1">
        <f>YEAR(Table1[[#This Row],[Application_Date]])</f>
        <v>2025</v>
      </c>
      <c r="H632" s="1" t="str">
        <f>TEXT(Table1[[#This Row],[EMI_payment_date]],"mmmm")</f>
        <v>January</v>
      </c>
      <c r="I632" s="3">
        <v>46012</v>
      </c>
      <c r="J632" s="3">
        <f>EDATE(Table1[[#This Row],[Application_Date]],1)</f>
        <v>46043</v>
      </c>
      <c r="K632" s="9">
        <v>2760000</v>
      </c>
      <c r="L632" s="9">
        <f>Table1[[#This Row],[Annual_Income]]/12</f>
        <v>230000</v>
      </c>
      <c r="M632" s="9">
        <v>2960000</v>
      </c>
      <c r="N632" s="5">
        <f ca="1">DATEDIF(Table1[[#This Row],[EMI_payment_date]],TODAY(),"m")</f>
        <v>6</v>
      </c>
      <c r="O632" s="9">
        <f>7*Table1[[#This Row],[monthly_EMI]]</f>
        <v>483000</v>
      </c>
      <c r="P632" s="1">
        <v>8.06</v>
      </c>
      <c r="Q632" s="9">
        <f>Table1[[#This Row],[monthly_income]]*30%</f>
        <v>69000</v>
      </c>
      <c r="R632" s="1">
        <f>ROUNDUP(NPER(P632/100/12,-Q632,Table1[[#This Row],[Loan_Amount]]),0)</f>
        <v>51</v>
      </c>
      <c r="S632" s="1">
        <v>680</v>
      </c>
      <c r="T632" s="1" t="s">
        <v>20</v>
      </c>
      <c r="U632" s="1" t="str">
        <f>IF(Table1[[#This Row],[Repayment_Status]]="late","bad loan","good loan")</f>
        <v>good loan</v>
      </c>
      <c r="V632" s="1" t="str">
        <f>IF(Table1[[#This Row],[Repayment_Status]]="late","high","low")</f>
        <v>low</v>
      </c>
      <c r="W632" s="1">
        <f>(Table1[[#This Row],[monthly_EMI]]/Table1[[#This Row],[monthly_income]])*100</f>
        <v>30</v>
      </c>
      <c r="X632" s="7">
        <v>32291.279999999999</v>
      </c>
    </row>
    <row r="633" spans="1:24" x14ac:dyDescent="0.25">
      <c r="A633" s="1" t="s">
        <v>568</v>
      </c>
      <c r="B633" s="2" t="s">
        <v>880</v>
      </c>
      <c r="C633" s="5">
        <v>37</v>
      </c>
      <c r="D633" s="1" t="s">
        <v>26</v>
      </c>
      <c r="E633" s="1" t="s">
        <v>24</v>
      </c>
      <c r="F633" s="1" t="s">
        <v>17</v>
      </c>
      <c r="G633" s="1">
        <f>YEAR(Table1[[#This Row],[Application_Date]])</f>
        <v>2025</v>
      </c>
      <c r="H633" s="1" t="str">
        <f>TEXT(Table1[[#This Row],[EMI_payment_date]],"mmmm")</f>
        <v>January</v>
      </c>
      <c r="I633" s="3">
        <v>46013</v>
      </c>
      <c r="J633" s="3">
        <f>EDATE(Table1[[#This Row],[Application_Date]],1)</f>
        <v>46044</v>
      </c>
      <c r="K633" s="9">
        <v>7080000</v>
      </c>
      <c r="L633" s="9">
        <f>Table1[[#This Row],[Annual_Income]]/12</f>
        <v>590000</v>
      </c>
      <c r="M633" s="9">
        <v>7280000</v>
      </c>
      <c r="N633" s="5">
        <f ca="1">DATEDIF(Table1[[#This Row],[EMI_payment_date]],TODAY(),"m")</f>
        <v>6</v>
      </c>
      <c r="O633" s="9">
        <f>7*Table1[[#This Row],[monthly_EMI]]</f>
        <v>1239000</v>
      </c>
      <c r="P633" s="1">
        <v>7.24</v>
      </c>
      <c r="Q633" s="9">
        <f>Table1[[#This Row],[monthly_income]]*30%</f>
        <v>177000</v>
      </c>
      <c r="R633" s="1">
        <f>ROUNDUP(NPER(P633/100/12,-Q633,Table1[[#This Row],[Loan_Amount]]),0)</f>
        <v>48</v>
      </c>
      <c r="S633" s="1">
        <v>678</v>
      </c>
      <c r="T633" s="1" t="s">
        <v>37</v>
      </c>
      <c r="U633" s="1" t="str">
        <f>IF(Table1[[#This Row],[Repayment_Status]]="late","bad loan","good loan")</f>
        <v>bad loan</v>
      </c>
      <c r="V633" s="1" t="str">
        <f>IF(Table1[[#This Row],[Repayment_Status]]="late","high","low")</f>
        <v>high</v>
      </c>
      <c r="W633" s="1">
        <f>(Table1[[#This Row],[monthly_EMI]]/Table1[[#This Row],[monthly_income]])*100</f>
        <v>30</v>
      </c>
      <c r="X633" s="7">
        <v>23114.400000000001</v>
      </c>
    </row>
    <row r="634" spans="1:24" x14ac:dyDescent="0.25">
      <c r="A634" s="1" t="s">
        <v>397</v>
      </c>
      <c r="B634" s="2" t="s">
        <v>822</v>
      </c>
      <c r="C634" s="5">
        <v>39</v>
      </c>
      <c r="D634" s="1" t="s">
        <v>15</v>
      </c>
      <c r="E634" s="1" t="s">
        <v>27</v>
      </c>
      <c r="F634" s="1" t="s">
        <v>22</v>
      </c>
      <c r="G634" s="1">
        <f>YEAR(Table1[[#This Row],[Application_Date]])</f>
        <v>2025</v>
      </c>
      <c r="H634" s="1" t="str">
        <f>TEXT(Table1[[#This Row],[EMI_payment_date]],"mmmm")</f>
        <v>January</v>
      </c>
      <c r="I634" s="3">
        <v>46014</v>
      </c>
      <c r="J634" s="3">
        <f>EDATE(Table1[[#This Row],[Application_Date]],1)</f>
        <v>46045</v>
      </c>
      <c r="K634" s="9">
        <v>5028000</v>
      </c>
      <c r="L634" s="9">
        <f>Table1[[#This Row],[Annual_Income]]/12</f>
        <v>419000</v>
      </c>
      <c r="M634" s="9">
        <v>5228000</v>
      </c>
      <c r="N634" s="5">
        <f ca="1">DATEDIF(Table1[[#This Row],[EMI_payment_date]],TODAY(),"m")</f>
        <v>6</v>
      </c>
      <c r="O634" s="9">
        <f>7*Table1[[#This Row],[monthly_EMI]]</f>
        <v>879900</v>
      </c>
      <c r="P634" s="1">
        <v>8.4600000000000009</v>
      </c>
      <c r="Q634" s="9">
        <f>Table1[[#This Row],[monthly_income]]*30%</f>
        <v>125700</v>
      </c>
      <c r="R634" s="1">
        <f>ROUNDUP(NPER(P634/100/12,-Q634,Table1[[#This Row],[Loan_Amount]]),0)</f>
        <v>50</v>
      </c>
      <c r="S634" s="1">
        <v>825</v>
      </c>
      <c r="T634" s="1" t="s">
        <v>20</v>
      </c>
      <c r="U634" s="1" t="str">
        <f>IF(Table1[[#This Row],[Repayment_Status]]="late","bad loan","good loan")</f>
        <v>good loan</v>
      </c>
      <c r="V634" s="1" t="str">
        <f>IF(Table1[[#This Row],[Repayment_Status]]="late","high","low")</f>
        <v>low</v>
      </c>
      <c r="W634" s="1">
        <f>(Table1[[#This Row],[monthly_EMI]]/Table1[[#This Row],[monthly_income]])*100</f>
        <v>30</v>
      </c>
      <c r="X634" s="7">
        <v>12568.33</v>
      </c>
    </row>
    <row r="635" spans="1:24" x14ac:dyDescent="0.25">
      <c r="A635" s="1" t="s">
        <v>351</v>
      </c>
      <c r="B635" s="2" t="s">
        <v>847</v>
      </c>
      <c r="C635" s="5">
        <v>39</v>
      </c>
      <c r="D635" s="1" t="s">
        <v>26</v>
      </c>
      <c r="E635" s="1" t="s">
        <v>36</v>
      </c>
      <c r="F635" s="1" t="s">
        <v>51</v>
      </c>
      <c r="G635" s="1">
        <f>YEAR(Table1[[#This Row],[Application_Date]])</f>
        <v>2025</v>
      </c>
      <c r="H635" s="1" t="str">
        <f>TEXT(Table1[[#This Row],[EMI_payment_date]],"mmmm")</f>
        <v>January</v>
      </c>
      <c r="I635" s="3">
        <v>46015</v>
      </c>
      <c r="J635" s="3">
        <f>EDATE(Table1[[#This Row],[Application_Date]],1)</f>
        <v>46046</v>
      </c>
      <c r="K635" s="9">
        <v>4476000</v>
      </c>
      <c r="L635" s="9">
        <f>Table1[[#This Row],[Annual_Income]]/12</f>
        <v>373000</v>
      </c>
      <c r="M635" s="9">
        <v>4676000</v>
      </c>
      <c r="N635" s="5">
        <f ca="1">DATEDIF(Table1[[#This Row],[EMI_payment_date]],TODAY(),"m")</f>
        <v>6</v>
      </c>
      <c r="O635" s="9">
        <f>7*Table1[[#This Row],[monthly_EMI]]</f>
        <v>783300</v>
      </c>
      <c r="P635" s="1">
        <v>7.73</v>
      </c>
      <c r="Q635" s="9">
        <f>Table1[[#This Row],[monthly_income]]*30%</f>
        <v>111900</v>
      </c>
      <c r="R635" s="1">
        <f>ROUNDUP(NPER(P635/100/12,-Q635,Table1[[#This Row],[Loan_Amount]]),0)</f>
        <v>49</v>
      </c>
      <c r="S635" s="1">
        <v>849</v>
      </c>
      <c r="T635" s="1" t="s">
        <v>20</v>
      </c>
      <c r="U635" s="1" t="str">
        <f>IF(Table1[[#This Row],[Repayment_Status]]="late","bad loan","good loan")</f>
        <v>good loan</v>
      </c>
      <c r="V635" s="1" t="str">
        <f>IF(Table1[[#This Row],[Repayment_Status]]="late","high","low")</f>
        <v>low</v>
      </c>
      <c r="W635" s="1">
        <f>(Table1[[#This Row],[monthly_EMI]]/Table1[[#This Row],[monthly_income]])*100</f>
        <v>30</v>
      </c>
      <c r="X635" s="7">
        <v>23129.03</v>
      </c>
    </row>
    <row r="636" spans="1:24" x14ac:dyDescent="0.25">
      <c r="A636" s="1" t="s">
        <v>116</v>
      </c>
      <c r="B636" s="2" t="s">
        <v>802</v>
      </c>
      <c r="C636" s="5">
        <v>46</v>
      </c>
      <c r="D636" s="1" t="s">
        <v>15</v>
      </c>
      <c r="E636" s="1" t="s">
        <v>36</v>
      </c>
      <c r="F636" s="1" t="s">
        <v>22</v>
      </c>
      <c r="G636" s="1">
        <f>YEAR(Table1[[#This Row],[Application_Date]])</f>
        <v>2025</v>
      </c>
      <c r="H636" s="1" t="str">
        <f>TEXT(Table1[[#This Row],[EMI_payment_date]],"mmmm")</f>
        <v>January</v>
      </c>
      <c r="I636" s="3">
        <v>46016</v>
      </c>
      <c r="J636" s="3">
        <f>EDATE(Table1[[#This Row],[Application_Date]],1)</f>
        <v>46047</v>
      </c>
      <c r="K636" s="9">
        <v>1656000</v>
      </c>
      <c r="L636" s="9">
        <f>Table1[[#This Row],[Annual_Income]]/12</f>
        <v>138000</v>
      </c>
      <c r="M636" s="9">
        <v>1856000</v>
      </c>
      <c r="N636" s="5">
        <f ca="1">DATEDIF(Table1[[#This Row],[EMI_payment_date]],TODAY(),"m")</f>
        <v>6</v>
      </c>
      <c r="O636" s="9">
        <f>7*Table1[[#This Row],[monthly_EMI]]</f>
        <v>289800</v>
      </c>
      <c r="P636" s="1">
        <v>9.16</v>
      </c>
      <c r="Q636" s="9">
        <f>Table1[[#This Row],[monthly_income]]*30%</f>
        <v>41400</v>
      </c>
      <c r="R636" s="1">
        <f>ROUNDUP(NPER(P636/100/12,-Q636,Table1[[#This Row],[Loan_Amount]]),0)</f>
        <v>56</v>
      </c>
      <c r="S636" s="1">
        <v>844</v>
      </c>
      <c r="T636" s="1" t="s">
        <v>20</v>
      </c>
      <c r="U636" s="1" t="str">
        <f>IF(Table1[[#This Row],[Repayment_Status]]="late","bad loan","good loan")</f>
        <v>good loan</v>
      </c>
      <c r="V636" s="1" t="str">
        <f>IF(Table1[[#This Row],[Repayment_Status]]="late","high","low")</f>
        <v>low</v>
      </c>
      <c r="W636" s="1">
        <f>(Table1[[#This Row],[monthly_EMI]]/Table1[[#This Row],[monthly_income]])*100</f>
        <v>30</v>
      </c>
      <c r="X636" s="7">
        <v>15821.34</v>
      </c>
    </row>
    <row r="637" spans="1:24" x14ac:dyDescent="0.25">
      <c r="A637" s="1" t="s">
        <v>500</v>
      </c>
      <c r="B637" s="2" t="s">
        <v>732</v>
      </c>
      <c r="C637" s="5">
        <v>43</v>
      </c>
      <c r="D637" s="1" t="s">
        <v>26</v>
      </c>
      <c r="E637" s="1" t="s">
        <v>29</v>
      </c>
      <c r="F637" s="1" t="s">
        <v>17</v>
      </c>
      <c r="G637" s="1">
        <f>YEAR(Table1[[#This Row],[Application_Date]])</f>
        <v>2025</v>
      </c>
      <c r="H637" s="1" t="str">
        <f>TEXT(Table1[[#This Row],[EMI_payment_date]],"mmmm")</f>
        <v>January</v>
      </c>
      <c r="I637" s="3">
        <v>46017</v>
      </c>
      <c r="J637" s="3">
        <f>EDATE(Table1[[#This Row],[Application_Date]],1)</f>
        <v>46048</v>
      </c>
      <c r="K637" s="9">
        <v>6264000</v>
      </c>
      <c r="L637" s="9">
        <f>Table1[[#This Row],[Annual_Income]]/12</f>
        <v>522000</v>
      </c>
      <c r="M637" s="9">
        <v>6464000</v>
      </c>
      <c r="N637" s="5">
        <f ca="1">DATEDIF(Table1[[#This Row],[EMI_payment_date]],TODAY(),"m")</f>
        <v>6</v>
      </c>
      <c r="O637" s="9">
        <f>7*Table1[[#This Row],[monthly_EMI]]</f>
        <v>1096200</v>
      </c>
      <c r="P637" s="1">
        <v>6.39</v>
      </c>
      <c r="Q637" s="9">
        <f>Table1[[#This Row],[monthly_income]]*30%</f>
        <v>156600</v>
      </c>
      <c r="R637" s="1">
        <f>ROUNDUP(NPER(P637/100/12,-Q637,Table1[[#This Row],[Loan_Amount]]),0)</f>
        <v>47</v>
      </c>
      <c r="S637" s="1">
        <v>667</v>
      </c>
      <c r="T637" s="1" t="s">
        <v>20</v>
      </c>
      <c r="U637" s="1" t="str">
        <f>IF(Table1[[#This Row],[Repayment_Status]]="late","bad loan","good loan")</f>
        <v>good loan</v>
      </c>
      <c r="V637" s="1" t="str">
        <f>IF(Table1[[#This Row],[Repayment_Status]]="late","high","low")</f>
        <v>low</v>
      </c>
      <c r="W637" s="1">
        <f>(Table1[[#This Row],[monthly_EMI]]/Table1[[#This Row],[monthly_income]])*100</f>
        <v>30</v>
      </c>
      <c r="X637" s="7">
        <v>10408.200000000001</v>
      </c>
    </row>
    <row r="638" spans="1:24" x14ac:dyDescent="0.25">
      <c r="A638" s="1" t="s">
        <v>367</v>
      </c>
      <c r="B638" s="2" t="s">
        <v>768</v>
      </c>
      <c r="C638" s="5">
        <v>34</v>
      </c>
      <c r="D638" s="1" t="s">
        <v>15</v>
      </c>
      <c r="E638" s="1" t="s">
        <v>27</v>
      </c>
      <c r="F638" s="1" t="s">
        <v>31</v>
      </c>
      <c r="G638" s="1">
        <f>YEAR(Table1[[#This Row],[Application_Date]])</f>
        <v>2025</v>
      </c>
      <c r="H638" s="1" t="str">
        <f>TEXT(Table1[[#This Row],[EMI_payment_date]],"mmmm")</f>
        <v>January</v>
      </c>
      <c r="I638" s="3">
        <v>46018</v>
      </c>
      <c r="J638" s="3">
        <f>EDATE(Table1[[#This Row],[Application_Date]],1)</f>
        <v>46049</v>
      </c>
      <c r="K638" s="9">
        <v>4668000</v>
      </c>
      <c r="L638" s="9">
        <f>Table1[[#This Row],[Annual_Income]]/12</f>
        <v>389000</v>
      </c>
      <c r="M638" s="9">
        <v>4868000</v>
      </c>
      <c r="N638" s="5">
        <f ca="1">DATEDIF(Table1[[#This Row],[EMI_payment_date]],TODAY(),"m")</f>
        <v>6</v>
      </c>
      <c r="O638" s="9">
        <f>7*Table1[[#This Row],[monthly_EMI]]</f>
        <v>816900</v>
      </c>
      <c r="P638" s="1">
        <v>10</v>
      </c>
      <c r="Q638" s="9">
        <f>Table1[[#This Row],[monthly_income]]*30%</f>
        <v>116700</v>
      </c>
      <c r="R638" s="1">
        <f>ROUNDUP(NPER(P638/100/12,-Q638,Table1[[#This Row],[Loan_Amount]]),0)</f>
        <v>52</v>
      </c>
      <c r="S638" s="1">
        <v>716</v>
      </c>
      <c r="T638" s="1" t="s">
        <v>20</v>
      </c>
      <c r="U638" s="1" t="str">
        <f>IF(Table1[[#This Row],[Repayment_Status]]="late","bad loan","good loan")</f>
        <v>good loan</v>
      </c>
      <c r="V638" s="1" t="str">
        <f>IF(Table1[[#This Row],[Repayment_Status]]="late","high","low")</f>
        <v>low</v>
      </c>
      <c r="W638" s="1">
        <f>(Table1[[#This Row],[monthly_EMI]]/Table1[[#This Row],[monthly_income]])*100</f>
        <v>30</v>
      </c>
      <c r="X638" s="7">
        <v>37088.92</v>
      </c>
    </row>
    <row r="639" spans="1:24" x14ac:dyDescent="0.25">
      <c r="A639" s="1" t="s">
        <v>232</v>
      </c>
      <c r="B639" s="2" t="s">
        <v>793</v>
      </c>
      <c r="C639" s="5">
        <v>48</v>
      </c>
      <c r="D639" s="1" t="s">
        <v>15</v>
      </c>
      <c r="E639" s="1" t="s">
        <v>36</v>
      </c>
      <c r="F639" s="1" t="s">
        <v>22</v>
      </c>
      <c r="G639" s="1">
        <f>YEAR(Table1[[#This Row],[Application_Date]])</f>
        <v>2025</v>
      </c>
      <c r="H639" s="1" t="str">
        <f>TEXT(Table1[[#This Row],[EMI_payment_date]],"mmmm")</f>
        <v>January</v>
      </c>
      <c r="I639" s="3">
        <v>46019</v>
      </c>
      <c r="J639" s="3">
        <f>EDATE(Table1[[#This Row],[Application_Date]],1)</f>
        <v>46050</v>
      </c>
      <c r="K639" s="9">
        <v>3048000</v>
      </c>
      <c r="L639" s="9">
        <f>Table1[[#This Row],[Annual_Income]]/12</f>
        <v>254000</v>
      </c>
      <c r="M639" s="9">
        <v>3248000</v>
      </c>
      <c r="N639" s="5">
        <f ca="1">DATEDIF(Table1[[#This Row],[EMI_payment_date]],TODAY(),"m")</f>
        <v>6</v>
      </c>
      <c r="O639" s="9">
        <f>7*Table1[[#This Row],[monthly_EMI]]</f>
        <v>533400</v>
      </c>
      <c r="P639" s="1">
        <v>5.91</v>
      </c>
      <c r="Q639" s="9">
        <f>Table1[[#This Row],[monthly_income]]*30%</f>
        <v>76200</v>
      </c>
      <c r="R639" s="1">
        <f>ROUNDUP(NPER(P639/100/12,-Q639,Table1[[#This Row],[Loan_Amount]]),0)</f>
        <v>48</v>
      </c>
      <c r="S639" s="1">
        <v>637</v>
      </c>
      <c r="T639" s="1" t="s">
        <v>37</v>
      </c>
      <c r="U639" s="1" t="str">
        <f>IF(Table1[[#This Row],[Repayment_Status]]="late","bad loan","good loan")</f>
        <v>bad loan</v>
      </c>
      <c r="V639" s="1" t="str">
        <f>IF(Table1[[#This Row],[Repayment_Status]]="late","high","low")</f>
        <v>high</v>
      </c>
      <c r="W639" s="1">
        <f>(Table1[[#This Row],[monthly_EMI]]/Table1[[#This Row],[monthly_income]])*100</f>
        <v>30</v>
      </c>
      <c r="X639" s="7">
        <v>18159.919999999998</v>
      </c>
    </row>
    <row r="640" spans="1:24" x14ac:dyDescent="0.25">
      <c r="A640" s="1" t="s">
        <v>247</v>
      </c>
      <c r="B640" s="2" t="s">
        <v>867</v>
      </c>
      <c r="C640" s="5">
        <v>36</v>
      </c>
      <c r="D640" s="1" t="s">
        <v>15</v>
      </c>
      <c r="E640" s="1" t="s">
        <v>24</v>
      </c>
      <c r="F640" s="1" t="s">
        <v>31</v>
      </c>
      <c r="G640" s="1">
        <f>YEAR(Table1[[#This Row],[Application_Date]])</f>
        <v>2025</v>
      </c>
      <c r="H640" s="1" t="str">
        <f>TEXT(Table1[[#This Row],[EMI_payment_date]],"mmmm")</f>
        <v>January</v>
      </c>
      <c r="I640" s="3">
        <v>46020</v>
      </c>
      <c r="J640" s="3">
        <f>EDATE(Table1[[#This Row],[Application_Date]],1)</f>
        <v>46051</v>
      </c>
      <c r="K640" s="9">
        <v>3228000</v>
      </c>
      <c r="L640" s="9">
        <f>Table1[[#This Row],[Annual_Income]]/12</f>
        <v>269000</v>
      </c>
      <c r="M640" s="9">
        <v>3428000</v>
      </c>
      <c r="N640" s="5">
        <f ca="1">DATEDIF(Table1[[#This Row],[EMI_payment_date]],TODAY(),"m")</f>
        <v>6</v>
      </c>
      <c r="O640" s="9">
        <f>7*Table1[[#This Row],[monthly_EMI]]</f>
        <v>564900</v>
      </c>
      <c r="P640" s="1">
        <v>7.61</v>
      </c>
      <c r="Q640" s="9">
        <f>Table1[[#This Row],[monthly_income]]*30%</f>
        <v>80700</v>
      </c>
      <c r="R640" s="1">
        <f>ROUNDUP(NPER(P640/100/12,-Q640,Table1[[#This Row],[Loan_Amount]]),0)</f>
        <v>50</v>
      </c>
      <c r="S640" s="1">
        <v>644</v>
      </c>
      <c r="T640" s="1" t="s">
        <v>20</v>
      </c>
      <c r="U640" s="1" t="str">
        <f>IF(Table1[[#This Row],[Repayment_Status]]="late","bad loan","good loan")</f>
        <v>good loan</v>
      </c>
      <c r="V640" s="1" t="str">
        <f>IF(Table1[[#This Row],[Repayment_Status]]="late","high","low")</f>
        <v>low</v>
      </c>
      <c r="W640" s="1">
        <f>(Table1[[#This Row],[monthly_EMI]]/Table1[[#This Row],[monthly_income]])*100</f>
        <v>30</v>
      </c>
      <c r="X640" s="7">
        <v>33180.879999999997</v>
      </c>
    </row>
    <row r="641" spans="1:24" x14ac:dyDescent="0.25">
      <c r="A641" s="1" t="s">
        <v>266</v>
      </c>
      <c r="B641" s="2" t="s">
        <v>873</v>
      </c>
      <c r="C641" s="5">
        <v>48</v>
      </c>
      <c r="D641" s="1" t="s">
        <v>26</v>
      </c>
      <c r="E641" s="1" t="s">
        <v>16</v>
      </c>
      <c r="F641" s="1" t="s">
        <v>51</v>
      </c>
      <c r="G641" s="1">
        <f>YEAR(Table1[[#This Row],[Application_Date]])</f>
        <v>2025</v>
      </c>
      <c r="H641" s="1" t="str">
        <f>TEXT(Table1[[#This Row],[EMI_payment_date]],"mmmm")</f>
        <v>January</v>
      </c>
      <c r="I641" s="3">
        <v>46021</v>
      </c>
      <c r="J641" s="3">
        <f>EDATE(Table1[[#This Row],[Application_Date]],1)</f>
        <v>46052</v>
      </c>
      <c r="K641" s="9">
        <v>3456000</v>
      </c>
      <c r="L641" s="9">
        <f>Table1[[#This Row],[Annual_Income]]/12</f>
        <v>288000</v>
      </c>
      <c r="M641" s="9">
        <v>3656000</v>
      </c>
      <c r="N641" s="5">
        <f ca="1">DATEDIF(Table1[[#This Row],[EMI_payment_date]],TODAY(),"m")</f>
        <v>6</v>
      </c>
      <c r="O641" s="9">
        <f>7*Table1[[#This Row],[monthly_EMI]]</f>
        <v>604800</v>
      </c>
      <c r="P641" s="1">
        <v>8.06</v>
      </c>
      <c r="Q641" s="9">
        <f>Table1[[#This Row],[monthly_income]]*30%</f>
        <v>86400</v>
      </c>
      <c r="R641" s="1">
        <f>ROUNDUP(NPER(P641/100/12,-Q641,Table1[[#This Row],[Loan_Amount]]),0)</f>
        <v>50</v>
      </c>
      <c r="S641" s="1">
        <v>640</v>
      </c>
      <c r="T641" s="1" t="s">
        <v>20</v>
      </c>
      <c r="U641" s="1" t="str">
        <f>IF(Table1[[#This Row],[Repayment_Status]]="late","bad loan","good loan")</f>
        <v>good loan</v>
      </c>
      <c r="V641" s="1" t="str">
        <f>IF(Table1[[#This Row],[Repayment_Status]]="late","high","low")</f>
        <v>low</v>
      </c>
      <c r="W641" s="1">
        <f>(Table1[[#This Row],[monthly_EMI]]/Table1[[#This Row],[monthly_income]])*100</f>
        <v>30</v>
      </c>
      <c r="X641" s="7">
        <v>28421.51</v>
      </c>
    </row>
    <row r="642" spans="1:24" x14ac:dyDescent="0.25">
      <c r="A642" s="1" t="s">
        <v>665</v>
      </c>
      <c r="B642" s="2" t="s">
        <v>804</v>
      </c>
      <c r="C642" s="5">
        <v>41</v>
      </c>
      <c r="D642" s="1" t="s">
        <v>26</v>
      </c>
      <c r="E642" s="1" t="s">
        <v>24</v>
      </c>
      <c r="F642" s="1" t="s">
        <v>51</v>
      </c>
      <c r="G642" s="1">
        <f>YEAR(Table1[[#This Row],[Application_Date]])</f>
        <v>2025</v>
      </c>
      <c r="H642" s="1" t="str">
        <f>TEXT(Table1[[#This Row],[EMI_payment_date]],"mmmm")</f>
        <v>January</v>
      </c>
      <c r="I642" s="3">
        <v>46022</v>
      </c>
      <c r="J642" s="3">
        <f>EDATE(Table1[[#This Row],[Application_Date]],1)</f>
        <v>46053</v>
      </c>
      <c r="K642" s="9">
        <v>8244000</v>
      </c>
      <c r="L642" s="9">
        <f>Table1[[#This Row],[Annual_Income]]/12</f>
        <v>687000</v>
      </c>
      <c r="M642" s="9">
        <v>8444000</v>
      </c>
      <c r="N642" s="5">
        <f ca="1">DATEDIF(Table1[[#This Row],[EMI_payment_date]],TODAY(),"m")</f>
        <v>5</v>
      </c>
      <c r="O642" s="9">
        <f>7*Table1[[#This Row],[monthly_EMI]]</f>
        <v>1442700</v>
      </c>
      <c r="P642" s="1">
        <v>6.56</v>
      </c>
      <c r="Q642" s="9">
        <f>Table1[[#This Row],[monthly_income]]*30%</f>
        <v>206100</v>
      </c>
      <c r="R642" s="1">
        <f>ROUNDUP(NPER(P642/100/12,-Q642,Table1[[#This Row],[Loan_Amount]]),0)</f>
        <v>47</v>
      </c>
      <c r="S642" s="1">
        <v>754</v>
      </c>
      <c r="T642" s="1" t="s">
        <v>20</v>
      </c>
      <c r="U642" s="1" t="str">
        <f>IF(Table1[[#This Row],[Repayment_Status]]="late","bad loan","good loan")</f>
        <v>good loan</v>
      </c>
      <c r="V642" s="1" t="str">
        <f>IF(Table1[[#This Row],[Repayment_Status]]="late","high","low")</f>
        <v>low</v>
      </c>
      <c r="W642" s="1">
        <f>(Table1[[#This Row],[monthly_EMI]]/Table1[[#This Row],[monthly_income]])*100</f>
        <v>30</v>
      </c>
      <c r="X642" s="7">
        <v>12650.09</v>
      </c>
    </row>
    <row r="643" spans="1:24" x14ac:dyDescent="0.25">
      <c r="A643" s="1" t="s">
        <v>55</v>
      </c>
      <c r="B643" s="2" t="s">
        <v>754</v>
      </c>
      <c r="C643" s="5">
        <v>35</v>
      </c>
      <c r="D643" s="1" t="s">
        <v>15</v>
      </c>
      <c r="E643" s="1" t="s">
        <v>16</v>
      </c>
      <c r="F643" s="1" t="s">
        <v>51</v>
      </c>
      <c r="G643" s="1">
        <f>YEAR(Table1[[#This Row],[Application_Date]])</f>
        <v>2026</v>
      </c>
      <c r="H643" s="1" t="str">
        <f>TEXT(Table1[[#This Row],[EMI_payment_date]],"mmmm")</f>
        <v>February</v>
      </c>
      <c r="I643" s="3">
        <v>46023</v>
      </c>
      <c r="J643" s="3">
        <f>EDATE(Table1[[#This Row],[Application_Date]],1)</f>
        <v>46054</v>
      </c>
      <c r="K643" s="9">
        <v>912000</v>
      </c>
      <c r="L643" s="9">
        <f>Table1[[#This Row],[Annual_Income]]/12</f>
        <v>76000</v>
      </c>
      <c r="M643" s="9">
        <v>1112000</v>
      </c>
      <c r="N643" s="5">
        <f ca="1">DATEDIF(Table1[[#This Row],[EMI_payment_date]],TODAY(),"m")</f>
        <v>5</v>
      </c>
      <c r="O643" s="9">
        <f>6*Table1[[#This Row],[monthly_EMI]]</f>
        <v>136800</v>
      </c>
      <c r="P643" s="1">
        <v>9.11</v>
      </c>
      <c r="Q643" s="9">
        <f>Table1[[#This Row],[monthly_income]]*30%</f>
        <v>22800</v>
      </c>
      <c r="R643" s="1">
        <f>ROUNDUP(NPER(P643/100/12,-Q643,Table1[[#This Row],[Loan_Amount]]),0)</f>
        <v>62</v>
      </c>
      <c r="S643" s="1">
        <v>843</v>
      </c>
      <c r="T643" s="1" t="s">
        <v>37</v>
      </c>
      <c r="U643" s="1" t="str">
        <f>IF(Table1[[#This Row],[Repayment_Status]]="late","bad loan","good loan")</f>
        <v>bad loan</v>
      </c>
      <c r="V643" s="1" t="str">
        <f>IF(Table1[[#This Row],[Repayment_Status]]="late","high","low")</f>
        <v>high</v>
      </c>
      <c r="W643" s="1">
        <f>(Table1[[#This Row],[monthly_EMI]]/Table1[[#This Row],[monthly_income]])*100</f>
        <v>30</v>
      </c>
      <c r="X643" s="7">
        <v>31986.3</v>
      </c>
    </row>
    <row r="644" spans="1:24" x14ac:dyDescent="0.25">
      <c r="A644" s="1" t="s">
        <v>104</v>
      </c>
      <c r="B644" s="2" t="s">
        <v>780</v>
      </c>
      <c r="C644" s="5">
        <v>55</v>
      </c>
      <c r="D644" s="1" t="s">
        <v>15</v>
      </c>
      <c r="E644" s="1" t="s">
        <v>24</v>
      </c>
      <c r="F644" s="1" t="s">
        <v>22</v>
      </c>
      <c r="G644" s="1">
        <f>YEAR(Table1[[#This Row],[Application_Date]])</f>
        <v>2026</v>
      </c>
      <c r="H644" s="1" t="str">
        <f>TEXT(Table1[[#This Row],[EMI_payment_date]],"mmmm")</f>
        <v>February</v>
      </c>
      <c r="I644" s="3">
        <v>46024</v>
      </c>
      <c r="J644" s="3">
        <f>EDATE(Table1[[#This Row],[Application_Date]],1)</f>
        <v>46055</v>
      </c>
      <c r="K644" s="9">
        <v>1512000</v>
      </c>
      <c r="L644" s="9">
        <f>Table1[[#This Row],[Annual_Income]]/12</f>
        <v>126000</v>
      </c>
      <c r="M644" s="9">
        <v>1712000</v>
      </c>
      <c r="N644" s="5">
        <f ca="1">DATEDIF(Table1[[#This Row],[EMI_payment_date]],TODAY(),"m")</f>
        <v>5</v>
      </c>
      <c r="O644" s="9">
        <f>6*Table1[[#This Row],[monthly_EMI]]</f>
        <v>226800</v>
      </c>
      <c r="P644" s="1">
        <v>8.39</v>
      </c>
      <c r="Q644" s="9">
        <f>Table1[[#This Row],[monthly_income]]*30%</f>
        <v>37800</v>
      </c>
      <c r="R644" s="1">
        <f>ROUNDUP(NPER(P644/100/12,-Q644,Table1[[#This Row],[Loan_Amount]]),0)</f>
        <v>55</v>
      </c>
      <c r="S644" s="1">
        <v>641</v>
      </c>
      <c r="T644" s="1" t="s">
        <v>20</v>
      </c>
      <c r="U644" s="1" t="str">
        <f>IF(Table1[[#This Row],[Repayment_Status]]="late","bad loan","good loan")</f>
        <v>good loan</v>
      </c>
      <c r="V644" s="1" t="str">
        <f>IF(Table1[[#This Row],[Repayment_Status]]="late","high","low")</f>
        <v>low</v>
      </c>
      <c r="W644" s="1">
        <f>(Table1[[#This Row],[monthly_EMI]]/Table1[[#This Row],[monthly_income]])*100</f>
        <v>30</v>
      </c>
      <c r="X644" s="7">
        <v>25507.38</v>
      </c>
    </row>
    <row r="645" spans="1:24" x14ac:dyDescent="0.25">
      <c r="A645" s="1" t="s">
        <v>74</v>
      </c>
      <c r="B645" s="2" t="s">
        <v>751</v>
      </c>
      <c r="C645" s="5">
        <v>25</v>
      </c>
      <c r="D645" s="1" t="s">
        <v>15</v>
      </c>
      <c r="E645" s="1" t="s">
        <v>36</v>
      </c>
      <c r="F645" s="1" t="s">
        <v>31</v>
      </c>
      <c r="G645" s="1">
        <f>YEAR(Table1[[#This Row],[Application_Date]])</f>
        <v>2026</v>
      </c>
      <c r="H645" s="1" t="str">
        <f>TEXT(Table1[[#This Row],[EMI_payment_date]],"mmmm")</f>
        <v>February</v>
      </c>
      <c r="I645" s="3">
        <v>46025</v>
      </c>
      <c r="J645" s="3">
        <f>EDATE(Table1[[#This Row],[Application_Date]],1)</f>
        <v>46056</v>
      </c>
      <c r="K645" s="9">
        <v>1140000</v>
      </c>
      <c r="L645" s="9">
        <f>Table1[[#This Row],[Annual_Income]]/12</f>
        <v>95000</v>
      </c>
      <c r="M645" s="9">
        <v>1340000</v>
      </c>
      <c r="N645" s="5">
        <f ca="1">DATEDIF(Table1[[#This Row],[EMI_payment_date]],TODAY(),"m")</f>
        <v>5</v>
      </c>
      <c r="O645" s="9">
        <f>6*Table1[[#This Row],[monthly_EMI]]</f>
        <v>171000</v>
      </c>
      <c r="P645" s="1">
        <v>7.13</v>
      </c>
      <c r="Q645" s="9">
        <f>Table1[[#This Row],[monthly_income]]*30%</f>
        <v>28500</v>
      </c>
      <c r="R645" s="1">
        <f>ROUNDUP(NPER(P645/100/12,-Q645,Table1[[#This Row],[Loan_Amount]]),0)</f>
        <v>56</v>
      </c>
      <c r="S645" s="1">
        <v>808</v>
      </c>
      <c r="T645" s="1" t="s">
        <v>37</v>
      </c>
      <c r="U645" s="1" t="str">
        <f>IF(Table1[[#This Row],[Repayment_Status]]="late","bad loan","good loan")</f>
        <v>bad loan</v>
      </c>
      <c r="V645" s="1" t="str">
        <f>IF(Table1[[#This Row],[Repayment_Status]]="late","high","low")</f>
        <v>high</v>
      </c>
      <c r="W645" s="1">
        <f>(Table1[[#This Row],[monthly_EMI]]/Table1[[#This Row],[monthly_income]])*100</f>
        <v>30</v>
      </c>
      <c r="X645" s="7">
        <v>21459.18</v>
      </c>
    </row>
    <row r="646" spans="1:24" x14ac:dyDescent="0.25">
      <c r="A646" s="1" t="s">
        <v>494</v>
      </c>
      <c r="B646" s="2" t="s">
        <v>849</v>
      </c>
      <c r="C646" s="5">
        <v>24</v>
      </c>
      <c r="D646" s="1" t="s">
        <v>26</v>
      </c>
      <c r="E646" s="1" t="s">
        <v>16</v>
      </c>
      <c r="F646" s="1" t="s">
        <v>17</v>
      </c>
      <c r="G646" s="1">
        <f>YEAR(Table1[[#This Row],[Application_Date]])</f>
        <v>2026</v>
      </c>
      <c r="H646" s="1" t="str">
        <f>TEXT(Table1[[#This Row],[EMI_payment_date]],"mmmm")</f>
        <v>February</v>
      </c>
      <c r="I646" s="3">
        <v>46026</v>
      </c>
      <c r="J646" s="3">
        <f>EDATE(Table1[[#This Row],[Application_Date]],1)</f>
        <v>46057</v>
      </c>
      <c r="K646" s="9">
        <v>6192000</v>
      </c>
      <c r="L646" s="9">
        <f>Table1[[#This Row],[Annual_Income]]/12</f>
        <v>516000</v>
      </c>
      <c r="M646" s="9">
        <v>6392000</v>
      </c>
      <c r="N646" s="5">
        <f ca="1">DATEDIF(Table1[[#This Row],[EMI_payment_date]],TODAY(),"m")</f>
        <v>5</v>
      </c>
      <c r="O646" s="9">
        <f>6*Table1[[#This Row],[monthly_EMI]]</f>
        <v>928800</v>
      </c>
      <c r="P646" s="1">
        <v>8.08</v>
      </c>
      <c r="Q646" s="9">
        <f>Table1[[#This Row],[monthly_income]]*30%</f>
        <v>154800</v>
      </c>
      <c r="R646" s="1">
        <f>ROUNDUP(NPER(P646/100/12,-Q646,Table1[[#This Row],[Loan_Amount]]),0)</f>
        <v>49</v>
      </c>
      <c r="S646" s="1">
        <v>691</v>
      </c>
      <c r="T646" s="1" t="s">
        <v>37</v>
      </c>
      <c r="U646" s="1" t="str">
        <f>IF(Table1[[#This Row],[Repayment_Status]]="late","bad loan","good loan")</f>
        <v>bad loan</v>
      </c>
      <c r="V646" s="1" t="str">
        <f>IF(Table1[[#This Row],[Repayment_Status]]="late","high","low")</f>
        <v>high</v>
      </c>
      <c r="W646" s="1">
        <f>(Table1[[#This Row],[monthly_EMI]]/Table1[[#This Row],[monthly_income]])*100</f>
        <v>30</v>
      </c>
      <c r="X646" s="7">
        <v>31191.97</v>
      </c>
    </row>
    <row r="647" spans="1:24" x14ac:dyDescent="0.25">
      <c r="A647" s="1" t="s">
        <v>66</v>
      </c>
      <c r="B647" s="2" t="s">
        <v>765</v>
      </c>
      <c r="C647" s="5">
        <v>38</v>
      </c>
      <c r="D647" s="1" t="s">
        <v>15</v>
      </c>
      <c r="E647" s="1" t="s">
        <v>33</v>
      </c>
      <c r="F647" s="1" t="s">
        <v>51</v>
      </c>
      <c r="G647" s="1">
        <f>YEAR(Table1[[#This Row],[Application_Date]])</f>
        <v>2026</v>
      </c>
      <c r="H647" s="1" t="str">
        <f>TEXT(Table1[[#This Row],[EMI_payment_date]],"mmmm")</f>
        <v>February</v>
      </c>
      <c r="I647" s="3">
        <v>46027</v>
      </c>
      <c r="J647" s="3">
        <f>EDATE(Table1[[#This Row],[Application_Date]],1)</f>
        <v>46058</v>
      </c>
      <c r="K647" s="9">
        <v>1044000</v>
      </c>
      <c r="L647" s="9">
        <f>Table1[[#This Row],[Annual_Income]]/12</f>
        <v>87000</v>
      </c>
      <c r="M647" s="9">
        <v>1244000</v>
      </c>
      <c r="N647" s="5">
        <f ca="1">DATEDIF(Table1[[#This Row],[EMI_payment_date]],TODAY(),"m")</f>
        <v>5</v>
      </c>
      <c r="O647" s="9">
        <f>6*Table1[[#This Row],[monthly_EMI]]</f>
        <v>156600</v>
      </c>
      <c r="P647" s="1">
        <v>7.6</v>
      </c>
      <c r="Q647" s="9">
        <f>Table1[[#This Row],[monthly_income]]*30%</f>
        <v>26100</v>
      </c>
      <c r="R647" s="1">
        <f>ROUNDUP(NPER(P647/100/12,-Q647,Table1[[#This Row],[Loan_Amount]]),0)</f>
        <v>57</v>
      </c>
      <c r="S647" s="1">
        <v>686</v>
      </c>
      <c r="T647" s="1" t="s">
        <v>20</v>
      </c>
      <c r="U647" s="1" t="str">
        <f>IF(Table1[[#This Row],[Repayment_Status]]="late","bad loan","good loan")</f>
        <v>good loan</v>
      </c>
      <c r="V647" s="1" t="str">
        <f>IF(Table1[[#This Row],[Repayment_Status]]="late","high","low")</f>
        <v>low</v>
      </c>
      <c r="W647" s="1">
        <f>(Table1[[#This Row],[monthly_EMI]]/Table1[[#This Row],[monthly_income]])*100</f>
        <v>30</v>
      </c>
      <c r="X647" s="7">
        <v>22025.27</v>
      </c>
    </row>
    <row r="648" spans="1:24" x14ac:dyDescent="0.25">
      <c r="A648" s="1" t="s">
        <v>127</v>
      </c>
      <c r="B648" s="2" t="s">
        <v>805</v>
      </c>
      <c r="C648" s="5">
        <v>38</v>
      </c>
      <c r="D648" s="1" t="s">
        <v>15</v>
      </c>
      <c r="E648" s="1" t="s">
        <v>16</v>
      </c>
      <c r="F648" s="1" t="s">
        <v>51</v>
      </c>
      <c r="G648" s="1">
        <f>YEAR(Table1[[#This Row],[Application_Date]])</f>
        <v>2026</v>
      </c>
      <c r="H648" s="1" t="str">
        <f>TEXT(Table1[[#This Row],[EMI_payment_date]],"mmmm")</f>
        <v>February</v>
      </c>
      <c r="I648" s="3">
        <v>46028</v>
      </c>
      <c r="J648" s="3">
        <f>EDATE(Table1[[#This Row],[Application_Date]],1)</f>
        <v>46059</v>
      </c>
      <c r="K648" s="9">
        <v>1788000</v>
      </c>
      <c r="L648" s="9">
        <f>Table1[[#This Row],[Annual_Income]]/12</f>
        <v>149000</v>
      </c>
      <c r="M648" s="9">
        <v>1988000</v>
      </c>
      <c r="N648" s="5">
        <f ca="1">DATEDIF(Table1[[#This Row],[EMI_payment_date]],TODAY(),"m")</f>
        <v>5</v>
      </c>
      <c r="O648" s="9">
        <f>6*Table1[[#This Row],[monthly_EMI]]</f>
        <v>268200</v>
      </c>
      <c r="P648" s="1">
        <v>9.23</v>
      </c>
      <c r="Q648" s="9">
        <f>Table1[[#This Row],[monthly_income]]*30%</f>
        <v>44700</v>
      </c>
      <c r="R648" s="1">
        <f>ROUNDUP(NPER(P648/100/12,-Q648,Table1[[#This Row],[Loan_Amount]]),0)</f>
        <v>55</v>
      </c>
      <c r="S648" s="1">
        <v>827</v>
      </c>
      <c r="T648" s="1" t="s">
        <v>37</v>
      </c>
      <c r="U648" s="1" t="str">
        <f>IF(Table1[[#This Row],[Repayment_Status]]="late","bad loan","good loan")</f>
        <v>bad loan</v>
      </c>
      <c r="V648" s="1" t="str">
        <f>IF(Table1[[#This Row],[Repayment_Status]]="late","high","low")</f>
        <v>high</v>
      </c>
      <c r="W648" s="1">
        <f>(Table1[[#This Row],[monthly_EMI]]/Table1[[#This Row],[monthly_income]])*100</f>
        <v>30</v>
      </c>
      <c r="X648" s="7">
        <v>10381.48</v>
      </c>
    </row>
    <row r="649" spans="1:24" x14ac:dyDescent="0.25">
      <c r="A649" s="1" t="s">
        <v>593</v>
      </c>
      <c r="B649" s="2" t="s">
        <v>881</v>
      </c>
      <c r="C649" s="5">
        <v>31</v>
      </c>
      <c r="D649" s="1" t="s">
        <v>26</v>
      </c>
      <c r="E649" s="1" t="s">
        <v>16</v>
      </c>
      <c r="F649" s="1" t="s">
        <v>31</v>
      </c>
      <c r="G649" s="1">
        <f>YEAR(Table1[[#This Row],[Application_Date]])</f>
        <v>2026</v>
      </c>
      <c r="H649" s="1" t="str">
        <f>TEXT(Table1[[#This Row],[EMI_payment_date]],"mmmm")</f>
        <v>February</v>
      </c>
      <c r="I649" s="3">
        <v>46029</v>
      </c>
      <c r="J649" s="3">
        <f>EDATE(Table1[[#This Row],[Application_Date]],1)</f>
        <v>46060</v>
      </c>
      <c r="K649" s="9">
        <v>7380000</v>
      </c>
      <c r="L649" s="9">
        <f>Table1[[#This Row],[Annual_Income]]/12</f>
        <v>615000</v>
      </c>
      <c r="M649" s="9">
        <v>7580000</v>
      </c>
      <c r="N649" s="5">
        <f ca="1">DATEDIF(Table1[[#This Row],[EMI_payment_date]],TODAY(),"m")</f>
        <v>5</v>
      </c>
      <c r="O649" s="9">
        <f>6*Table1[[#This Row],[monthly_EMI]]</f>
        <v>1107000</v>
      </c>
      <c r="P649" s="1">
        <v>9.1</v>
      </c>
      <c r="Q649" s="9">
        <f>Table1[[#This Row],[monthly_income]]*30%</f>
        <v>184500</v>
      </c>
      <c r="R649" s="1">
        <f>ROUNDUP(NPER(P649/100/12,-Q649,Table1[[#This Row],[Loan_Amount]]),0)</f>
        <v>50</v>
      </c>
      <c r="S649" s="1">
        <v>710</v>
      </c>
      <c r="T649" s="1" t="s">
        <v>37</v>
      </c>
      <c r="U649" s="1" t="str">
        <f>IF(Table1[[#This Row],[Repayment_Status]]="late","bad loan","good loan")</f>
        <v>bad loan</v>
      </c>
      <c r="V649" s="1" t="str">
        <f>IF(Table1[[#This Row],[Repayment_Status]]="late","high","low")</f>
        <v>high</v>
      </c>
      <c r="W649" s="1">
        <f>(Table1[[#This Row],[monthly_EMI]]/Table1[[#This Row],[monthly_income]])*100</f>
        <v>30</v>
      </c>
      <c r="X649" s="7">
        <v>9621.6299999999992</v>
      </c>
    </row>
    <row r="650" spans="1:24" x14ac:dyDescent="0.25">
      <c r="A650" s="1" t="s">
        <v>281</v>
      </c>
      <c r="B650" s="2" t="s">
        <v>772</v>
      </c>
      <c r="C650" s="5">
        <v>54</v>
      </c>
      <c r="D650" s="1" t="s">
        <v>15</v>
      </c>
      <c r="E650" s="1" t="s">
        <v>33</v>
      </c>
      <c r="F650" s="1" t="s">
        <v>51</v>
      </c>
      <c r="G650" s="1">
        <f>YEAR(Table1[[#This Row],[Application_Date]])</f>
        <v>2026</v>
      </c>
      <c r="H650" s="1" t="str">
        <f>TEXT(Table1[[#This Row],[EMI_payment_date]],"mmmm")</f>
        <v>February</v>
      </c>
      <c r="I650" s="3">
        <v>46030</v>
      </c>
      <c r="J650" s="3">
        <f>EDATE(Table1[[#This Row],[Application_Date]],1)</f>
        <v>46061</v>
      </c>
      <c r="K650" s="9">
        <v>3636000</v>
      </c>
      <c r="L650" s="9">
        <f>Table1[[#This Row],[Annual_Income]]/12</f>
        <v>303000</v>
      </c>
      <c r="M650" s="9">
        <v>3836000</v>
      </c>
      <c r="N650" s="5">
        <f ca="1">DATEDIF(Table1[[#This Row],[EMI_payment_date]],TODAY(),"m")</f>
        <v>5</v>
      </c>
      <c r="O650" s="9">
        <f>6*Table1[[#This Row],[monthly_EMI]]</f>
        <v>545400</v>
      </c>
      <c r="P650" s="1">
        <v>8.92</v>
      </c>
      <c r="Q650" s="9">
        <f>Table1[[#This Row],[monthly_income]]*30%</f>
        <v>90900</v>
      </c>
      <c r="R650" s="1">
        <f>ROUNDUP(NPER(P650/100/12,-Q650,Table1[[#This Row],[Loan_Amount]]),0)</f>
        <v>51</v>
      </c>
      <c r="S650" s="1">
        <v>762</v>
      </c>
      <c r="T650" s="1" t="s">
        <v>37</v>
      </c>
      <c r="U650" s="1" t="str">
        <f>IF(Table1[[#This Row],[Repayment_Status]]="late","bad loan","good loan")</f>
        <v>bad loan</v>
      </c>
      <c r="V650" s="1" t="str">
        <f>IF(Table1[[#This Row],[Repayment_Status]]="late","high","low")</f>
        <v>high</v>
      </c>
      <c r="W650" s="1">
        <f>(Table1[[#This Row],[monthly_EMI]]/Table1[[#This Row],[monthly_income]])*100</f>
        <v>30</v>
      </c>
      <c r="X650" s="7">
        <v>20975.200000000001</v>
      </c>
    </row>
    <row r="651" spans="1:24" x14ac:dyDescent="0.25">
      <c r="A651" s="1" t="s">
        <v>550</v>
      </c>
      <c r="B651" s="2" t="s">
        <v>784</v>
      </c>
      <c r="C651" s="5">
        <v>57</v>
      </c>
      <c r="D651" s="1" t="s">
        <v>26</v>
      </c>
      <c r="E651" s="1" t="s">
        <v>29</v>
      </c>
      <c r="F651" s="1" t="s">
        <v>19</v>
      </c>
      <c r="G651" s="1">
        <f>YEAR(Table1[[#This Row],[Application_Date]])</f>
        <v>2026</v>
      </c>
      <c r="H651" s="1" t="str">
        <f>TEXT(Table1[[#This Row],[EMI_payment_date]],"mmmm")</f>
        <v>February</v>
      </c>
      <c r="I651" s="3">
        <v>46031</v>
      </c>
      <c r="J651" s="3">
        <f>EDATE(Table1[[#This Row],[Application_Date]],1)</f>
        <v>46062</v>
      </c>
      <c r="K651" s="9">
        <v>6864000</v>
      </c>
      <c r="L651" s="9">
        <f>Table1[[#This Row],[Annual_Income]]/12</f>
        <v>572000</v>
      </c>
      <c r="M651" s="9">
        <v>7064000</v>
      </c>
      <c r="N651" s="5">
        <f ca="1">DATEDIF(Table1[[#This Row],[EMI_payment_date]],TODAY(),"m")</f>
        <v>5</v>
      </c>
      <c r="O651" s="9">
        <f>6*Table1[[#This Row],[monthly_EMI]]</f>
        <v>1029600</v>
      </c>
      <c r="P651" s="1">
        <v>6.22</v>
      </c>
      <c r="Q651" s="9">
        <f>Table1[[#This Row],[monthly_income]]*30%</f>
        <v>171600</v>
      </c>
      <c r="R651" s="1">
        <f>ROUNDUP(NPER(P651/100/12,-Q651,Table1[[#This Row],[Loan_Amount]]),0)</f>
        <v>47</v>
      </c>
      <c r="S651" s="1">
        <v>664</v>
      </c>
      <c r="T651" s="1" t="s">
        <v>20</v>
      </c>
      <c r="U651" s="1" t="str">
        <f>IF(Table1[[#This Row],[Repayment_Status]]="late","bad loan","good loan")</f>
        <v>good loan</v>
      </c>
      <c r="V651" s="1" t="str">
        <f>IF(Table1[[#This Row],[Repayment_Status]]="late","high","low")</f>
        <v>low</v>
      </c>
      <c r="W651" s="1">
        <f>(Table1[[#This Row],[monthly_EMI]]/Table1[[#This Row],[monthly_income]])*100</f>
        <v>30</v>
      </c>
      <c r="X651" s="7">
        <v>27916.44</v>
      </c>
    </row>
    <row r="652" spans="1:24" x14ac:dyDescent="0.25">
      <c r="A652" s="1" t="s">
        <v>688</v>
      </c>
      <c r="B652" s="2" t="s">
        <v>835</v>
      </c>
      <c r="C652" s="5">
        <v>58</v>
      </c>
      <c r="D652" s="1" t="s">
        <v>15</v>
      </c>
      <c r="E652" s="1" t="s">
        <v>24</v>
      </c>
      <c r="F652" s="1" t="s">
        <v>19</v>
      </c>
      <c r="G652" s="1">
        <f>YEAR(Table1[[#This Row],[Application_Date]])</f>
        <v>2026</v>
      </c>
      <c r="H652" s="1" t="str">
        <f>TEXT(Table1[[#This Row],[EMI_payment_date]],"mmmm")</f>
        <v>February</v>
      </c>
      <c r="I652" s="3">
        <v>46032</v>
      </c>
      <c r="J652" s="3">
        <f>EDATE(Table1[[#This Row],[Application_Date]],1)</f>
        <v>46063</v>
      </c>
      <c r="K652" s="9">
        <v>8520000</v>
      </c>
      <c r="L652" s="9">
        <f>Table1[[#This Row],[Annual_Income]]/12</f>
        <v>710000</v>
      </c>
      <c r="M652" s="9">
        <v>8720000</v>
      </c>
      <c r="N652" s="5">
        <f ca="1">DATEDIF(Table1[[#This Row],[EMI_payment_date]],TODAY(),"m")</f>
        <v>5</v>
      </c>
      <c r="O652" s="9">
        <f>6*Table1[[#This Row],[monthly_EMI]]</f>
        <v>1278000</v>
      </c>
      <c r="P652" s="1">
        <v>6.07</v>
      </c>
      <c r="Q652" s="9">
        <f>Table1[[#This Row],[monthly_income]]*30%</f>
        <v>213000</v>
      </c>
      <c r="R652" s="1">
        <f>ROUNDUP(NPER(P652/100/12,-Q652,Table1[[#This Row],[Loan_Amount]]),0)</f>
        <v>46</v>
      </c>
      <c r="S652" s="1">
        <v>749</v>
      </c>
      <c r="T652" s="1" t="s">
        <v>20</v>
      </c>
      <c r="U652" s="1" t="str">
        <f>IF(Table1[[#This Row],[Repayment_Status]]="late","bad loan","good loan")</f>
        <v>good loan</v>
      </c>
      <c r="V652" s="1" t="str">
        <f>IF(Table1[[#This Row],[Repayment_Status]]="late","high","low")</f>
        <v>low</v>
      </c>
      <c r="W652" s="1">
        <f>(Table1[[#This Row],[monthly_EMI]]/Table1[[#This Row],[monthly_income]])*100</f>
        <v>30</v>
      </c>
      <c r="X652" s="7">
        <v>22903.34</v>
      </c>
    </row>
    <row r="653" spans="1:24" x14ac:dyDescent="0.25">
      <c r="A653" s="1" t="s">
        <v>169</v>
      </c>
      <c r="B653" s="2" t="s">
        <v>780</v>
      </c>
      <c r="C653" s="5">
        <v>28</v>
      </c>
      <c r="D653" s="1" t="s">
        <v>26</v>
      </c>
      <c r="E653" s="1" t="s">
        <v>27</v>
      </c>
      <c r="F653" s="1" t="s">
        <v>17</v>
      </c>
      <c r="G653" s="1">
        <f>YEAR(Table1[[#This Row],[Application_Date]])</f>
        <v>2026</v>
      </c>
      <c r="H653" s="1" t="str">
        <f>TEXT(Table1[[#This Row],[EMI_payment_date]],"mmmm")</f>
        <v>February</v>
      </c>
      <c r="I653" s="3">
        <v>46033</v>
      </c>
      <c r="J653" s="3">
        <f>EDATE(Table1[[#This Row],[Application_Date]],1)</f>
        <v>46064</v>
      </c>
      <c r="K653" s="9">
        <v>2292000</v>
      </c>
      <c r="L653" s="9">
        <f>Table1[[#This Row],[Annual_Income]]/12</f>
        <v>191000</v>
      </c>
      <c r="M653" s="9">
        <v>2492000</v>
      </c>
      <c r="N653" s="5">
        <f ca="1">DATEDIF(Table1[[#This Row],[EMI_payment_date]],TODAY(),"m")</f>
        <v>5</v>
      </c>
      <c r="O653" s="9">
        <f>6*Table1[[#This Row],[monthly_EMI]]</f>
        <v>343800</v>
      </c>
      <c r="P653" s="1">
        <v>6.36</v>
      </c>
      <c r="Q653" s="9">
        <f>Table1[[#This Row],[monthly_income]]*30%</f>
        <v>57300</v>
      </c>
      <c r="R653" s="1">
        <f>ROUNDUP(NPER(P653/100/12,-Q653,Table1[[#This Row],[Loan_Amount]]),0)</f>
        <v>50</v>
      </c>
      <c r="S653" s="1">
        <v>775</v>
      </c>
      <c r="T653" s="1" t="s">
        <v>37</v>
      </c>
      <c r="U653" s="1" t="str">
        <f>IF(Table1[[#This Row],[Repayment_Status]]="late","bad loan","good loan")</f>
        <v>bad loan</v>
      </c>
      <c r="V653" s="1" t="str">
        <f>IF(Table1[[#This Row],[Repayment_Status]]="late","high","low")</f>
        <v>high</v>
      </c>
      <c r="W653" s="1">
        <f>(Table1[[#This Row],[monthly_EMI]]/Table1[[#This Row],[monthly_income]])*100</f>
        <v>30</v>
      </c>
      <c r="X653" s="7">
        <v>25458.25</v>
      </c>
    </row>
    <row r="654" spans="1:24" x14ac:dyDescent="0.25">
      <c r="A654" s="1" t="s">
        <v>198</v>
      </c>
      <c r="B654" s="2" t="s">
        <v>844</v>
      </c>
      <c r="C654" s="5">
        <v>23</v>
      </c>
      <c r="D654" s="1" t="s">
        <v>15</v>
      </c>
      <c r="E654" s="1" t="s">
        <v>36</v>
      </c>
      <c r="F654" s="1" t="s">
        <v>22</v>
      </c>
      <c r="G654" s="1">
        <f>YEAR(Table1[[#This Row],[Application_Date]])</f>
        <v>2026</v>
      </c>
      <c r="H654" s="1" t="str">
        <f>TEXT(Table1[[#This Row],[EMI_payment_date]],"mmmm")</f>
        <v>February</v>
      </c>
      <c r="I654" s="3">
        <v>46034</v>
      </c>
      <c r="J654" s="3">
        <f>EDATE(Table1[[#This Row],[Application_Date]],1)</f>
        <v>46065</v>
      </c>
      <c r="K654" s="9">
        <v>2640000</v>
      </c>
      <c r="L654" s="9">
        <f>Table1[[#This Row],[Annual_Income]]/12</f>
        <v>220000</v>
      </c>
      <c r="M654" s="9">
        <v>2840000</v>
      </c>
      <c r="N654" s="5">
        <f ca="1">DATEDIF(Table1[[#This Row],[EMI_payment_date]],TODAY(),"m")</f>
        <v>5</v>
      </c>
      <c r="O654" s="9">
        <f>6*Table1[[#This Row],[monthly_EMI]]</f>
        <v>396000</v>
      </c>
      <c r="P654" s="1">
        <v>7.5</v>
      </c>
      <c r="Q654" s="9">
        <f>Table1[[#This Row],[monthly_income]]*30%</f>
        <v>66000</v>
      </c>
      <c r="R654" s="1">
        <f>ROUNDUP(NPER(P654/100/12,-Q654,Table1[[#This Row],[Loan_Amount]]),0)</f>
        <v>51</v>
      </c>
      <c r="S654" s="1">
        <v>785</v>
      </c>
      <c r="T654" s="1" t="s">
        <v>20</v>
      </c>
      <c r="U654" s="1" t="str">
        <f>IF(Table1[[#This Row],[Repayment_Status]]="late","bad loan","good loan")</f>
        <v>good loan</v>
      </c>
      <c r="V654" s="1" t="str">
        <f>IF(Table1[[#This Row],[Repayment_Status]]="late","high","low")</f>
        <v>low</v>
      </c>
      <c r="W654" s="1">
        <f>(Table1[[#This Row],[monthly_EMI]]/Table1[[#This Row],[monthly_income]])*100</f>
        <v>30</v>
      </c>
      <c r="X654" s="7">
        <v>13005.68</v>
      </c>
    </row>
    <row r="655" spans="1:24" x14ac:dyDescent="0.25">
      <c r="A655" s="1" t="s">
        <v>394</v>
      </c>
      <c r="B655" s="2" t="s">
        <v>891</v>
      </c>
      <c r="C655" s="5">
        <v>21</v>
      </c>
      <c r="D655" s="1" t="s">
        <v>15</v>
      </c>
      <c r="E655" s="1" t="s">
        <v>16</v>
      </c>
      <c r="F655" s="1" t="s">
        <v>51</v>
      </c>
      <c r="G655" s="1">
        <f>YEAR(Table1[[#This Row],[Application_Date]])</f>
        <v>2026</v>
      </c>
      <c r="H655" s="1" t="str">
        <f>TEXT(Table1[[#This Row],[EMI_payment_date]],"mmmm")</f>
        <v>February</v>
      </c>
      <c r="I655" s="3">
        <v>46035</v>
      </c>
      <c r="J655" s="3">
        <f>EDATE(Table1[[#This Row],[Application_Date]],1)</f>
        <v>46066</v>
      </c>
      <c r="K655" s="9">
        <v>4992000</v>
      </c>
      <c r="L655" s="9">
        <f>Table1[[#This Row],[Annual_Income]]/12</f>
        <v>416000</v>
      </c>
      <c r="M655" s="9">
        <v>5192000</v>
      </c>
      <c r="N655" s="5">
        <f ca="1">DATEDIF(Table1[[#This Row],[EMI_payment_date]],TODAY(),"m")</f>
        <v>5</v>
      </c>
      <c r="O655" s="9">
        <f>6*Table1[[#This Row],[monthly_EMI]]</f>
        <v>748800</v>
      </c>
      <c r="P655" s="1">
        <v>9.66</v>
      </c>
      <c r="Q655" s="9">
        <f>Table1[[#This Row],[monthly_income]]*30%</f>
        <v>124800</v>
      </c>
      <c r="R655" s="1">
        <f>ROUNDUP(NPER(P655/100/12,-Q655,Table1[[#This Row],[Loan_Amount]]),0)</f>
        <v>51</v>
      </c>
      <c r="S655" s="1">
        <v>613</v>
      </c>
      <c r="T655" s="1" t="s">
        <v>20</v>
      </c>
      <c r="U655" s="1" t="str">
        <f>IF(Table1[[#This Row],[Repayment_Status]]="late","bad loan","good loan")</f>
        <v>good loan</v>
      </c>
      <c r="V655" s="1" t="str">
        <f>IF(Table1[[#This Row],[Repayment_Status]]="late","high","low")</f>
        <v>low</v>
      </c>
      <c r="W655" s="1">
        <f>(Table1[[#This Row],[monthly_EMI]]/Table1[[#This Row],[monthly_income]])*100</f>
        <v>30</v>
      </c>
      <c r="X655" s="7">
        <v>25705.24</v>
      </c>
    </row>
    <row r="656" spans="1:24" x14ac:dyDescent="0.25">
      <c r="A656" s="1" t="s">
        <v>455</v>
      </c>
      <c r="B656" s="2" t="s">
        <v>820</v>
      </c>
      <c r="C656" s="5">
        <v>37</v>
      </c>
      <c r="D656" s="1" t="s">
        <v>15</v>
      </c>
      <c r="E656" s="1" t="s">
        <v>24</v>
      </c>
      <c r="F656" s="1" t="s">
        <v>51</v>
      </c>
      <c r="G656" s="1">
        <f>YEAR(Table1[[#This Row],[Application_Date]])</f>
        <v>2026</v>
      </c>
      <c r="H656" s="1" t="str">
        <f>TEXT(Table1[[#This Row],[EMI_payment_date]],"mmmm")</f>
        <v>February</v>
      </c>
      <c r="I656" s="3">
        <v>46036</v>
      </c>
      <c r="J656" s="3">
        <f>EDATE(Table1[[#This Row],[Application_Date]],1)</f>
        <v>46067</v>
      </c>
      <c r="K656" s="9">
        <v>5724000</v>
      </c>
      <c r="L656" s="9">
        <f>Table1[[#This Row],[Annual_Income]]/12</f>
        <v>477000</v>
      </c>
      <c r="M656" s="9">
        <v>5924000</v>
      </c>
      <c r="N656" s="5">
        <f ca="1">DATEDIF(Table1[[#This Row],[EMI_payment_date]],TODAY(),"m")</f>
        <v>5</v>
      </c>
      <c r="O656" s="9">
        <f>6*Table1[[#This Row],[monthly_EMI]]</f>
        <v>858600</v>
      </c>
      <c r="P656" s="1">
        <v>6.74</v>
      </c>
      <c r="Q656" s="9">
        <f>Table1[[#This Row],[monthly_income]]*30%</f>
        <v>143100</v>
      </c>
      <c r="R656" s="1">
        <f>ROUNDUP(NPER(P656/100/12,-Q656,Table1[[#This Row],[Loan_Amount]]),0)</f>
        <v>48</v>
      </c>
      <c r="S656" s="1">
        <v>673</v>
      </c>
      <c r="T656" s="1" t="s">
        <v>20</v>
      </c>
      <c r="U656" s="1" t="str">
        <f>IF(Table1[[#This Row],[Repayment_Status]]="late","bad loan","good loan")</f>
        <v>good loan</v>
      </c>
      <c r="V656" s="1" t="str">
        <f>IF(Table1[[#This Row],[Repayment_Status]]="late","high","low")</f>
        <v>low</v>
      </c>
      <c r="W656" s="1">
        <f>(Table1[[#This Row],[monthly_EMI]]/Table1[[#This Row],[monthly_income]])*100</f>
        <v>30</v>
      </c>
      <c r="X656" s="7">
        <v>19218.330000000002</v>
      </c>
    </row>
    <row r="657" spans="1:24" x14ac:dyDescent="0.25">
      <c r="A657" s="1" t="s">
        <v>371</v>
      </c>
      <c r="B657" s="2" t="s">
        <v>850</v>
      </c>
      <c r="C657" s="5">
        <v>36</v>
      </c>
      <c r="D657" s="1" t="s">
        <v>15</v>
      </c>
      <c r="E657" s="1" t="s">
        <v>24</v>
      </c>
      <c r="F657" s="1" t="s">
        <v>31</v>
      </c>
      <c r="G657" s="1">
        <f>YEAR(Table1[[#This Row],[Application_Date]])</f>
        <v>2026</v>
      </c>
      <c r="H657" s="1" t="str">
        <f>TEXT(Table1[[#This Row],[EMI_payment_date]],"mmmm")</f>
        <v>February</v>
      </c>
      <c r="I657" s="3">
        <v>46037</v>
      </c>
      <c r="J657" s="3">
        <f>EDATE(Table1[[#This Row],[Application_Date]],1)</f>
        <v>46068</v>
      </c>
      <c r="K657" s="9">
        <v>4716000</v>
      </c>
      <c r="L657" s="9">
        <f>Table1[[#This Row],[Annual_Income]]/12</f>
        <v>393000</v>
      </c>
      <c r="M657" s="9">
        <v>4916000</v>
      </c>
      <c r="N657" s="5">
        <f ca="1">DATEDIF(Table1[[#This Row],[EMI_payment_date]],TODAY(),"m")</f>
        <v>5</v>
      </c>
      <c r="O657" s="9">
        <f>6*Table1[[#This Row],[monthly_EMI]]</f>
        <v>707400</v>
      </c>
      <c r="P657" s="1">
        <v>7.48</v>
      </c>
      <c r="Q657" s="9">
        <f>Table1[[#This Row],[monthly_income]]*30%</f>
        <v>117900</v>
      </c>
      <c r="R657" s="1">
        <f>ROUNDUP(NPER(P657/100/12,-Q657,Table1[[#This Row],[Loan_Amount]]),0)</f>
        <v>49</v>
      </c>
      <c r="S657" s="1">
        <v>681</v>
      </c>
      <c r="T657" s="1" t="s">
        <v>20</v>
      </c>
      <c r="U657" s="1" t="str">
        <f>IF(Table1[[#This Row],[Repayment_Status]]="late","bad loan","good loan")</f>
        <v>good loan</v>
      </c>
      <c r="V657" s="1" t="str">
        <f>IF(Table1[[#This Row],[Repayment_Status]]="late","high","low")</f>
        <v>low</v>
      </c>
      <c r="W657" s="1">
        <f>(Table1[[#This Row],[monthly_EMI]]/Table1[[#This Row],[monthly_income]])*100</f>
        <v>30</v>
      </c>
      <c r="X657" s="7">
        <v>19153.919999999998</v>
      </c>
    </row>
    <row r="658" spans="1:24" x14ac:dyDescent="0.25">
      <c r="A658" s="1" t="s">
        <v>404</v>
      </c>
      <c r="B658" s="2" t="s">
        <v>849</v>
      </c>
      <c r="C658" s="5">
        <v>54</v>
      </c>
      <c r="D658" s="1" t="s">
        <v>26</v>
      </c>
      <c r="E658" s="1" t="s">
        <v>33</v>
      </c>
      <c r="F658" s="1" t="s">
        <v>31</v>
      </c>
      <c r="G658" s="1">
        <f>YEAR(Table1[[#This Row],[Application_Date]])</f>
        <v>2026</v>
      </c>
      <c r="H658" s="1" t="str">
        <f>TEXT(Table1[[#This Row],[EMI_payment_date]],"mmmm")</f>
        <v>February</v>
      </c>
      <c r="I658" s="3">
        <v>46038</v>
      </c>
      <c r="J658" s="3">
        <f>EDATE(Table1[[#This Row],[Application_Date]],1)</f>
        <v>46069</v>
      </c>
      <c r="K658" s="9">
        <v>5112000</v>
      </c>
      <c r="L658" s="9">
        <f>Table1[[#This Row],[Annual_Income]]/12</f>
        <v>426000</v>
      </c>
      <c r="M658" s="9">
        <v>5312000</v>
      </c>
      <c r="N658" s="5">
        <f ca="1">DATEDIF(Table1[[#This Row],[EMI_payment_date]],TODAY(),"m")</f>
        <v>5</v>
      </c>
      <c r="O658" s="9">
        <f>6*Table1[[#This Row],[monthly_EMI]]</f>
        <v>766800</v>
      </c>
      <c r="P658" s="1">
        <v>5.86</v>
      </c>
      <c r="Q658" s="9">
        <f>Table1[[#This Row],[monthly_income]]*30%</f>
        <v>127800</v>
      </c>
      <c r="R658" s="1">
        <f>ROUNDUP(NPER(P658/100/12,-Q658,Table1[[#This Row],[Loan_Amount]]),0)</f>
        <v>47</v>
      </c>
      <c r="S658" s="1">
        <v>678</v>
      </c>
      <c r="T658" s="1" t="s">
        <v>20</v>
      </c>
      <c r="U658" s="1" t="str">
        <f>IF(Table1[[#This Row],[Repayment_Status]]="late","bad loan","good loan")</f>
        <v>good loan</v>
      </c>
      <c r="V658" s="1" t="str">
        <f>IF(Table1[[#This Row],[Repayment_Status]]="late","high","low")</f>
        <v>low</v>
      </c>
      <c r="W658" s="1">
        <f>(Table1[[#This Row],[monthly_EMI]]/Table1[[#This Row],[monthly_income]])*100</f>
        <v>30</v>
      </c>
      <c r="X658" s="7">
        <v>13415.57</v>
      </c>
    </row>
    <row r="659" spans="1:24" x14ac:dyDescent="0.25">
      <c r="A659" s="1" t="s">
        <v>213</v>
      </c>
      <c r="B659" s="2" t="s">
        <v>850</v>
      </c>
      <c r="C659" s="5">
        <v>55</v>
      </c>
      <c r="D659" s="1" t="s">
        <v>15</v>
      </c>
      <c r="E659" s="1" t="s">
        <v>33</v>
      </c>
      <c r="F659" s="1" t="s">
        <v>17</v>
      </c>
      <c r="G659" s="1">
        <f>YEAR(Table1[[#This Row],[Application_Date]])</f>
        <v>2026</v>
      </c>
      <c r="H659" s="1" t="str">
        <f>TEXT(Table1[[#This Row],[EMI_payment_date]],"mmmm")</f>
        <v>February</v>
      </c>
      <c r="I659" s="3">
        <v>46039</v>
      </c>
      <c r="J659" s="3">
        <f>EDATE(Table1[[#This Row],[Application_Date]],1)</f>
        <v>46070</v>
      </c>
      <c r="K659" s="9">
        <v>2820000</v>
      </c>
      <c r="L659" s="9">
        <f>Table1[[#This Row],[Annual_Income]]/12</f>
        <v>235000</v>
      </c>
      <c r="M659" s="9">
        <v>3020000</v>
      </c>
      <c r="N659" s="5">
        <f ca="1">DATEDIF(Table1[[#This Row],[EMI_payment_date]],TODAY(),"m")</f>
        <v>5</v>
      </c>
      <c r="O659" s="9">
        <f>6*Table1[[#This Row],[monthly_EMI]]</f>
        <v>423000</v>
      </c>
      <c r="P659" s="1">
        <v>5.95</v>
      </c>
      <c r="Q659" s="9">
        <f>Table1[[#This Row],[monthly_income]]*30%</f>
        <v>70500</v>
      </c>
      <c r="R659" s="1">
        <f>ROUNDUP(NPER(P659/100/12,-Q659,Table1[[#This Row],[Loan_Amount]]),0)</f>
        <v>49</v>
      </c>
      <c r="S659" s="1">
        <v>601</v>
      </c>
      <c r="T659" s="1" t="s">
        <v>37</v>
      </c>
      <c r="U659" s="1" t="str">
        <f>IF(Table1[[#This Row],[Repayment_Status]]="late","bad loan","good loan")</f>
        <v>bad loan</v>
      </c>
      <c r="V659" s="1" t="str">
        <f>IF(Table1[[#This Row],[Repayment_Status]]="late","high","low")</f>
        <v>high</v>
      </c>
      <c r="W659" s="1">
        <f>(Table1[[#This Row],[monthly_EMI]]/Table1[[#This Row],[monthly_income]])*100</f>
        <v>30</v>
      </c>
      <c r="X659" s="7">
        <v>6436.26</v>
      </c>
    </row>
    <row r="660" spans="1:24" x14ac:dyDescent="0.25">
      <c r="A660" s="1" t="s">
        <v>420</v>
      </c>
      <c r="B660" s="2" t="s">
        <v>896</v>
      </c>
      <c r="C660" s="5">
        <v>57</v>
      </c>
      <c r="D660" s="1" t="s">
        <v>26</v>
      </c>
      <c r="E660" s="1" t="s">
        <v>33</v>
      </c>
      <c r="F660" s="1" t="s">
        <v>22</v>
      </c>
      <c r="G660" s="1">
        <f>YEAR(Table1[[#This Row],[Application_Date]])</f>
        <v>2026</v>
      </c>
      <c r="H660" s="1" t="str">
        <f>TEXT(Table1[[#This Row],[EMI_payment_date]],"mmmm")</f>
        <v>February</v>
      </c>
      <c r="I660" s="3">
        <v>46040</v>
      </c>
      <c r="J660" s="3">
        <f>EDATE(Table1[[#This Row],[Application_Date]],1)</f>
        <v>46071</v>
      </c>
      <c r="K660" s="9">
        <v>5304000</v>
      </c>
      <c r="L660" s="9">
        <f>Table1[[#This Row],[Annual_Income]]/12</f>
        <v>442000</v>
      </c>
      <c r="M660" s="9">
        <v>5504000</v>
      </c>
      <c r="N660" s="5">
        <f ca="1">DATEDIF(Table1[[#This Row],[EMI_payment_date]],TODAY(),"m")</f>
        <v>5</v>
      </c>
      <c r="O660" s="9">
        <f>6*Table1[[#This Row],[monthly_EMI]]</f>
        <v>795600</v>
      </c>
      <c r="P660" s="1">
        <v>7.82</v>
      </c>
      <c r="Q660" s="9">
        <f>Table1[[#This Row],[monthly_income]]*30%</f>
        <v>132600</v>
      </c>
      <c r="R660" s="1">
        <f>ROUNDUP(NPER(P660/100/12,-Q660,Table1[[#This Row],[Loan_Amount]]),0)</f>
        <v>49</v>
      </c>
      <c r="S660" s="1">
        <v>604</v>
      </c>
      <c r="T660" s="1" t="s">
        <v>20</v>
      </c>
      <c r="U660" s="1" t="str">
        <f>IF(Table1[[#This Row],[Repayment_Status]]="late","bad loan","good loan")</f>
        <v>good loan</v>
      </c>
      <c r="V660" s="1" t="str">
        <f>IF(Table1[[#This Row],[Repayment_Status]]="late","high","low")</f>
        <v>low</v>
      </c>
      <c r="W660" s="1">
        <f>(Table1[[#This Row],[monthly_EMI]]/Table1[[#This Row],[monthly_income]])*100</f>
        <v>30</v>
      </c>
      <c r="X660" s="7">
        <v>31760.57</v>
      </c>
    </row>
    <row r="661" spans="1:24" x14ac:dyDescent="0.25">
      <c r="A661" s="1" t="s">
        <v>218</v>
      </c>
      <c r="B661" s="2" t="s">
        <v>853</v>
      </c>
      <c r="C661" s="5">
        <v>41</v>
      </c>
      <c r="D661" s="1" t="s">
        <v>15</v>
      </c>
      <c r="E661" s="1" t="s">
        <v>27</v>
      </c>
      <c r="F661" s="1" t="s">
        <v>17</v>
      </c>
      <c r="G661" s="1">
        <f>YEAR(Table1[[#This Row],[Application_Date]])</f>
        <v>2026</v>
      </c>
      <c r="H661" s="1" t="str">
        <f>TEXT(Table1[[#This Row],[EMI_payment_date]],"mmmm")</f>
        <v>February</v>
      </c>
      <c r="I661" s="3">
        <v>46041</v>
      </c>
      <c r="J661" s="3">
        <f>EDATE(Table1[[#This Row],[Application_Date]],1)</f>
        <v>46072</v>
      </c>
      <c r="K661" s="9">
        <v>2880000</v>
      </c>
      <c r="L661" s="9">
        <f>Table1[[#This Row],[Annual_Income]]/12</f>
        <v>240000</v>
      </c>
      <c r="M661" s="9">
        <v>3080000</v>
      </c>
      <c r="N661" s="5">
        <f ca="1">DATEDIF(Table1[[#This Row],[EMI_payment_date]],TODAY(),"m")</f>
        <v>5</v>
      </c>
      <c r="O661" s="9">
        <f>6*Table1[[#This Row],[monthly_EMI]]</f>
        <v>432000</v>
      </c>
      <c r="P661" s="1">
        <v>9.8000000000000007</v>
      </c>
      <c r="Q661" s="9">
        <f>Table1[[#This Row],[monthly_income]]*30%</f>
        <v>72000</v>
      </c>
      <c r="R661" s="1">
        <f>ROUNDUP(NPER(P661/100/12,-Q661,Table1[[#This Row],[Loan_Amount]]),0)</f>
        <v>53</v>
      </c>
      <c r="S661" s="1">
        <v>673</v>
      </c>
      <c r="T661" s="1" t="s">
        <v>37</v>
      </c>
      <c r="U661" s="1" t="str">
        <f>IF(Table1[[#This Row],[Repayment_Status]]="late","bad loan","good loan")</f>
        <v>bad loan</v>
      </c>
      <c r="V661" s="1" t="str">
        <f>IF(Table1[[#This Row],[Repayment_Status]]="late","high","low")</f>
        <v>high</v>
      </c>
      <c r="W661" s="1">
        <f>(Table1[[#This Row],[monthly_EMI]]/Table1[[#This Row],[monthly_income]])*100</f>
        <v>30</v>
      </c>
      <c r="X661" s="7">
        <v>17887.41</v>
      </c>
    </row>
    <row r="662" spans="1:24" x14ac:dyDescent="0.25">
      <c r="A662" s="1" t="s">
        <v>280</v>
      </c>
      <c r="B662" s="2" t="s">
        <v>776</v>
      </c>
      <c r="C662" s="5">
        <v>56</v>
      </c>
      <c r="D662" s="1" t="s">
        <v>26</v>
      </c>
      <c r="E662" s="1" t="s">
        <v>29</v>
      </c>
      <c r="F662" s="1" t="s">
        <v>31</v>
      </c>
      <c r="G662" s="1">
        <f>YEAR(Table1[[#This Row],[Application_Date]])</f>
        <v>2026</v>
      </c>
      <c r="H662" s="1" t="str">
        <f>TEXT(Table1[[#This Row],[EMI_payment_date]],"mmmm")</f>
        <v>February</v>
      </c>
      <c r="I662" s="3">
        <v>46042</v>
      </c>
      <c r="J662" s="3">
        <f>EDATE(Table1[[#This Row],[Application_Date]],1)</f>
        <v>46073</v>
      </c>
      <c r="K662" s="9">
        <v>3624000</v>
      </c>
      <c r="L662" s="9">
        <f>Table1[[#This Row],[Annual_Income]]/12</f>
        <v>302000</v>
      </c>
      <c r="M662" s="9">
        <v>3824000</v>
      </c>
      <c r="N662" s="5">
        <f ca="1">DATEDIF(Table1[[#This Row],[EMI_payment_date]],TODAY(),"m")</f>
        <v>5</v>
      </c>
      <c r="O662" s="9">
        <f>6*Table1[[#This Row],[monthly_EMI]]</f>
        <v>543600</v>
      </c>
      <c r="P662" s="1">
        <v>6.03</v>
      </c>
      <c r="Q662" s="9">
        <f>Table1[[#This Row],[monthly_income]]*30%</f>
        <v>90600</v>
      </c>
      <c r="R662" s="1">
        <f>ROUNDUP(NPER(P662/100/12,-Q662,Table1[[#This Row],[Loan_Amount]]),0)</f>
        <v>48</v>
      </c>
      <c r="S662" s="1">
        <v>841</v>
      </c>
      <c r="T662" s="1" t="s">
        <v>20</v>
      </c>
      <c r="U662" s="1" t="str">
        <f>IF(Table1[[#This Row],[Repayment_Status]]="late","bad loan","good loan")</f>
        <v>good loan</v>
      </c>
      <c r="V662" s="1" t="str">
        <f>IF(Table1[[#This Row],[Repayment_Status]]="late","high","low")</f>
        <v>low</v>
      </c>
      <c r="W662" s="1">
        <f>(Table1[[#This Row],[monthly_EMI]]/Table1[[#This Row],[monthly_income]])*100</f>
        <v>30</v>
      </c>
      <c r="X662" s="7">
        <v>24300.54</v>
      </c>
    </row>
    <row r="663" spans="1:24" x14ac:dyDescent="0.25">
      <c r="A663" s="1" t="s">
        <v>81</v>
      </c>
      <c r="B663" s="2" t="s">
        <v>777</v>
      </c>
      <c r="C663" s="5">
        <v>37</v>
      </c>
      <c r="D663" s="1" t="s">
        <v>26</v>
      </c>
      <c r="E663" s="1" t="s">
        <v>36</v>
      </c>
      <c r="F663" s="1" t="s">
        <v>19</v>
      </c>
      <c r="G663" s="1">
        <f>YEAR(Table1[[#This Row],[Application_Date]])</f>
        <v>2026</v>
      </c>
      <c r="H663" s="1" t="str">
        <f>TEXT(Table1[[#This Row],[EMI_payment_date]],"mmmm")</f>
        <v>February</v>
      </c>
      <c r="I663" s="3">
        <v>46043</v>
      </c>
      <c r="J663" s="3">
        <f>EDATE(Table1[[#This Row],[Application_Date]],1)</f>
        <v>46074</v>
      </c>
      <c r="K663" s="9">
        <v>1224000</v>
      </c>
      <c r="L663" s="9">
        <f>Table1[[#This Row],[Annual_Income]]/12</f>
        <v>102000</v>
      </c>
      <c r="M663" s="9">
        <v>1424000</v>
      </c>
      <c r="N663" s="5">
        <f ca="1">DATEDIF(Table1[[#This Row],[EMI_payment_date]],TODAY(),"m")</f>
        <v>5</v>
      </c>
      <c r="O663" s="9">
        <f>6*Table1[[#This Row],[monthly_EMI]]</f>
        <v>183600</v>
      </c>
      <c r="P663" s="1">
        <v>9.73</v>
      </c>
      <c r="Q663" s="9">
        <f>Table1[[#This Row],[monthly_income]]*30%</f>
        <v>30600</v>
      </c>
      <c r="R663" s="1">
        <f>ROUNDUP(NPER(P663/100/12,-Q663,Table1[[#This Row],[Loan_Amount]]),0)</f>
        <v>59</v>
      </c>
      <c r="S663" s="1">
        <v>708</v>
      </c>
      <c r="T663" s="1" t="s">
        <v>20</v>
      </c>
      <c r="U663" s="1" t="str">
        <f>IF(Table1[[#This Row],[Repayment_Status]]="late","bad loan","good loan")</f>
        <v>good loan</v>
      </c>
      <c r="V663" s="1" t="str">
        <f>IF(Table1[[#This Row],[Repayment_Status]]="late","high","low")</f>
        <v>low</v>
      </c>
      <c r="W663" s="1">
        <f>(Table1[[#This Row],[monthly_EMI]]/Table1[[#This Row],[monthly_income]])*100</f>
        <v>30</v>
      </c>
      <c r="X663" s="7">
        <v>8467.3799999999992</v>
      </c>
    </row>
    <row r="664" spans="1:24" x14ac:dyDescent="0.25">
      <c r="A664" s="1" t="s">
        <v>103</v>
      </c>
      <c r="B664" s="2" t="s">
        <v>793</v>
      </c>
      <c r="C664" s="5">
        <v>36</v>
      </c>
      <c r="D664" s="1" t="s">
        <v>26</v>
      </c>
      <c r="E664" s="1" t="s">
        <v>27</v>
      </c>
      <c r="F664" s="1" t="s">
        <v>31</v>
      </c>
      <c r="G664" s="1">
        <f>YEAR(Table1[[#This Row],[Application_Date]])</f>
        <v>2026</v>
      </c>
      <c r="H664" s="1" t="str">
        <f>TEXT(Table1[[#This Row],[EMI_payment_date]],"mmmm")</f>
        <v>February</v>
      </c>
      <c r="I664" s="3">
        <v>46044</v>
      </c>
      <c r="J664" s="3">
        <f>EDATE(Table1[[#This Row],[Application_Date]],1)</f>
        <v>46075</v>
      </c>
      <c r="K664" s="9">
        <v>1500000</v>
      </c>
      <c r="L664" s="9">
        <f>Table1[[#This Row],[Annual_Income]]/12</f>
        <v>125000</v>
      </c>
      <c r="M664" s="9">
        <v>1700000</v>
      </c>
      <c r="N664" s="5">
        <f ca="1">DATEDIF(Table1[[#This Row],[EMI_payment_date]],TODAY(),"m")</f>
        <v>5</v>
      </c>
      <c r="O664" s="9">
        <f>6*Table1[[#This Row],[monthly_EMI]]</f>
        <v>225000</v>
      </c>
      <c r="P664" s="1">
        <v>6.69</v>
      </c>
      <c r="Q664" s="9">
        <f>Table1[[#This Row],[monthly_income]]*30%</f>
        <v>37500</v>
      </c>
      <c r="R664" s="1">
        <f>ROUNDUP(NPER(P664/100/12,-Q664,Table1[[#This Row],[Loan_Amount]]),0)</f>
        <v>53</v>
      </c>
      <c r="S664" s="1">
        <v>636</v>
      </c>
      <c r="T664" s="1" t="s">
        <v>20</v>
      </c>
      <c r="U664" s="1" t="str">
        <f>IF(Table1[[#This Row],[Repayment_Status]]="late","bad loan","good loan")</f>
        <v>good loan</v>
      </c>
      <c r="V664" s="1" t="str">
        <f>IF(Table1[[#This Row],[Repayment_Status]]="late","high","low")</f>
        <v>low</v>
      </c>
      <c r="W664" s="1">
        <f>(Table1[[#This Row],[monthly_EMI]]/Table1[[#This Row],[monthly_income]])*100</f>
        <v>30</v>
      </c>
      <c r="X664" s="7">
        <v>24094.85</v>
      </c>
    </row>
    <row r="665" spans="1:24" x14ac:dyDescent="0.25">
      <c r="A665" s="1" t="s">
        <v>139</v>
      </c>
      <c r="B665" s="2" t="s">
        <v>816</v>
      </c>
      <c r="C665" s="5">
        <v>33</v>
      </c>
      <c r="D665" s="1" t="s">
        <v>26</v>
      </c>
      <c r="E665" s="1" t="s">
        <v>33</v>
      </c>
      <c r="F665" s="1" t="s">
        <v>22</v>
      </c>
      <c r="G665" s="1">
        <f>YEAR(Table1[[#This Row],[Application_Date]])</f>
        <v>2026</v>
      </c>
      <c r="H665" s="1" t="str">
        <f>TEXT(Table1[[#This Row],[EMI_payment_date]],"mmmm")</f>
        <v>February</v>
      </c>
      <c r="I665" s="3">
        <v>46045</v>
      </c>
      <c r="J665" s="3">
        <f>EDATE(Table1[[#This Row],[Application_Date]],1)</f>
        <v>46076</v>
      </c>
      <c r="K665" s="9">
        <v>1932000</v>
      </c>
      <c r="L665" s="9">
        <f>Table1[[#This Row],[Annual_Income]]/12</f>
        <v>161000</v>
      </c>
      <c r="M665" s="9">
        <v>2132000</v>
      </c>
      <c r="N665" s="5">
        <f ca="1">DATEDIF(Table1[[#This Row],[EMI_payment_date]],TODAY(),"m")</f>
        <v>5</v>
      </c>
      <c r="O665" s="9">
        <f>6*Table1[[#This Row],[monthly_EMI]]</f>
        <v>289800</v>
      </c>
      <c r="P665" s="1">
        <v>8.51</v>
      </c>
      <c r="Q665" s="9">
        <f>Table1[[#This Row],[monthly_income]]*30%</f>
        <v>48300</v>
      </c>
      <c r="R665" s="1">
        <f>ROUNDUP(NPER(P665/100/12,-Q665,Table1[[#This Row],[Loan_Amount]]),0)</f>
        <v>54</v>
      </c>
      <c r="S665" s="1">
        <v>609</v>
      </c>
      <c r="T665" s="1" t="s">
        <v>20</v>
      </c>
      <c r="U665" s="1" t="str">
        <f>IF(Table1[[#This Row],[Repayment_Status]]="late","bad loan","good loan")</f>
        <v>good loan</v>
      </c>
      <c r="V665" s="1" t="str">
        <f>IF(Table1[[#This Row],[Repayment_Status]]="late","high","low")</f>
        <v>low</v>
      </c>
      <c r="W665" s="1">
        <f>(Table1[[#This Row],[monthly_EMI]]/Table1[[#This Row],[monthly_income]])*100</f>
        <v>30</v>
      </c>
      <c r="X665" s="7">
        <v>8671.18</v>
      </c>
    </row>
    <row r="666" spans="1:24" x14ac:dyDescent="0.25">
      <c r="A666" s="1" t="s">
        <v>47</v>
      </c>
      <c r="B666" s="2" t="s">
        <v>748</v>
      </c>
      <c r="C666" s="5">
        <v>40</v>
      </c>
      <c r="D666" s="1" t="s">
        <v>15</v>
      </c>
      <c r="E666" s="1" t="s">
        <v>29</v>
      </c>
      <c r="F666" s="1" t="s">
        <v>31</v>
      </c>
      <c r="G666" s="1">
        <f>YEAR(Table1[[#This Row],[Application_Date]])</f>
        <v>2026</v>
      </c>
      <c r="H666" s="1" t="str">
        <f>TEXT(Table1[[#This Row],[EMI_payment_date]],"mmmm")</f>
        <v>February</v>
      </c>
      <c r="I666" s="3">
        <v>46046</v>
      </c>
      <c r="J666" s="3">
        <f>EDATE(Table1[[#This Row],[Application_Date]],1)</f>
        <v>46077</v>
      </c>
      <c r="K666" s="9">
        <v>828000</v>
      </c>
      <c r="L666" s="9">
        <f>Table1[[#This Row],[Annual_Income]]/12</f>
        <v>69000</v>
      </c>
      <c r="M666" s="9">
        <v>1028000</v>
      </c>
      <c r="N666" s="5">
        <f ca="1">DATEDIF(Table1[[#This Row],[EMI_payment_date]],TODAY(),"m")</f>
        <v>5</v>
      </c>
      <c r="O666" s="9">
        <f>6*Table1[[#This Row],[monthly_EMI]]</f>
        <v>124200</v>
      </c>
      <c r="P666" s="1">
        <v>7.63</v>
      </c>
      <c r="Q666" s="9">
        <f>Table1[[#This Row],[monthly_income]]*30%</f>
        <v>20700</v>
      </c>
      <c r="R666" s="1">
        <f>ROUNDUP(NPER(P666/100/12,-Q666,Table1[[#This Row],[Loan_Amount]]),0)</f>
        <v>60</v>
      </c>
      <c r="S666" s="1">
        <v>637</v>
      </c>
      <c r="T666" s="1" t="s">
        <v>37</v>
      </c>
      <c r="U666" s="1" t="str">
        <f>IF(Table1[[#This Row],[Repayment_Status]]="late","bad loan","good loan")</f>
        <v>bad loan</v>
      </c>
      <c r="V666" s="1" t="str">
        <f>IF(Table1[[#This Row],[Repayment_Status]]="late","high","low")</f>
        <v>high</v>
      </c>
      <c r="W666" s="1">
        <f>(Table1[[#This Row],[monthly_EMI]]/Table1[[#This Row],[monthly_income]])*100</f>
        <v>30</v>
      </c>
      <c r="X666" s="7">
        <v>29821.26</v>
      </c>
    </row>
    <row r="667" spans="1:24" x14ac:dyDescent="0.25">
      <c r="A667" s="1" t="s">
        <v>562</v>
      </c>
      <c r="B667" s="2" t="s">
        <v>864</v>
      </c>
      <c r="C667" s="5">
        <v>52</v>
      </c>
      <c r="D667" s="1" t="s">
        <v>15</v>
      </c>
      <c r="E667" s="1" t="s">
        <v>24</v>
      </c>
      <c r="F667" s="1" t="s">
        <v>31</v>
      </c>
      <c r="G667" s="1">
        <f>YEAR(Table1[[#This Row],[Application_Date]])</f>
        <v>2026</v>
      </c>
      <c r="H667" s="1" t="str">
        <f>TEXT(Table1[[#This Row],[EMI_payment_date]],"mmmm")</f>
        <v>February</v>
      </c>
      <c r="I667" s="3">
        <v>46047</v>
      </c>
      <c r="J667" s="3">
        <f>EDATE(Table1[[#This Row],[Application_Date]],1)</f>
        <v>46078</v>
      </c>
      <c r="K667" s="9">
        <v>7008000</v>
      </c>
      <c r="L667" s="9">
        <f>Table1[[#This Row],[Annual_Income]]/12</f>
        <v>584000</v>
      </c>
      <c r="M667" s="9">
        <v>7208000</v>
      </c>
      <c r="N667" s="5">
        <f ca="1">DATEDIF(Table1[[#This Row],[EMI_payment_date]],TODAY(),"m")</f>
        <v>5</v>
      </c>
      <c r="O667" s="9">
        <f>6*Table1[[#This Row],[monthly_EMI]]</f>
        <v>1051200</v>
      </c>
      <c r="P667" s="1">
        <v>7.16</v>
      </c>
      <c r="Q667" s="9">
        <f>Table1[[#This Row],[monthly_income]]*30%</f>
        <v>175200</v>
      </c>
      <c r="R667" s="1">
        <f>ROUNDUP(NPER(P667/100/12,-Q667,Table1[[#This Row],[Loan_Amount]]),0)</f>
        <v>48</v>
      </c>
      <c r="S667" s="1">
        <v>628</v>
      </c>
      <c r="T667" s="1" t="s">
        <v>20</v>
      </c>
      <c r="U667" s="1" t="str">
        <f>IF(Table1[[#This Row],[Repayment_Status]]="late","bad loan","good loan")</f>
        <v>good loan</v>
      </c>
      <c r="V667" s="1" t="str">
        <f>IF(Table1[[#This Row],[Repayment_Status]]="late","high","low")</f>
        <v>low</v>
      </c>
      <c r="W667" s="1">
        <f>(Table1[[#This Row],[monthly_EMI]]/Table1[[#This Row],[monthly_income]])*100</f>
        <v>30</v>
      </c>
      <c r="X667" s="7">
        <v>25435.5</v>
      </c>
    </row>
    <row r="668" spans="1:24" x14ac:dyDescent="0.25">
      <c r="A668" s="1" t="s">
        <v>82</v>
      </c>
      <c r="B668" s="2" t="s">
        <v>778</v>
      </c>
      <c r="C668" s="5">
        <v>42</v>
      </c>
      <c r="D668" s="1" t="s">
        <v>15</v>
      </c>
      <c r="E668" s="1" t="s">
        <v>16</v>
      </c>
      <c r="F668" s="1" t="s">
        <v>17</v>
      </c>
      <c r="G668" s="1">
        <f>YEAR(Table1[[#This Row],[Application_Date]])</f>
        <v>2026</v>
      </c>
      <c r="H668" s="1" t="str">
        <f>TEXT(Table1[[#This Row],[EMI_payment_date]],"mmmm")</f>
        <v>February</v>
      </c>
      <c r="I668" s="3">
        <v>46048</v>
      </c>
      <c r="J668" s="3">
        <f>EDATE(Table1[[#This Row],[Application_Date]],1)</f>
        <v>46079</v>
      </c>
      <c r="K668" s="9">
        <v>1236000</v>
      </c>
      <c r="L668" s="9">
        <f>Table1[[#This Row],[Annual_Income]]/12</f>
        <v>103000</v>
      </c>
      <c r="M668" s="9">
        <v>1436000</v>
      </c>
      <c r="N668" s="5">
        <f ca="1">DATEDIF(Table1[[#This Row],[EMI_payment_date]],TODAY(),"m")</f>
        <v>5</v>
      </c>
      <c r="O668" s="9">
        <f>6*Table1[[#This Row],[monthly_EMI]]</f>
        <v>185400</v>
      </c>
      <c r="P668" s="1">
        <v>9.1300000000000008</v>
      </c>
      <c r="Q668" s="9">
        <f>Table1[[#This Row],[monthly_income]]*30%</f>
        <v>30900</v>
      </c>
      <c r="R668" s="1">
        <f>ROUNDUP(NPER(P668/100/12,-Q668,Table1[[#This Row],[Loan_Amount]]),0)</f>
        <v>58</v>
      </c>
      <c r="S668" s="1">
        <v>632</v>
      </c>
      <c r="T668" s="1" t="s">
        <v>20</v>
      </c>
      <c r="U668" s="1" t="str">
        <f>IF(Table1[[#This Row],[Repayment_Status]]="late","bad loan","good loan")</f>
        <v>good loan</v>
      </c>
      <c r="V668" s="1" t="str">
        <f>IF(Table1[[#This Row],[Repayment_Status]]="late","high","low")</f>
        <v>low</v>
      </c>
      <c r="W668" s="1">
        <f>(Table1[[#This Row],[monthly_EMI]]/Table1[[#This Row],[monthly_income]])*100</f>
        <v>30</v>
      </c>
      <c r="X668" s="7">
        <v>19196.259999999998</v>
      </c>
    </row>
    <row r="669" spans="1:24" x14ac:dyDescent="0.25">
      <c r="A669" s="1" t="s">
        <v>178</v>
      </c>
      <c r="B669" s="2" t="s">
        <v>833</v>
      </c>
      <c r="C669" s="5">
        <v>25</v>
      </c>
      <c r="D669" s="1" t="s">
        <v>15</v>
      </c>
      <c r="E669" s="1" t="s">
        <v>36</v>
      </c>
      <c r="F669" s="1" t="s">
        <v>51</v>
      </c>
      <c r="G669" s="1">
        <f>YEAR(Table1[[#This Row],[Application_Date]])</f>
        <v>2026</v>
      </c>
      <c r="H669" s="1" t="str">
        <f>TEXT(Table1[[#This Row],[EMI_payment_date]],"mmmm")</f>
        <v>February</v>
      </c>
      <c r="I669" s="3">
        <v>46049</v>
      </c>
      <c r="J669" s="3">
        <f>EDATE(Table1[[#This Row],[Application_Date]],1)</f>
        <v>46080</v>
      </c>
      <c r="K669" s="9">
        <v>2400000</v>
      </c>
      <c r="L669" s="9">
        <f>Table1[[#This Row],[Annual_Income]]/12</f>
        <v>200000</v>
      </c>
      <c r="M669" s="9">
        <v>2600000</v>
      </c>
      <c r="N669" s="5">
        <f ca="1">DATEDIF(Table1[[#This Row],[EMI_payment_date]],TODAY(),"m")</f>
        <v>5</v>
      </c>
      <c r="O669" s="9">
        <f>6*Table1[[#This Row],[monthly_EMI]]</f>
        <v>360000</v>
      </c>
      <c r="P669" s="1">
        <v>7.49</v>
      </c>
      <c r="Q669" s="9">
        <f>Table1[[#This Row],[monthly_income]]*30%</f>
        <v>60000</v>
      </c>
      <c r="R669" s="1">
        <f>ROUNDUP(NPER(P669/100/12,-Q669,Table1[[#This Row],[Loan_Amount]]),0)</f>
        <v>51</v>
      </c>
      <c r="S669" s="1">
        <v>810</v>
      </c>
      <c r="T669" s="1" t="s">
        <v>20</v>
      </c>
      <c r="U669" s="1" t="str">
        <f>IF(Table1[[#This Row],[Repayment_Status]]="late","bad loan","good loan")</f>
        <v>good loan</v>
      </c>
      <c r="V669" s="1" t="str">
        <f>IF(Table1[[#This Row],[Repayment_Status]]="late","high","low")</f>
        <v>low</v>
      </c>
      <c r="W669" s="1">
        <f>(Table1[[#This Row],[monthly_EMI]]/Table1[[#This Row],[monthly_income]])*100</f>
        <v>30</v>
      </c>
      <c r="X669" s="7">
        <v>35595.120000000003</v>
      </c>
    </row>
    <row r="670" spans="1:24" x14ac:dyDescent="0.25">
      <c r="A670" s="1" t="s">
        <v>240</v>
      </c>
      <c r="B670" s="2" t="s">
        <v>811</v>
      </c>
      <c r="C670" s="5">
        <v>45</v>
      </c>
      <c r="D670" s="1" t="s">
        <v>15</v>
      </c>
      <c r="E670" s="1" t="s">
        <v>27</v>
      </c>
      <c r="F670" s="1" t="s">
        <v>22</v>
      </c>
      <c r="G670" s="1">
        <f>YEAR(Table1[[#This Row],[Application_Date]])</f>
        <v>2026</v>
      </c>
      <c r="H670" s="1" t="str">
        <f>TEXT(Table1[[#This Row],[EMI_payment_date]],"mmmm")</f>
        <v>February</v>
      </c>
      <c r="I670" s="3">
        <v>46050</v>
      </c>
      <c r="J670" s="3">
        <f>EDATE(Table1[[#This Row],[Application_Date]],1)</f>
        <v>46081</v>
      </c>
      <c r="K670" s="9">
        <v>3144000</v>
      </c>
      <c r="L670" s="9">
        <f>Table1[[#This Row],[Annual_Income]]/12</f>
        <v>262000</v>
      </c>
      <c r="M670" s="9">
        <v>3344000</v>
      </c>
      <c r="N670" s="5">
        <f ca="1">DATEDIF(Table1[[#This Row],[EMI_payment_date]],TODAY(),"m")</f>
        <v>5</v>
      </c>
      <c r="O670" s="9">
        <f>6*Table1[[#This Row],[monthly_EMI]]</f>
        <v>471600</v>
      </c>
      <c r="P670" s="1">
        <v>5.85</v>
      </c>
      <c r="Q670" s="9">
        <f>Table1[[#This Row],[monthly_income]]*30%</f>
        <v>78600</v>
      </c>
      <c r="R670" s="1">
        <f>ROUNDUP(NPER(P670/100/12,-Q670,Table1[[#This Row],[Loan_Amount]]),0)</f>
        <v>48</v>
      </c>
      <c r="S670" s="1">
        <v>680</v>
      </c>
      <c r="T670" s="1" t="s">
        <v>20</v>
      </c>
      <c r="U670" s="1" t="str">
        <f>IF(Table1[[#This Row],[Repayment_Status]]="late","bad loan","good loan")</f>
        <v>good loan</v>
      </c>
      <c r="V670" s="1" t="str">
        <f>IF(Table1[[#This Row],[Repayment_Status]]="late","high","low")</f>
        <v>low</v>
      </c>
      <c r="W670" s="1">
        <f>(Table1[[#This Row],[monthly_EMI]]/Table1[[#This Row],[monthly_income]])*100</f>
        <v>30</v>
      </c>
      <c r="X670" s="7">
        <v>12403.04</v>
      </c>
    </row>
    <row r="671" spans="1:24" x14ac:dyDescent="0.25">
      <c r="A671" s="1" t="s">
        <v>200</v>
      </c>
      <c r="B671" s="2" t="s">
        <v>803</v>
      </c>
      <c r="C671" s="5">
        <v>46</v>
      </c>
      <c r="D671" s="1" t="s">
        <v>26</v>
      </c>
      <c r="E671" s="1" t="s">
        <v>16</v>
      </c>
      <c r="F671" s="1" t="s">
        <v>51</v>
      </c>
      <c r="G671" s="1">
        <f>YEAR(Table1[[#This Row],[Application_Date]])</f>
        <v>2026</v>
      </c>
      <c r="H671" s="1" t="str">
        <f>TEXT(Table1[[#This Row],[EMI_payment_date]],"mmmm")</f>
        <v>February</v>
      </c>
      <c r="I671" s="3">
        <v>46051</v>
      </c>
      <c r="J671" s="3">
        <f>EDATE(Table1[[#This Row],[Application_Date]],1)</f>
        <v>46081</v>
      </c>
      <c r="K671" s="9">
        <v>2664000</v>
      </c>
      <c r="L671" s="9">
        <f>Table1[[#This Row],[Annual_Income]]/12</f>
        <v>222000</v>
      </c>
      <c r="M671" s="9">
        <v>2864000</v>
      </c>
      <c r="N671" s="5">
        <f ca="1">DATEDIF(Table1[[#This Row],[EMI_payment_date]],TODAY(),"m")</f>
        <v>5</v>
      </c>
      <c r="O671" s="9">
        <f>6*Table1[[#This Row],[monthly_EMI]]</f>
        <v>399600</v>
      </c>
      <c r="P671" s="1">
        <v>7.93</v>
      </c>
      <c r="Q671" s="9">
        <f>Table1[[#This Row],[monthly_income]]*30%</f>
        <v>66600</v>
      </c>
      <c r="R671" s="1">
        <f>ROUNDUP(NPER(P671/100/12,-Q671,Table1[[#This Row],[Loan_Amount]]),0)</f>
        <v>51</v>
      </c>
      <c r="S671" s="1">
        <v>849</v>
      </c>
      <c r="T671" s="1" t="s">
        <v>20</v>
      </c>
      <c r="U671" s="1" t="str">
        <f>IF(Table1[[#This Row],[Repayment_Status]]="late","bad loan","good loan")</f>
        <v>good loan</v>
      </c>
      <c r="V671" s="1" t="str">
        <f>IF(Table1[[#This Row],[Repayment_Status]]="late","high","low")</f>
        <v>low</v>
      </c>
      <c r="W671" s="1">
        <f>(Table1[[#This Row],[monthly_EMI]]/Table1[[#This Row],[monthly_income]])*100</f>
        <v>30</v>
      </c>
      <c r="X671" s="7">
        <v>28400.31</v>
      </c>
    </row>
    <row r="672" spans="1:24" x14ac:dyDescent="0.25">
      <c r="A672" s="1" t="s">
        <v>601</v>
      </c>
      <c r="B672" s="2" t="s">
        <v>818</v>
      </c>
      <c r="C672" s="5">
        <v>56</v>
      </c>
      <c r="D672" s="1" t="s">
        <v>26</v>
      </c>
      <c r="E672" s="1" t="s">
        <v>33</v>
      </c>
      <c r="F672" s="1" t="s">
        <v>51</v>
      </c>
      <c r="G672" s="1">
        <f>YEAR(Table1[[#This Row],[Application_Date]])</f>
        <v>2026</v>
      </c>
      <c r="H672" s="1" t="str">
        <f>TEXT(Table1[[#This Row],[EMI_payment_date]],"mmmm")</f>
        <v>February</v>
      </c>
      <c r="I672" s="3">
        <v>46052</v>
      </c>
      <c r="J672" s="3">
        <f>EDATE(Table1[[#This Row],[Application_Date]],1)</f>
        <v>46081</v>
      </c>
      <c r="K672" s="9">
        <v>7476000</v>
      </c>
      <c r="L672" s="9">
        <f>Table1[[#This Row],[Annual_Income]]/12</f>
        <v>623000</v>
      </c>
      <c r="M672" s="9">
        <v>7676000</v>
      </c>
      <c r="N672" s="5">
        <f ca="1">DATEDIF(Table1[[#This Row],[EMI_payment_date]],TODAY(),"m")</f>
        <v>5</v>
      </c>
      <c r="O672" s="9">
        <f>6*Table1[[#This Row],[monthly_EMI]]</f>
        <v>1121400</v>
      </c>
      <c r="P672" s="1">
        <v>5.44</v>
      </c>
      <c r="Q672" s="9">
        <f>Table1[[#This Row],[monthly_income]]*30%</f>
        <v>186900</v>
      </c>
      <c r="R672" s="1">
        <f>ROUNDUP(NPER(P672/100/12,-Q672,Table1[[#This Row],[Loan_Amount]]),0)</f>
        <v>46</v>
      </c>
      <c r="S672" s="1">
        <v>651</v>
      </c>
      <c r="T672" s="1" t="s">
        <v>37</v>
      </c>
      <c r="U672" s="1" t="str">
        <f>IF(Table1[[#This Row],[Repayment_Status]]="late","bad loan","good loan")</f>
        <v>bad loan</v>
      </c>
      <c r="V672" s="1" t="str">
        <f>IF(Table1[[#This Row],[Repayment_Status]]="late","high","low")</f>
        <v>high</v>
      </c>
      <c r="W672" s="1">
        <f>(Table1[[#This Row],[monthly_EMI]]/Table1[[#This Row],[monthly_income]])*100</f>
        <v>30</v>
      </c>
      <c r="X672" s="7">
        <v>19222.439999999999</v>
      </c>
    </row>
    <row r="673" spans="1:24" x14ac:dyDescent="0.25">
      <c r="A673" s="1" t="s">
        <v>445</v>
      </c>
      <c r="B673" s="2" t="s">
        <v>794</v>
      </c>
      <c r="C673" s="5">
        <v>44</v>
      </c>
      <c r="D673" s="1" t="s">
        <v>26</v>
      </c>
      <c r="E673" s="1" t="s">
        <v>29</v>
      </c>
      <c r="F673" s="1" t="s">
        <v>51</v>
      </c>
      <c r="G673" s="1">
        <f>YEAR(Table1[[#This Row],[Application_Date]])</f>
        <v>2026</v>
      </c>
      <c r="H673" s="1" t="str">
        <f>TEXT(Table1[[#This Row],[EMI_payment_date]],"mmmm")</f>
        <v>February</v>
      </c>
      <c r="I673" s="3">
        <v>46053</v>
      </c>
      <c r="J673" s="3">
        <f>EDATE(Table1[[#This Row],[Application_Date]],1)</f>
        <v>46081</v>
      </c>
      <c r="K673" s="9">
        <v>5604000</v>
      </c>
      <c r="L673" s="9">
        <f>Table1[[#This Row],[Annual_Income]]/12</f>
        <v>467000</v>
      </c>
      <c r="M673" s="9">
        <v>5804000</v>
      </c>
      <c r="N673" s="5">
        <f ca="1">DATEDIF(Table1[[#This Row],[EMI_payment_date]],TODAY(),"m")</f>
        <v>5</v>
      </c>
      <c r="O673" s="9">
        <f>6*Table1[[#This Row],[monthly_EMI]]</f>
        <v>840600</v>
      </c>
      <c r="P673" s="1">
        <v>9.68</v>
      </c>
      <c r="Q673" s="9">
        <f>Table1[[#This Row],[monthly_income]]*30%</f>
        <v>140100</v>
      </c>
      <c r="R673" s="1">
        <f>ROUNDUP(NPER(P673/100/12,-Q673,Table1[[#This Row],[Loan_Amount]]),0)</f>
        <v>51</v>
      </c>
      <c r="S673" s="1">
        <v>628</v>
      </c>
      <c r="T673" s="1" t="s">
        <v>37</v>
      </c>
      <c r="U673" s="1" t="str">
        <f>IF(Table1[[#This Row],[Repayment_Status]]="late","bad loan","good loan")</f>
        <v>bad loan</v>
      </c>
      <c r="V673" s="1" t="str">
        <f>IF(Table1[[#This Row],[Repayment_Status]]="late","high","low")</f>
        <v>high</v>
      </c>
      <c r="W673" s="1">
        <f>(Table1[[#This Row],[monthly_EMI]]/Table1[[#This Row],[monthly_income]])*100</f>
        <v>30</v>
      </c>
      <c r="X673" s="7">
        <v>28848.45</v>
      </c>
    </row>
    <row r="674" spans="1:24" x14ac:dyDescent="0.25">
      <c r="A674" s="1" t="s">
        <v>558</v>
      </c>
      <c r="B674" s="2" t="s">
        <v>841</v>
      </c>
      <c r="C674" s="5">
        <v>48</v>
      </c>
      <c r="D674" s="1" t="s">
        <v>26</v>
      </c>
      <c r="E674" s="1" t="s">
        <v>24</v>
      </c>
      <c r="F674" s="1" t="s">
        <v>22</v>
      </c>
      <c r="G674" s="1">
        <f>YEAR(Table1[[#This Row],[Application_Date]])</f>
        <v>2026</v>
      </c>
      <c r="H674" s="1" t="str">
        <f>TEXT(Table1[[#This Row],[EMI_payment_date]],"mmmm")</f>
        <v>March</v>
      </c>
      <c r="I674" s="3">
        <v>46054</v>
      </c>
      <c r="J674" s="3">
        <f>EDATE(Table1[[#This Row],[Application_Date]],1)</f>
        <v>46082</v>
      </c>
      <c r="K674" s="9">
        <v>6960000</v>
      </c>
      <c r="L674" s="9">
        <f>Table1[[#This Row],[Annual_Income]]/12</f>
        <v>580000</v>
      </c>
      <c r="M674" s="9">
        <v>7160000</v>
      </c>
      <c r="N674" s="5">
        <f ca="1">DATEDIF(Table1[[#This Row],[EMI_payment_date]],TODAY(),"m")</f>
        <v>4</v>
      </c>
      <c r="O674" s="9">
        <f>5*Table1[[#This Row],[monthly_EMI]]</f>
        <v>870000</v>
      </c>
      <c r="P674" s="1">
        <v>5.57</v>
      </c>
      <c r="Q674" s="9">
        <f>Table1[[#This Row],[monthly_income]]*30%</f>
        <v>174000</v>
      </c>
      <c r="R674" s="1">
        <f>ROUNDUP(NPER(P674/100/12,-Q674,Table1[[#This Row],[Loan_Amount]]),0)</f>
        <v>46</v>
      </c>
      <c r="S674" s="1">
        <v>640</v>
      </c>
      <c r="T674" s="1" t="s">
        <v>20</v>
      </c>
      <c r="U674" s="1" t="str">
        <f>IF(Table1[[#This Row],[Repayment_Status]]="late","bad loan","good loan")</f>
        <v>good loan</v>
      </c>
      <c r="V674" s="1" t="str">
        <f>IF(Table1[[#This Row],[Repayment_Status]]="late","high","low")</f>
        <v>low</v>
      </c>
      <c r="W674" s="1">
        <f>(Table1[[#This Row],[monthly_EMI]]/Table1[[#This Row],[monthly_income]])*100</f>
        <v>30</v>
      </c>
      <c r="X674" s="7">
        <v>10309.23</v>
      </c>
    </row>
    <row r="675" spans="1:24" x14ac:dyDescent="0.25">
      <c r="A675" s="1" t="s">
        <v>244</v>
      </c>
      <c r="B675" s="2" t="s">
        <v>839</v>
      </c>
      <c r="C675" s="5">
        <v>32</v>
      </c>
      <c r="D675" s="1" t="s">
        <v>26</v>
      </c>
      <c r="E675" s="1" t="s">
        <v>27</v>
      </c>
      <c r="F675" s="1" t="s">
        <v>22</v>
      </c>
      <c r="G675" s="1">
        <f>YEAR(Table1[[#This Row],[Application_Date]])</f>
        <v>2026</v>
      </c>
      <c r="H675" s="1" t="str">
        <f>TEXT(Table1[[#This Row],[EMI_payment_date]],"mmmm")</f>
        <v>March</v>
      </c>
      <c r="I675" s="3">
        <v>46055</v>
      </c>
      <c r="J675" s="3">
        <f>EDATE(Table1[[#This Row],[Application_Date]],1)</f>
        <v>46083</v>
      </c>
      <c r="K675" s="9">
        <v>3192000</v>
      </c>
      <c r="L675" s="9">
        <f>Table1[[#This Row],[Annual_Income]]/12</f>
        <v>266000</v>
      </c>
      <c r="M675" s="9">
        <v>3392000</v>
      </c>
      <c r="N675" s="5">
        <f ca="1">DATEDIF(Table1[[#This Row],[EMI_payment_date]],TODAY(),"m")</f>
        <v>4</v>
      </c>
      <c r="O675" s="9">
        <f>5*Table1[[#This Row],[monthly_EMI]]</f>
        <v>399000</v>
      </c>
      <c r="P675" s="1">
        <v>7.66</v>
      </c>
      <c r="Q675" s="9">
        <f>Table1[[#This Row],[monthly_income]]*30%</f>
        <v>79800</v>
      </c>
      <c r="R675" s="1">
        <f>ROUNDUP(NPER(P675/100/12,-Q675,Table1[[#This Row],[Loan_Amount]]),0)</f>
        <v>50</v>
      </c>
      <c r="S675" s="1">
        <v>843</v>
      </c>
      <c r="T675" s="1" t="s">
        <v>20</v>
      </c>
      <c r="U675" s="1" t="str">
        <f>IF(Table1[[#This Row],[Repayment_Status]]="late","bad loan","good loan")</f>
        <v>good loan</v>
      </c>
      <c r="V675" s="1" t="str">
        <f>IF(Table1[[#This Row],[Repayment_Status]]="late","high","low")</f>
        <v>low</v>
      </c>
      <c r="W675" s="1">
        <f>(Table1[[#This Row],[monthly_EMI]]/Table1[[#This Row],[monthly_income]])*100</f>
        <v>30</v>
      </c>
      <c r="X675" s="7">
        <v>30768.61</v>
      </c>
    </row>
    <row r="676" spans="1:24" x14ac:dyDescent="0.25">
      <c r="A676" s="1" t="s">
        <v>384</v>
      </c>
      <c r="B676" s="2" t="s">
        <v>751</v>
      </c>
      <c r="C676" s="5">
        <v>50</v>
      </c>
      <c r="D676" s="1" t="s">
        <v>26</v>
      </c>
      <c r="E676" s="1" t="s">
        <v>24</v>
      </c>
      <c r="F676" s="1" t="s">
        <v>19</v>
      </c>
      <c r="G676" s="1">
        <f>YEAR(Table1[[#This Row],[Application_Date]])</f>
        <v>2026</v>
      </c>
      <c r="H676" s="1" t="str">
        <f>TEXT(Table1[[#This Row],[EMI_payment_date]],"mmmm")</f>
        <v>March</v>
      </c>
      <c r="I676" s="3">
        <v>46056</v>
      </c>
      <c r="J676" s="3">
        <f>EDATE(Table1[[#This Row],[Application_Date]],1)</f>
        <v>46084</v>
      </c>
      <c r="K676" s="9">
        <v>4872000</v>
      </c>
      <c r="L676" s="9">
        <f>Table1[[#This Row],[Annual_Income]]/12</f>
        <v>406000</v>
      </c>
      <c r="M676" s="9">
        <v>5072000</v>
      </c>
      <c r="N676" s="5">
        <f ca="1">DATEDIF(Table1[[#This Row],[EMI_payment_date]],TODAY(),"m")</f>
        <v>4</v>
      </c>
      <c r="O676" s="9">
        <f>5*Table1[[#This Row],[monthly_EMI]]</f>
        <v>609000</v>
      </c>
      <c r="P676" s="1">
        <v>9.81</v>
      </c>
      <c r="Q676" s="9">
        <f>Table1[[#This Row],[monthly_income]]*30%</f>
        <v>121800</v>
      </c>
      <c r="R676" s="1">
        <f>ROUNDUP(NPER(P676/100/12,-Q676,Table1[[#This Row],[Loan_Amount]]),0)</f>
        <v>52</v>
      </c>
      <c r="S676" s="1">
        <v>607</v>
      </c>
      <c r="T676" s="1" t="s">
        <v>20</v>
      </c>
      <c r="U676" s="1" t="str">
        <f>IF(Table1[[#This Row],[Repayment_Status]]="late","bad loan","good loan")</f>
        <v>good loan</v>
      </c>
      <c r="V676" s="1" t="str">
        <f>IF(Table1[[#This Row],[Repayment_Status]]="late","high","low")</f>
        <v>low</v>
      </c>
      <c r="W676" s="1">
        <f>(Table1[[#This Row],[monthly_EMI]]/Table1[[#This Row],[monthly_income]])*100</f>
        <v>30</v>
      </c>
      <c r="X676" s="7">
        <v>42391.72</v>
      </c>
    </row>
    <row r="677" spans="1:24" x14ac:dyDescent="0.25">
      <c r="A677" s="1" t="s">
        <v>46</v>
      </c>
      <c r="B677" s="2" t="s">
        <v>747</v>
      </c>
      <c r="C677" s="5">
        <v>41</v>
      </c>
      <c r="D677" s="1" t="s">
        <v>26</v>
      </c>
      <c r="E677" s="1" t="s">
        <v>16</v>
      </c>
      <c r="F677" s="1" t="s">
        <v>22</v>
      </c>
      <c r="G677" s="1">
        <f>YEAR(Table1[[#This Row],[Application_Date]])</f>
        <v>2026</v>
      </c>
      <c r="H677" s="1" t="str">
        <f>TEXT(Table1[[#This Row],[EMI_payment_date]],"mmmm")</f>
        <v>March</v>
      </c>
      <c r="I677" s="3">
        <v>46057</v>
      </c>
      <c r="J677" s="3">
        <f>EDATE(Table1[[#This Row],[Application_Date]],1)</f>
        <v>46085</v>
      </c>
      <c r="K677" s="9">
        <v>816000</v>
      </c>
      <c r="L677" s="9">
        <f>Table1[[#This Row],[Annual_Income]]/12</f>
        <v>68000</v>
      </c>
      <c r="M677" s="9">
        <v>1016000</v>
      </c>
      <c r="N677" s="5">
        <f ca="1">DATEDIF(Table1[[#This Row],[EMI_payment_date]],TODAY(),"m")</f>
        <v>4</v>
      </c>
      <c r="O677" s="9">
        <f>5*Table1[[#This Row],[monthly_EMI]]</f>
        <v>102000</v>
      </c>
      <c r="P677" s="1">
        <v>7.89</v>
      </c>
      <c r="Q677" s="9">
        <f>Table1[[#This Row],[monthly_income]]*30%</f>
        <v>20400</v>
      </c>
      <c r="R677" s="1">
        <f>ROUNDUP(NPER(P677/100/12,-Q677,Table1[[#This Row],[Loan_Amount]]),0)</f>
        <v>61</v>
      </c>
      <c r="S677" s="1">
        <v>641</v>
      </c>
      <c r="T677" s="1" t="s">
        <v>20</v>
      </c>
      <c r="U677" s="1" t="str">
        <f>IF(Table1[[#This Row],[Repayment_Status]]="late","bad loan","good loan")</f>
        <v>good loan</v>
      </c>
      <c r="V677" s="1" t="str">
        <f>IF(Table1[[#This Row],[Repayment_Status]]="late","high","low")</f>
        <v>low</v>
      </c>
      <c r="W677" s="1">
        <f>(Table1[[#This Row],[monthly_EMI]]/Table1[[#This Row],[monthly_income]])*100</f>
        <v>30</v>
      </c>
      <c r="X677" s="7">
        <v>13704</v>
      </c>
    </row>
    <row r="678" spans="1:24" x14ac:dyDescent="0.25">
      <c r="A678" s="1" t="s">
        <v>461</v>
      </c>
      <c r="B678" s="2" t="s">
        <v>795</v>
      </c>
      <c r="C678" s="5">
        <v>29</v>
      </c>
      <c r="D678" s="1" t="s">
        <v>26</v>
      </c>
      <c r="E678" s="1" t="s">
        <v>36</v>
      </c>
      <c r="F678" s="1" t="s">
        <v>22</v>
      </c>
      <c r="G678" s="1">
        <f>YEAR(Table1[[#This Row],[Application_Date]])</f>
        <v>2026</v>
      </c>
      <c r="H678" s="1" t="str">
        <f>TEXT(Table1[[#This Row],[EMI_payment_date]],"mmmm")</f>
        <v>March</v>
      </c>
      <c r="I678" s="3">
        <v>46058</v>
      </c>
      <c r="J678" s="3">
        <f>EDATE(Table1[[#This Row],[Application_Date]],1)</f>
        <v>46086</v>
      </c>
      <c r="K678" s="9">
        <v>5796000</v>
      </c>
      <c r="L678" s="9">
        <f>Table1[[#This Row],[Annual_Income]]/12</f>
        <v>483000</v>
      </c>
      <c r="M678" s="9">
        <v>5996000</v>
      </c>
      <c r="N678" s="5">
        <f ca="1">DATEDIF(Table1[[#This Row],[EMI_payment_date]],TODAY(),"m")</f>
        <v>4</v>
      </c>
      <c r="O678" s="9">
        <f>5*Table1[[#This Row],[monthly_EMI]]</f>
        <v>724500</v>
      </c>
      <c r="P678" s="1">
        <v>5.65</v>
      </c>
      <c r="Q678" s="9">
        <f>Table1[[#This Row],[monthly_income]]*30%</f>
        <v>144900</v>
      </c>
      <c r="R678" s="1">
        <f>ROUNDUP(NPER(P678/100/12,-Q678,Table1[[#This Row],[Loan_Amount]]),0)</f>
        <v>47</v>
      </c>
      <c r="S678" s="1">
        <v>718</v>
      </c>
      <c r="T678" s="1" t="s">
        <v>37</v>
      </c>
      <c r="U678" s="1" t="str">
        <f>IF(Table1[[#This Row],[Repayment_Status]]="late","bad loan","good loan")</f>
        <v>bad loan</v>
      </c>
      <c r="V678" s="1" t="str">
        <f>IF(Table1[[#This Row],[Repayment_Status]]="late","high","low")</f>
        <v>high</v>
      </c>
      <c r="W678" s="1">
        <f>(Table1[[#This Row],[monthly_EMI]]/Table1[[#This Row],[monthly_income]])*100</f>
        <v>30</v>
      </c>
      <c r="X678" s="7">
        <v>18708.05</v>
      </c>
    </row>
    <row r="679" spans="1:24" x14ac:dyDescent="0.25">
      <c r="A679" s="1" t="s">
        <v>694</v>
      </c>
      <c r="B679" s="2" t="s">
        <v>753</v>
      </c>
      <c r="C679" s="5">
        <v>39</v>
      </c>
      <c r="D679" s="1" t="s">
        <v>15</v>
      </c>
      <c r="E679" s="1" t="s">
        <v>29</v>
      </c>
      <c r="F679" s="1" t="s">
        <v>19</v>
      </c>
      <c r="G679" s="1">
        <f>YEAR(Table1[[#This Row],[Application_Date]])</f>
        <v>2026</v>
      </c>
      <c r="H679" s="1" t="str">
        <f>TEXT(Table1[[#This Row],[EMI_payment_date]],"mmmm")</f>
        <v>March</v>
      </c>
      <c r="I679" s="3">
        <v>46059</v>
      </c>
      <c r="J679" s="3">
        <f>EDATE(Table1[[#This Row],[Application_Date]],1)</f>
        <v>46087</v>
      </c>
      <c r="K679" s="9">
        <v>8592000</v>
      </c>
      <c r="L679" s="9">
        <f>Table1[[#This Row],[Annual_Income]]/12</f>
        <v>716000</v>
      </c>
      <c r="M679" s="9">
        <v>8792000</v>
      </c>
      <c r="N679" s="5">
        <f ca="1">DATEDIF(Table1[[#This Row],[EMI_payment_date]],TODAY(),"m")</f>
        <v>4</v>
      </c>
      <c r="O679" s="9">
        <f>5*Table1[[#This Row],[monthly_EMI]]</f>
        <v>1074000</v>
      </c>
      <c r="P679" s="1">
        <v>8.52</v>
      </c>
      <c r="Q679" s="9">
        <f>Table1[[#This Row],[monthly_income]]*30%</f>
        <v>214800</v>
      </c>
      <c r="R679" s="1">
        <f>ROUNDUP(NPER(P679/100/12,-Q679,Table1[[#This Row],[Loan_Amount]]),0)</f>
        <v>49</v>
      </c>
      <c r="S679" s="1">
        <v>803</v>
      </c>
      <c r="T679" s="1" t="s">
        <v>20</v>
      </c>
      <c r="U679" s="1" t="str">
        <f>IF(Table1[[#This Row],[Repayment_Status]]="late","bad loan","good loan")</f>
        <v>good loan</v>
      </c>
      <c r="V679" s="1" t="str">
        <f>IF(Table1[[#This Row],[Repayment_Status]]="late","high","low")</f>
        <v>low</v>
      </c>
      <c r="W679" s="1">
        <f>(Table1[[#This Row],[monthly_EMI]]/Table1[[#This Row],[monthly_income]])*100</f>
        <v>30</v>
      </c>
      <c r="X679" s="7">
        <v>33821.25</v>
      </c>
    </row>
    <row r="680" spans="1:24" x14ac:dyDescent="0.25">
      <c r="A680" s="1" t="s">
        <v>722</v>
      </c>
      <c r="B680" s="2" t="s">
        <v>790</v>
      </c>
      <c r="C680" s="5">
        <v>55</v>
      </c>
      <c r="D680" s="1" t="s">
        <v>26</v>
      </c>
      <c r="E680" s="1" t="s">
        <v>27</v>
      </c>
      <c r="F680" s="1" t="s">
        <v>19</v>
      </c>
      <c r="G680" s="1">
        <f>YEAR(Table1[[#This Row],[Application_Date]])</f>
        <v>2026</v>
      </c>
      <c r="H680" s="1" t="str">
        <f>TEXT(Table1[[#This Row],[EMI_payment_date]],"mmmm")</f>
        <v>March</v>
      </c>
      <c r="I680" s="3">
        <v>46060</v>
      </c>
      <c r="J680" s="3">
        <f>EDATE(Table1[[#This Row],[Application_Date]],1)</f>
        <v>46088</v>
      </c>
      <c r="K680" s="9">
        <v>8928000</v>
      </c>
      <c r="L680" s="9">
        <f>Table1[[#This Row],[Annual_Income]]/12</f>
        <v>744000</v>
      </c>
      <c r="M680" s="9">
        <v>9128000</v>
      </c>
      <c r="N680" s="5">
        <f ca="1">DATEDIF(Table1[[#This Row],[EMI_payment_date]],TODAY(),"m")</f>
        <v>4</v>
      </c>
      <c r="O680" s="9">
        <f>5*Table1[[#This Row],[monthly_EMI]]</f>
        <v>1116000</v>
      </c>
      <c r="P680" s="1">
        <v>6.83</v>
      </c>
      <c r="Q680" s="9">
        <f>Table1[[#This Row],[monthly_income]]*30%</f>
        <v>223200</v>
      </c>
      <c r="R680" s="1">
        <f>ROUNDUP(NPER(P680/100/12,-Q680,Table1[[#This Row],[Loan_Amount]]),0)</f>
        <v>47</v>
      </c>
      <c r="S680" s="1">
        <v>765</v>
      </c>
      <c r="T680" s="1" t="s">
        <v>20</v>
      </c>
      <c r="U680" s="1" t="str">
        <f>IF(Table1[[#This Row],[Repayment_Status]]="late","bad loan","good loan")</f>
        <v>good loan</v>
      </c>
      <c r="V680" s="1" t="str">
        <f>IF(Table1[[#This Row],[Repayment_Status]]="late","high","low")</f>
        <v>low</v>
      </c>
      <c r="W680" s="1">
        <f>(Table1[[#This Row],[monthly_EMI]]/Table1[[#This Row],[monthly_income]])*100</f>
        <v>30</v>
      </c>
      <c r="X680" s="7">
        <v>22105.119999999999</v>
      </c>
    </row>
    <row r="681" spans="1:24" x14ac:dyDescent="0.25">
      <c r="A681" s="1" t="s">
        <v>322</v>
      </c>
      <c r="B681" s="2" t="s">
        <v>850</v>
      </c>
      <c r="C681" s="5">
        <v>50</v>
      </c>
      <c r="D681" s="1" t="s">
        <v>15</v>
      </c>
      <c r="E681" s="1" t="s">
        <v>16</v>
      </c>
      <c r="F681" s="1" t="s">
        <v>51</v>
      </c>
      <c r="G681" s="1">
        <f>YEAR(Table1[[#This Row],[Application_Date]])</f>
        <v>2026</v>
      </c>
      <c r="H681" s="1" t="str">
        <f>TEXT(Table1[[#This Row],[EMI_payment_date]],"mmmm")</f>
        <v>March</v>
      </c>
      <c r="I681" s="3">
        <v>46061</v>
      </c>
      <c r="J681" s="3">
        <f>EDATE(Table1[[#This Row],[Application_Date]],1)</f>
        <v>46089</v>
      </c>
      <c r="K681" s="9">
        <v>4128000</v>
      </c>
      <c r="L681" s="9">
        <f>Table1[[#This Row],[Annual_Income]]/12</f>
        <v>344000</v>
      </c>
      <c r="M681" s="9">
        <v>4328000</v>
      </c>
      <c r="N681" s="5">
        <f ca="1">DATEDIF(Table1[[#This Row],[EMI_payment_date]],TODAY(),"m")</f>
        <v>4</v>
      </c>
      <c r="O681" s="9">
        <f>5*Table1[[#This Row],[monthly_EMI]]</f>
        <v>516000</v>
      </c>
      <c r="P681" s="1">
        <v>8.23</v>
      </c>
      <c r="Q681" s="9">
        <f>Table1[[#This Row],[monthly_income]]*30%</f>
        <v>103200</v>
      </c>
      <c r="R681" s="1">
        <f>ROUNDUP(NPER(P681/100/12,-Q681,Table1[[#This Row],[Loan_Amount]]),0)</f>
        <v>50</v>
      </c>
      <c r="S681" s="1">
        <v>690</v>
      </c>
      <c r="T681" s="1" t="s">
        <v>20</v>
      </c>
      <c r="U681" s="1" t="str">
        <f>IF(Table1[[#This Row],[Repayment_Status]]="late","bad loan","good loan")</f>
        <v>good loan</v>
      </c>
      <c r="V681" s="1" t="str">
        <f>IF(Table1[[#This Row],[Repayment_Status]]="late","high","low")</f>
        <v>low</v>
      </c>
      <c r="W681" s="1">
        <f>(Table1[[#This Row],[monthly_EMI]]/Table1[[#This Row],[monthly_income]])*100</f>
        <v>30</v>
      </c>
      <c r="X681" s="7">
        <v>19553.740000000002</v>
      </c>
    </row>
    <row r="682" spans="1:24" x14ac:dyDescent="0.25">
      <c r="A682" s="1" t="s">
        <v>73</v>
      </c>
      <c r="B682" s="2" t="s">
        <v>762</v>
      </c>
      <c r="C682" s="5">
        <v>34</v>
      </c>
      <c r="D682" s="1" t="s">
        <v>26</v>
      </c>
      <c r="E682" s="1" t="s">
        <v>27</v>
      </c>
      <c r="F682" s="1" t="s">
        <v>51</v>
      </c>
      <c r="G682" s="1">
        <f>YEAR(Table1[[#This Row],[Application_Date]])</f>
        <v>2026</v>
      </c>
      <c r="H682" s="1" t="str">
        <f>TEXT(Table1[[#This Row],[EMI_payment_date]],"mmmm")</f>
        <v>March</v>
      </c>
      <c r="I682" s="3">
        <v>46062</v>
      </c>
      <c r="J682" s="3">
        <f>EDATE(Table1[[#This Row],[Application_Date]],1)</f>
        <v>46090</v>
      </c>
      <c r="K682" s="9">
        <v>1128000</v>
      </c>
      <c r="L682" s="9">
        <f>Table1[[#This Row],[Annual_Income]]/12</f>
        <v>94000</v>
      </c>
      <c r="M682" s="9">
        <v>1328000</v>
      </c>
      <c r="N682" s="5">
        <f ca="1">DATEDIF(Table1[[#This Row],[EMI_payment_date]],TODAY(),"m")</f>
        <v>4</v>
      </c>
      <c r="O682" s="9">
        <f>5*Table1[[#This Row],[monthly_EMI]]</f>
        <v>141000</v>
      </c>
      <c r="P682" s="1">
        <v>7.57</v>
      </c>
      <c r="Q682" s="9">
        <f>Table1[[#This Row],[monthly_income]]*30%</f>
        <v>28200</v>
      </c>
      <c r="R682" s="1">
        <f>ROUNDUP(NPER(P682/100/12,-Q682,Table1[[#This Row],[Loan_Amount]]),0)</f>
        <v>57</v>
      </c>
      <c r="S682" s="1">
        <v>764</v>
      </c>
      <c r="T682" s="1" t="s">
        <v>37</v>
      </c>
      <c r="U682" s="1" t="str">
        <f>IF(Table1[[#This Row],[Repayment_Status]]="late","bad loan","good loan")</f>
        <v>bad loan</v>
      </c>
      <c r="V682" s="1" t="str">
        <f>IF(Table1[[#This Row],[Repayment_Status]]="late","high","low")</f>
        <v>high</v>
      </c>
      <c r="W682" s="1">
        <f>(Table1[[#This Row],[monthly_EMI]]/Table1[[#This Row],[monthly_income]])*100</f>
        <v>30</v>
      </c>
      <c r="X682" s="7">
        <v>14814.84</v>
      </c>
    </row>
    <row r="683" spans="1:24" x14ac:dyDescent="0.25">
      <c r="A683" s="1" t="s">
        <v>649</v>
      </c>
      <c r="B683" s="2" t="s">
        <v>814</v>
      </c>
      <c r="C683" s="5">
        <v>29</v>
      </c>
      <c r="D683" s="1" t="s">
        <v>26</v>
      </c>
      <c r="E683" s="1" t="s">
        <v>27</v>
      </c>
      <c r="F683" s="1" t="s">
        <v>19</v>
      </c>
      <c r="G683" s="1">
        <f>YEAR(Table1[[#This Row],[Application_Date]])</f>
        <v>2026</v>
      </c>
      <c r="H683" s="1" t="str">
        <f>TEXT(Table1[[#This Row],[EMI_payment_date]],"mmmm")</f>
        <v>March</v>
      </c>
      <c r="I683" s="3">
        <v>46063</v>
      </c>
      <c r="J683" s="3">
        <f>EDATE(Table1[[#This Row],[Application_Date]],1)</f>
        <v>46091</v>
      </c>
      <c r="K683" s="9">
        <v>8052000</v>
      </c>
      <c r="L683" s="9">
        <f>Table1[[#This Row],[Annual_Income]]/12</f>
        <v>671000</v>
      </c>
      <c r="M683" s="9">
        <v>8252000</v>
      </c>
      <c r="N683" s="5">
        <f ca="1">DATEDIF(Table1[[#This Row],[EMI_payment_date]],TODAY(),"m")</f>
        <v>4</v>
      </c>
      <c r="O683" s="9">
        <f>5*Table1[[#This Row],[monthly_EMI]]</f>
        <v>1006500</v>
      </c>
      <c r="P683" s="1">
        <v>7.83</v>
      </c>
      <c r="Q683" s="9">
        <f>Table1[[#This Row],[monthly_income]]*30%</f>
        <v>201300</v>
      </c>
      <c r="R683" s="1">
        <f>ROUNDUP(NPER(P683/100/12,-Q683,Table1[[#This Row],[Loan_Amount]]),0)</f>
        <v>48</v>
      </c>
      <c r="S683" s="1">
        <v>723</v>
      </c>
      <c r="T683" s="1" t="s">
        <v>20</v>
      </c>
      <c r="U683" s="1" t="str">
        <f>IF(Table1[[#This Row],[Repayment_Status]]="late","bad loan","good loan")</f>
        <v>good loan</v>
      </c>
      <c r="V683" s="1" t="str">
        <f>IF(Table1[[#This Row],[Repayment_Status]]="late","high","low")</f>
        <v>low</v>
      </c>
      <c r="W683" s="1">
        <f>(Table1[[#This Row],[monthly_EMI]]/Table1[[#This Row],[monthly_income]])*100</f>
        <v>30</v>
      </c>
      <c r="X683" s="7">
        <v>21828.55</v>
      </c>
    </row>
    <row r="684" spans="1:24" x14ac:dyDescent="0.25">
      <c r="A684" s="1" t="s">
        <v>678</v>
      </c>
      <c r="B684" s="2" t="s">
        <v>785</v>
      </c>
      <c r="C684" s="5">
        <v>30</v>
      </c>
      <c r="D684" s="1" t="s">
        <v>26</v>
      </c>
      <c r="E684" s="1" t="s">
        <v>27</v>
      </c>
      <c r="F684" s="1" t="s">
        <v>17</v>
      </c>
      <c r="G684" s="1">
        <f>YEAR(Table1[[#This Row],[Application_Date]])</f>
        <v>2026</v>
      </c>
      <c r="H684" s="1" t="str">
        <f>TEXT(Table1[[#This Row],[EMI_payment_date]],"mmmm")</f>
        <v>March</v>
      </c>
      <c r="I684" s="3">
        <v>46064</v>
      </c>
      <c r="J684" s="3">
        <f>EDATE(Table1[[#This Row],[Application_Date]],1)</f>
        <v>46092</v>
      </c>
      <c r="K684" s="9">
        <v>8400000</v>
      </c>
      <c r="L684" s="9">
        <f>Table1[[#This Row],[Annual_Income]]/12</f>
        <v>700000</v>
      </c>
      <c r="M684" s="9">
        <v>8600000</v>
      </c>
      <c r="N684" s="5">
        <f ca="1">DATEDIF(Table1[[#This Row],[EMI_payment_date]],TODAY(),"m")</f>
        <v>4</v>
      </c>
      <c r="O684" s="9">
        <f>5*Table1[[#This Row],[monthly_EMI]]</f>
        <v>1050000</v>
      </c>
      <c r="P684" s="1">
        <v>9.17</v>
      </c>
      <c r="Q684" s="9">
        <f>Table1[[#This Row],[monthly_income]]*30%</f>
        <v>210000</v>
      </c>
      <c r="R684" s="1">
        <f>ROUNDUP(NPER(P684/100/12,-Q684,Table1[[#This Row],[Loan_Amount]]),0)</f>
        <v>50</v>
      </c>
      <c r="S684" s="1">
        <v>803</v>
      </c>
      <c r="T684" s="1" t="s">
        <v>20</v>
      </c>
      <c r="U684" s="1" t="str">
        <f>IF(Table1[[#This Row],[Repayment_Status]]="late","bad loan","good loan")</f>
        <v>good loan</v>
      </c>
      <c r="V684" s="1" t="str">
        <f>IF(Table1[[#This Row],[Repayment_Status]]="late","high","low")</f>
        <v>low</v>
      </c>
      <c r="W684" s="1">
        <f>(Table1[[#This Row],[monthly_EMI]]/Table1[[#This Row],[monthly_income]])*100</f>
        <v>30</v>
      </c>
      <c r="X684" s="7">
        <v>31043.22</v>
      </c>
    </row>
    <row r="685" spans="1:24" x14ac:dyDescent="0.25">
      <c r="A685" s="1" t="s">
        <v>229</v>
      </c>
      <c r="B685" s="2" t="s">
        <v>862</v>
      </c>
      <c r="C685" s="5">
        <v>60</v>
      </c>
      <c r="D685" s="1" t="s">
        <v>26</v>
      </c>
      <c r="E685" s="1" t="s">
        <v>36</v>
      </c>
      <c r="F685" s="1" t="s">
        <v>19</v>
      </c>
      <c r="G685" s="1">
        <f>YEAR(Table1[[#This Row],[Application_Date]])</f>
        <v>2026</v>
      </c>
      <c r="H685" s="1" t="str">
        <f>TEXT(Table1[[#This Row],[EMI_payment_date]],"mmmm")</f>
        <v>March</v>
      </c>
      <c r="I685" s="3">
        <v>46065</v>
      </c>
      <c r="J685" s="3">
        <f>EDATE(Table1[[#This Row],[Application_Date]],1)</f>
        <v>46093</v>
      </c>
      <c r="K685" s="9">
        <v>3012000</v>
      </c>
      <c r="L685" s="9">
        <f>Table1[[#This Row],[Annual_Income]]/12</f>
        <v>251000</v>
      </c>
      <c r="M685" s="9">
        <v>3212000</v>
      </c>
      <c r="N685" s="5">
        <f ca="1">DATEDIF(Table1[[#This Row],[EMI_payment_date]],TODAY(),"m")</f>
        <v>4</v>
      </c>
      <c r="O685" s="9">
        <f>5*Table1[[#This Row],[monthly_EMI]]</f>
        <v>376500</v>
      </c>
      <c r="P685" s="1">
        <v>8.39</v>
      </c>
      <c r="Q685" s="9">
        <f>Table1[[#This Row],[monthly_income]]*30%</f>
        <v>75300</v>
      </c>
      <c r="R685" s="1">
        <f>ROUNDUP(NPER(P685/100/12,-Q685,Table1[[#This Row],[Loan_Amount]]),0)</f>
        <v>51</v>
      </c>
      <c r="S685" s="1">
        <v>703</v>
      </c>
      <c r="T685" s="1" t="s">
        <v>20</v>
      </c>
      <c r="U685" s="1" t="str">
        <f>IF(Table1[[#This Row],[Repayment_Status]]="late","bad loan","good loan")</f>
        <v>good loan</v>
      </c>
      <c r="V685" s="1" t="str">
        <f>IF(Table1[[#This Row],[Repayment_Status]]="late","high","low")</f>
        <v>low</v>
      </c>
      <c r="W685" s="1">
        <f>(Table1[[#This Row],[monthly_EMI]]/Table1[[#This Row],[monthly_income]])*100</f>
        <v>30</v>
      </c>
      <c r="X685" s="7">
        <v>15984.95</v>
      </c>
    </row>
    <row r="686" spans="1:24" x14ac:dyDescent="0.25">
      <c r="A686" s="1" t="s">
        <v>191</v>
      </c>
      <c r="B686" s="2" t="s">
        <v>766</v>
      </c>
      <c r="C686" s="5">
        <v>38</v>
      </c>
      <c r="D686" s="1" t="s">
        <v>15</v>
      </c>
      <c r="E686" s="1" t="s">
        <v>16</v>
      </c>
      <c r="F686" s="1" t="s">
        <v>19</v>
      </c>
      <c r="G686" s="1">
        <f>YEAR(Table1[[#This Row],[Application_Date]])</f>
        <v>2026</v>
      </c>
      <c r="H686" s="1" t="str">
        <f>TEXT(Table1[[#This Row],[EMI_payment_date]],"mmmm")</f>
        <v>March</v>
      </c>
      <c r="I686" s="3">
        <v>46066</v>
      </c>
      <c r="J686" s="3">
        <f>EDATE(Table1[[#This Row],[Application_Date]],1)</f>
        <v>46094</v>
      </c>
      <c r="K686" s="9">
        <v>2556000</v>
      </c>
      <c r="L686" s="9">
        <f>Table1[[#This Row],[Annual_Income]]/12</f>
        <v>213000</v>
      </c>
      <c r="M686" s="9">
        <v>2756000</v>
      </c>
      <c r="N686" s="5">
        <f ca="1">DATEDIF(Table1[[#This Row],[EMI_payment_date]],TODAY(),"m")</f>
        <v>4</v>
      </c>
      <c r="O686" s="9">
        <f>5*Table1[[#This Row],[monthly_EMI]]</f>
        <v>319500</v>
      </c>
      <c r="P686" s="1">
        <v>7.62</v>
      </c>
      <c r="Q686" s="9">
        <f>Table1[[#This Row],[monthly_income]]*30%</f>
        <v>63900</v>
      </c>
      <c r="R686" s="1">
        <f>ROUNDUP(NPER(P686/100/12,-Q686,Table1[[#This Row],[Loan_Amount]]),0)</f>
        <v>51</v>
      </c>
      <c r="S686" s="1">
        <v>790</v>
      </c>
      <c r="T686" s="1" t="s">
        <v>20</v>
      </c>
      <c r="U686" s="1" t="str">
        <f>IF(Table1[[#This Row],[Repayment_Status]]="late","bad loan","good loan")</f>
        <v>good loan</v>
      </c>
      <c r="V686" s="1" t="str">
        <f>IF(Table1[[#This Row],[Repayment_Status]]="late","high","low")</f>
        <v>low</v>
      </c>
      <c r="W686" s="1">
        <f>(Table1[[#This Row],[monthly_EMI]]/Table1[[#This Row],[monthly_income]])*100</f>
        <v>30</v>
      </c>
      <c r="X686" s="7">
        <v>25522.2</v>
      </c>
    </row>
    <row r="687" spans="1:24" x14ac:dyDescent="0.25">
      <c r="A687" s="1" t="s">
        <v>239</v>
      </c>
      <c r="B687" s="2" t="s">
        <v>745</v>
      </c>
      <c r="C687" s="5">
        <v>26</v>
      </c>
      <c r="D687" s="1" t="s">
        <v>26</v>
      </c>
      <c r="E687" s="1" t="s">
        <v>33</v>
      </c>
      <c r="F687" s="1" t="s">
        <v>19</v>
      </c>
      <c r="G687" s="1">
        <f>YEAR(Table1[[#This Row],[Application_Date]])</f>
        <v>2026</v>
      </c>
      <c r="H687" s="1" t="str">
        <f>TEXT(Table1[[#This Row],[EMI_payment_date]],"mmmm")</f>
        <v>March</v>
      </c>
      <c r="I687" s="3">
        <v>46067</v>
      </c>
      <c r="J687" s="3">
        <f>EDATE(Table1[[#This Row],[Application_Date]],1)</f>
        <v>46095</v>
      </c>
      <c r="K687" s="9">
        <v>3132000</v>
      </c>
      <c r="L687" s="9">
        <f>Table1[[#This Row],[Annual_Income]]/12</f>
        <v>261000</v>
      </c>
      <c r="M687" s="9">
        <v>3332000</v>
      </c>
      <c r="N687" s="5">
        <f ca="1">DATEDIF(Table1[[#This Row],[EMI_payment_date]],TODAY(),"m")</f>
        <v>4</v>
      </c>
      <c r="O687" s="9">
        <f>5*Table1[[#This Row],[monthly_EMI]]</f>
        <v>391500</v>
      </c>
      <c r="P687" s="1">
        <v>5.24</v>
      </c>
      <c r="Q687" s="9">
        <f>Table1[[#This Row],[monthly_income]]*30%</f>
        <v>78300</v>
      </c>
      <c r="R687" s="1">
        <f>ROUNDUP(NPER(P687/100/12,-Q687,Table1[[#This Row],[Loan_Amount]]),0)</f>
        <v>48</v>
      </c>
      <c r="S687" s="1">
        <v>667</v>
      </c>
      <c r="T687" s="1" t="s">
        <v>20</v>
      </c>
      <c r="U687" s="1" t="str">
        <f>IF(Table1[[#This Row],[Repayment_Status]]="late","bad loan","good loan")</f>
        <v>good loan</v>
      </c>
      <c r="V687" s="1" t="str">
        <f>IF(Table1[[#This Row],[Repayment_Status]]="late","high","low")</f>
        <v>low</v>
      </c>
      <c r="W687" s="1">
        <f>(Table1[[#This Row],[monthly_EMI]]/Table1[[#This Row],[monthly_income]])*100</f>
        <v>30</v>
      </c>
      <c r="X687" s="7">
        <v>21118.17</v>
      </c>
    </row>
    <row r="688" spans="1:24" x14ac:dyDescent="0.25">
      <c r="A688" s="1" t="s">
        <v>405</v>
      </c>
      <c r="B688" s="2" t="s">
        <v>881</v>
      </c>
      <c r="C688" s="5">
        <v>59</v>
      </c>
      <c r="D688" s="1" t="s">
        <v>15</v>
      </c>
      <c r="E688" s="1" t="s">
        <v>29</v>
      </c>
      <c r="F688" s="1" t="s">
        <v>17</v>
      </c>
      <c r="G688" s="1">
        <f>YEAR(Table1[[#This Row],[Application_Date]])</f>
        <v>2026</v>
      </c>
      <c r="H688" s="1" t="str">
        <f>TEXT(Table1[[#This Row],[EMI_payment_date]],"mmmm")</f>
        <v>March</v>
      </c>
      <c r="I688" s="3">
        <v>46068</v>
      </c>
      <c r="J688" s="3">
        <f>EDATE(Table1[[#This Row],[Application_Date]],1)</f>
        <v>46096</v>
      </c>
      <c r="K688" s="9">
        <v>5124000</v>
      </c>
      <c r="L688" s="9">
        <f>Table1[[#This Row],[Annual_Income]]/12</f>
        <v>427000</v>
      </c>
      <c r="M688" s="9">
        <v>5324000</v>
      </c>
      <c r="N688" s="5">
        <f ca="1">DATEDIF(Table1[[#This Row],[EMI_payment_date]],TODAY(),"m")</f>
        <v>4</v>
      </c>
      <c r="O688" s="9">
        <f>5*Table1[[#This Row],[monthly_EMI]]</f>
        <v>640500</v>
      </c>
      <c r="P688" s="1">
        <v>9.1199999999999992</v>
      </c>
      <c r="Q688" s="9">
        <f>Table1[[#This Row],[monthly_income]]*30%</f>
        <v>128100</v>
      </c>
      <c r="R688" s="1">
        <f>ROUNDUP(NPER(P688/100/12,-Q688,Table1[[#This Row],[Loan_Amount]]),0)</f>
        <v>51</v>
      </c>
      <c r="S688" s="1">
        <v>778</v>
      </c>
      <c r="T688" s="1" t="s">
        <v>20</v>
      </c>
      <c r="U688" s="1" t="str">
        <f>IF(Table1[[#This Row],[Repayment_Status]]="late","bad loan","good loan")</f>
        <v>good loan</v>
      </c>
      <c r="V688" s="1" t="str">
        <f>IF(Table1[[#This Row],[Repayment_Status]]="late","high","low")</f>
        <v>low</v>
      </c>
      <c r="W688" s="1">
        <f>(Table1[[#This Row],[monthly_EMI]]/Table1[[#This Row],[monthly_income]])*100</f>
        <v>30</v>
      </c>
      <c r="X688" s="7">
        <v>32173.040000000001</v>
      </c>
    </row>
    <row r="689" spans="1:24" x14ac:dyDescent="0.25">
      <c r="A689" s="1" t="s">
        <v>603</v>
      </c>
      <c r="B689" s="2" t="s">
        <v>892</v>
      </c>
      <c r="C689" s="5">
        <v>58</v>
      </c>
      <c r="D689" s="1" t="s">
        <v>26</v>
      </c>
      <c r="E689" s="1" t="s">
        <v>33</v>
      </c>
      <c r="F689" s="1" t="s">
        <v>22</v>
      </c>
      <c r="G689" s="1">
        <f>YEAR(Table1[[#This Row],[Application_Date]])</f>
        <v>2026</v>
      </c>
      <c r="H689" s="1" t="str">
        <f>TEXT(Table1[[#This Row],[EMI_payment_date]],"mmmm")</f>
        <v>March</v>
      </c>
      <c r="I689" s="3">
        <v>46069</v>
      </c>
      <c r="J689" s="3">
        <f>EDATE(Table1[[#This Row],[Application_Date]],1)</f>
        <v>46097</v>
      </c>
      <c r="K689" s="9">
        <v>7500000</v>
      </c>
      <c r="L689" s="9">
        <f>Table1[[#This Row],[Annual_Income]]/12</f>
        <v>625000</v>
      </c>
      <c r="M689" s="9">
        <v>7700000</v>
      </c>
      <c r="N689" s="5">
        <f ca="1">DATEDIF(Table1[[#This Row],[EMI_payment_date]],TODAY(),"m")</f>
        <v>4</v>
      </c>
      <c r="O689" s="9">
        <f>5*Table1[[#This Row],[monthly_EMI]]</f>
        <v>937500</v>
      </c>
      <c r="P689" s="1">
        <v>7.62</v>
      </c>
      <c r="Q689" s="9">
        <f>Table1[[#This Row],[monthly_income]]*30%</f>
        <v>187500</v>
      </c>
      <c r="R689" s="1">
        <f>ROUNDUP(NPER(P689/100/12,-Q689,Table1[[#This Row],[Loan_Amount]]),0)</f>
        <v>48</v>
      </c>
      <c r="S689" s="1">
        <v>671</v>
      </c>
      <c r="T689" s="1" t="s">
        <v>37</v>
      </c>
      <c r="U689" s="1" t="str">
        <f>IF(Table1[[#This Row],[Repayment_Status]]="late","bad loan","good loan")</f>
        <v>bad loan</v>
      </c>
      <c r="V689" s="1" t="str">
        <f>IF(Table1[[#This Row],[Repayment_Status]]="late","high","low")</f>
        <v>high</v>
      </c>
      <c r="W689" s="1">
        <f>(Table1[[#This Row],[monthly_EMI]]/Table1[[#This Row],[monthly_income]])*100</f>
        <v>30</v>
      </c>
      <c r="X689" s="7">
        <v>28403.05</v>
      </c>
    </row>
    <row r="690" spans="1:24" x14ac:dyDescent="0.25">
      <c r="A690" s="1" t="s">
        <v>392</v>
      </c>
      <c r="B690" s="2" t="s">
        <v>754</v>
      </c>
      <c r="C690" s="5">
        <v>32</v>
      </c>
      <c r="D690" s="1" t="s">
        <v>26</v>
      </c>
      <c r="E690" s="1" t="s">
        <v>33</v>
      </c>
      <c r="F690" s="1" t="s">
        <v>19</v>
      </c>
      <c r="G690" s="1">
        <f>YEAR(Table1[[#This Row],[Application_Date]])</f>
        <v>2026</v>
      </c>
      <c r="H690" s="1" t="str">
        <f>TEXT(Table1[[#This Row],[EMI_payment_date]],"mmmm")</f>
        <v>March</v>
      </c>
      <c r="I690" s="3">
        <v>46070</v>
      </c>
      <c r="J690" s="3">
        <f>EDATE(Table1[[#This Row],[Application_Date]],1)</f>
        <v>46098</v>
      </c>
      <c r="K690" s="9">
        <v>4968000</v>
      </c>
      <c r="L690" s="9">
        <f>Table1[[#This Row],[Annual_Income]]/12</f>
        <v>414000</v>
      </c>
      <c r="M690" s="9">
        <v>5168000</v>
      </c>
      <c r="N690" s="5">
        <f ca="1">DATEDIF(Table1[[#This Row],[EMI_payment_date]],TODAY(),"m")</f>
        <v>4</v>
      </c>
      <c r="O690" s="9">
        <f>5*Table1[[#This Row],[monthly_EMI]]</f>
        <v>621000</v>
      </c>
      <c r="P690" s="1">
        <v>5.7</v>
      </c>
      <c r="Q690" s="9">
        <f>Table1[[#This Row],[monthly_income]]*30%</f>
        <v>124200</v>
      </c>
      <c r="R690" s="1">
        <f>ROUNDUP(NPER(P690/100/12,-Q690,Table1[[#This Row],[Loan_Amount]]),0)</f>
        <v>47</v>
      </c>
      <c r="S690" s="1">
        <v>643</v>
      </c>
      <c r="T690" s="1" t="s">
        <v>37</v>
      </c>
      <c r="U690" s="1" t="str">
        <f>IF(Table1[[#This Row],[Repayment_Status]]="late","bad loan","good loan")</f>
        <v>bad loan</v>
      </c>
      <c r="V690" s="1" t="str">
        <f>IF(Table1[[#This Row],[Repayment_Status]]="late","high","low")</f>
        <v>high</v>
      </c>
      <c r="W690" s="1">
        <f>(Table1[[#This Row],[monthly_EMI]]/Table1[[#This Row],[monthly_income]])*100</f>
        <v>30</v>
      </c>
      <c r="X690" s="7">
        <v>24259.52</v>
      </c>
    </row>
    <row r="691" spans="1:24" x14ac:dyDescent="0.25">
      <c r="A691" s="1" t="s">
        <v>324</v>
      </c>
      <c r="B691" s="2" t="s">
        <v>812</v>
      </c>
      <c r="C691" s="5">
        <v>41</v>
      </c>
      <c r="D691" s="1" t="s">
        <v>15</v>
      </c>
      <c r="E691" s="1" t="s">
        <v>36</v>
      </c>
      <c r="F691" s="1" t="s">
        <v>31</v>
      </c>
      <c r="G691" s="1">
        <f>YEAR(Table1[[#This Row],[Application_Date]])</f>
        <v>2026</v>
      </c>
      <c r="H691" s="1" t="str">
        <f>TEXT(Table1[[#This Row],[EMI_payment_date]],"mmmm")</f>
        <v>March</v>
      </c>
      <c r="I691" s="3">
        <v>46071</v>
      </c>
      <c r="J691" s="3">
        <f>EDATE(Table1[[#This Row],[Application_Date]],1)</f>
        <v>46099</v>
      </c>
      <c r="K691" s="9">
        <v>4152000</v>
      </c>
      <c r="L691" s="9">
        <f>Table1[[#This Row],[Annual_Income]]/12</f>
        <v>346000</v>
      </c>
      <c r="M691" s="9">
        <v>4352000</v>
      </c>
      <c r="N691" s="5">
        <f ca="1">DATEDIF(Table1[[#This Row],[EMI_payment_date]],TODAY(),"m")</f>
        <v>4</v>
      </c>
      <c r="O691" s="9">
        <f>5*Table1[[#This Row],[monthly_EMI]]</f>
        <v>519000</v>
      </c>
      <c r="P691" s="1">
        <v>6.99</v>
      </c>
      <c r="Q691" s="9">
        <f>Table1[[#This Row],[monthly_income]]*30%</f>
        <v>103800</v>
      </c>
      <c r="R691" s="1">
        <f>ROUNDUP(NPER(P691/100/12,-Q691,Table1[[#This Row],[Loan_Amount]]),0)</f>
        <v>49</v>
      </c>
      <c r="S691" s="1">
        <v>713</v>
      </c>
      <c r="T691" s="1" t="s">
        <v>20</v>
      </c>
      <c r="U691" s="1" t="str">
        <f>IF(Table1[[#This Row],[Repayment_Status]]="late","bad loan","good loan")</f>
        <v>good loan</v>
      </c>
      <c r="V691" s="1" t="str">
        <f>IF(Table1[[#This Row],[Repayment_Status]]="late","high","low")</f>
        <v>low</v>
      </c>
      <c r="W691" s="1">
        <f>(Table1[[#This Row],[monthly_EMI]]/Table1[[#This Row],[monthly_income]])*100</f>
        <v>30</v>
      </c>
      <c r="X691" s="7">
        <v>23424.06</v>
      </c>
    </row>
    <row r="692" spans="1:24" x14ac:dyDescent="0.25">
      <c r="A692" s="1" t="s">
        <v>640</v>
      </c>
      <c r="B692" s="2" t="s">
        <v>824</v>
      </c>
      <c r="C692" s="5">
        <v>29</v>
      </c>
      <c r="D692" s="1" t="s">
        <v>26</v>
      </c>
      <c r="E692" s="1" t="s">
        <v>27</v>
      </c>
      <c r="F692" s="1" t="s">
        <v>17</v>
      </c>
      <c r="G692" s="1">
        <f>YEAR(Table1[[#This Row],[Application_Date]])</f>
        <v>2026</v>
      </c>
      <c r="H692" s="1" t="str">
        <f>TEXT(Table1[[#This Row],[EMI_payment_date]],"mmmm")</f>
        <v>March</v>
      </c>
      <c r="I692" s="3">
        <v>46072</v>
      </c>
      <c r="J692" s="3">
        <f>EDATE(Table1[[#This Row],[Application_Date]],1)</f>
        <v>46100</v>
      </c>
      <c r="K692" s="9">
        <v>7944000</v>
      </c>
      <c r="L692" s="9">
        <f>Table1[[#This Row],[Annual_Income]]/12</f>
        <v>662000</v>
      </c>
      <c r="M692" s="9">
        <v>8144000</v>
      </c>
      <c r="N692" s="5">
        <f ca="1">DATEDIF(Table1[[#This Row],[EMI_payment_date]],TODAY(),"m")</f>
        <v>4</v>
      </c>
      <c r="O692" s="9">
        <f>5*Table1[[#This Row],[monthly_EMI]]</f>
        <v>993000</v>
      </c>
      <c r="P692" s="1">
        <v>9.44</v>
      </c>
      <c r="Q692" s="9">
        <f>Table1[[#This Row],[monthly_income]]*30%</f>
        <v>198600</v>
      </c>
      <c r="R692" s="1">
        <f>ROUNDUP(NPER(P692/100/12,-Q692,Table1[[#This Row],[Loan_Amount]]),0)</f>
        <v>50</v>
      </c>
      <c r="S692" s="1">
        <v>784</v>
      </c>
      <c r="T692" s="1" t="s">
        <v>37</v>
      </c>
      <c r="U692" s="1" t="str">
        <f>IF(Table1[[#This Row],[Repayment_Status]]="late","bad loan","good loan")</f>
        <v>bad loan</v>
      </c>
      <c r="V692" s="1" t="str">
        <f>IF(Table1[[#This Row],[Repayment_Status]]="late","high","low")</f>
        <v>high</v>
      </c>
      <c r="W692" s="1">
        <f>(Table1[[#This Row],[monthly_EMI]]/Table1[[#This Row],[monthly_income]])*100</f>
        <v>30</v>
      </c>
      <c r="X692" s="7">
        <v>22163.86</v>
      </c>
    </row>
    <row r="693" spans="1:24" x14ac:dyDescent="0.25">
      <c r="A693" s="1" t="s">
        <v>222</v>
      </c>
      <c r="B693" s="2" t="s">
        <v>856</v>
      </c>
      <c r="C693" s="5">
        <v>32</v>
      </c>
      <c r="D693" s="1" t="s">
        <v>15</v>
      </c>
      <c r="E693" s="1" t="s">
        <v>24</v>
      </c>
      <c r="F693" s="1" t="s">
        <v>22</v>
      </c>
      <c r="G693" s="1">
        <f>YEAR(Table1[[#This Row],[Application_Date]])</f>
        <v>2026</v>
      </c>
      <c r="H693" s="1" t="str">
        <f>TEXT(Table1[[#This Row],[EMI_payment_date]],"mmmm")</f>
        <v>March</v>
      </c>
      <c r="I693" s="3">
        <v>46073</v>
      </c>
      <c r="J693" s="3">
        <f>EDATE(Table1[[#This Row],[Application_Date]],1)</f>
        <v>46101</v>
      </c>
      <c r="K693" s="9">
        <v>2928000</v>
      </c>
      <c r="L693" s="9">
        <f>Table1[[#This Row],[Annual_Income]]/12</f>
        <v>244000</v>
      </c>
      <c r="M693" s="9">
        <v>3128000</v>
      </c>
      <c r="N693" s="5">
        <f ca="1">DATEDIF(Table1[[#This Row],[EMI_payment_date]],TODAY(),"m")</f>
        <v>4</v>
      </c>
      <c r="O693" s="9">
        <f>5*Table1[[#This Row],[monthly_EMI]]</f>
        <v>366000</v>
      </c>
      <c r="P693" s="1">
        <v>7.6</v>
      </c>
      <c r="Q693" s="9">
        <f>Table1[[#This Row],[monthly_income]]*30%</f>
        <v>73200</v>
      </c>
      <c r="R693" s="1">
        <f>ROUNDUP(NPER(P693/100/12,-Q693,Table1[[#This Row],[Loan_Amount]]),0)</f>
        <v>50</v>
      </c>
      <c r="S693" s="1">
        <v>741</v>
      </c>
      <c r="T693" s="1" t="s">
        <v>20</v>
      </c>
      <c r="U693" s="1" t="str">
        <f>IF(Table1[[#This Row],[Repayment_Status]]="late","bad loan","good loan")</f>
        <v>good loan</v>
      </c>
      <c r="V693" s="1" t="str">
        <f>IF(Table1[[#This Row],[Repayment_Status]]="late","high","low")</f>
        <v>low</v>
      </c>
      <c r="W693" s="1">
        <f>(Table1[[#This Row],[monthly_EMI]]/Table1[[#This Row],[monthly_income]])*100</f>
        <v>30</v>
      </c>
      <c r="X693" s="7">
        <v>24492.87</v>
      </c>
    </row>
    <row r="694" spans="1:24" x14ac:dyDescent="0.25">
      <c r="A694" s="1" t="s">
        <v>352</v>
      </c>
      <c r="B694" s="2" t="s">
        <v>875</v>
      </c>
      <c r="C694" s="5">
        <v>47</v>
      </c>
      <c r="D694" s="1" t="s">
        <v>15</v>
      </c>
      <c r="E694" s="1" t="s">
        <v>29</v>
      </c>
      <c r="F694" s="1" t="s">
        <v>17</v>
      </c>
      <c r="G694" s="1">
        <f>YEAR(Table1[[#This Row],[Application_Date]])</f>
        <v>2026</v>
      </c>
      <c r="H694" s="1" t="str">
        <f>TEXT(Table1[[#This Row],[EMI_payment_date]],"mmmm")</f>
        <v>March</v>
      </c>
      <c r="I694" s="3">
        <v>46074</v>
      </c>
      <c r="J694" s="3">
        <f>EDATE(Table1[[#This Row],[Application_Date]],1)</f>
        <v>46102</v>
      </c>
      <c r="K694" s="9">
        <v>4488000</v>
      </c>
      <c r="L694" s="9">
        <f>Table1[[#This Row],[Annual_Income]]/12</f>
        <v>374000</v>
      </c>
      <c r="M694" s="9">
        <v>4688000</v>
      </c>
      <c r="N694" s="5">
        <f ca="1">DATEDIF(Table1[[#This Row],[EMI_payment_date]],TODAY(),"m")</f>
        <v>4</v>
      </c>
      <c r="O694" s="9">
        <f>5*Table1[[#This Row],[monthly_EMI]]</f>
        <v>561000</v>
      </c>
      <c r="P694" s="1">
        <v>6.77</v>
      </c>
      <c r="Q694" s="9">
        <f>Table1[[#This Row],[monthly_income]]*30%</f>
        <v>112200</v>
      </c>
      <c r="R694" s="1">
        <f>ROUNDUP(NPER(P694/100/12,-Q694,Table1[[#This Row],[Loan_Amount]]),0)</f>
        <v>48</v>
      </c>
      <c r="S694" s="1">
        <v>793</v>
      </c>
      <c r="T694" s="1" t="s">
        <v>37</v>
      </c>
      <c r="U694" s="1" t="str">
        <f>IF(Table1[[#This Row],[Repayment_Status]]="late","bad loan","good loan")</f>
        <v>bad loan</v>
      </c>
      <c r="V694" s="1" t="str">
        <f>IF(Table1[[#This Row],[Repayment_Status]]="late","high","low")</f>
        <v>high</v>
      </c>
      <c r="W694" s="1">
        <f>(Table1[[#This Row],[monthly_EMI]]/Table1[[#This Row],[monthly_income]])*100</f>
        <v>30</v>
      </c>
      <c r="X694" s="7">
        <v>27818.25</v>
      </c>
    </row>
    <row r="695" spans="1:24" x14ac:dyDescent="0.25">
      <c r="A695" s="1" t="s">
        <v>393</v>
      </c>
      <c r="B695" s="2" t="s">
        <v>870</v>
      </c>
      <c r="C695" s="5">
        <v>38</v>
      </c>
      <c r="D695" s="1" t="s">
        <v>15</v>
      </c>
      <c r="E695" s="1" t="s">
        <v>27</v>
      </c>
      <c r="F695" s="1" t="s">
        <v>22</v>
      </c>
      <c r="G695" s="1">
        <f>YEAR(Table1[[#This Row],[Application_Date]])</f>
        <v>2026</v>
      </c>
      <c r="H695" s="1" t="str">
        <f>TEXT(Table1[[#This Row],[EMI_payment_date]],"mmmm")</f>
        <v>March</v>
      </c>
      <c r="I695" s="3">
        <v>46075</v>
      </c>
      <c r="J695" s="3">
        <f>EDATE(Table1[[#This Row],[Application_Date]],1)</f>
        <v>46103</v>
      </c>
      <c r="K695" s="9">
        <v>4980000</v>
      </c>
      <c r="L695" s="9">
        <f>Table1[[#This Row],[Annual_Income]]/12</f>
        <v>415000</v>
      </c>
      <c r="M695" s="9">
        <v>5180000</v>
      </c>
      <c r="N695" s="5">
        <f ca="1">DATEDIF(Table1[[#This Row],[EMI_payment_date]],TODAY(),"m")</f>
        <v>4</v>
      </c>
      <c r="O695" s="9">
        <f>5*Table1[[#This Row],[monthly_EMI]]</f>
        <v>622500</v>
      </c>
      <c r="P695" s="1">
        <v>6.27</v>
      </c>
      <c r="Q695" s="9">
        <f>Table1[[#This Row],[monthly_income]]*30%</f>
        <v>124500</v>
      </c>
      <c r="R695" s="1">
        <f>ROUNDUP(NPER(P695/100/12,-Q695,Table1[[#This Row],[Loan_Amount]]),0)</f>
        <v>48</v>
      </c>
      <c r="S695" s="1">
        <v>781</v>
      </c>
      <c r="T695" s="1" t="s">
        <v>20</v>
      </c>
      <c r="U695" s="1" t="str">
        <f>IF(Table1[[#This Row],[Repayment_Status]]="late","bad loan","good loan")</f>
        <v>good loan</v>
      </c>
      <c r="V695" s="1" t="str">
        <f>IF(Table1[[#This Row],[Repayment_Status]]="late","high","low")</f>
        <v>low</v>
      </c>
      <c r="W695" s="1">
        <f>(Table1[[#This Row],[monthly_EMI]]/Table1[[#This Row],[monthly_income]])*100</f>
        <v>30</v>
      </c>
      <c r="X695" s="7">
        <v>14615.61</v>
      </c>
    </row>
    <row r="696" spans="1:24" x14ac:dyDescent="0.25">
      <c r="A696" s="1" t="s">
        <v>450</v>
      </c>
      <c r="B696" s="2" t="s">
        <v>866</v>
      </c>
      <c r="C696" s="5">
        <v>37</v>
      </c>
      <c r="D696" s="1" t="s">
        <v>26</v>
      </c>
      <c r="E696" s="1" t="s">
        <v>33</v>
      </c>
      <c r="F696" s="1" t="s">
        <v>22</v>
      </c>
      <c r="G696" s="1">
        <f>YEAR(Table1[[#This Row],[Application_Date]])</f>
        <v>2026</v>
      </c>
      <c r="H696" s="1" t="str">
        <f>TEXT(Table1[[#This Row],[EMI_payment_date]],"mmmm")</f>
        <v>March</v>
      </c>
      <c r="I696" s="3">
        <v>46076</v>
      </c>
      <c r="J696" s="3">
        <f>EDATE(Table1[[#This Row],[Application_Date]],1)</f>
        <v>46104</v>
      </c>
      <c r="K696" s="9">
        <v>5664000</v>
      </c>
      <c r="L696" s="9">
        <f>Table1[[#This Row],[Annual_Income]]/12</f>
        <v>472000</v>
      </c>
      <c r="M696" s="9">
        <v>5864000</v>
      </c>
      <c r="N696" s="5">
        <f ca="1">DATEDIF(Table1[[#This Row],[EMI_payment_date]],TODAY(),"m")</f>
        <v>4</v>
      </c>
      <c r="O696" s="9">
        <f>5*Table1[[#This Row],[monthly_EMI]]</f>
        <v>708000</v>
      </c>
      <c r="P696" s="1">
        <v>5.3</v>
      </c>
      <c r="Q696" s="9">
        <f>Table1[[#This Row],[monthly_income]]*30%</f>
        <v>141600</v>
      </c>
      <c r="R696" s="1">
        <f>ROUNDUP(NPER(P696/100/12,-Q696,Table1[[#This Row],[Loan_Amount]]),0)</f>
        <v>46</v>
      </c>
      <c r="S696" s="1">
        <v>708</v>
      </c>
      <c r="T696" s="1" t="s">
        <v>20</v>
      </c>
      <c r="U696" s="1" t="str">
        <f>IF(Table1[[#This Row],[Repayment_Status]]="late","bad loan","good loan")</f>
        <v>good loan</v>
      </c>
      <c r="V696" s="1" t="str">
        <f>IF(Table1[[#This Row],[Repayment_Status]]="late","high","low")</f>
        <v>low</v>
      </c>
      <c r="W696" s="1">
        <f>(Table1[[#This Row],[monthly_EMI]]/Table1[[#This Row],[monthly_income]])*100</f>
        <v>30</v>
      </c>
      <c r="X696" s="7">
        <v>18213.169999999998</v>
      </c>
    </row>
    <row r="697" spans="1:24" x14ac:dyDescent="0.25">
      <c r="A697" s="1" t="s">
        <v>90</v>
      </c>
      <c r="B697" s="2" t="s">
        <v>749</v>
      </c>
      <c r="C697" s="5">
        <v>55</v>
      </c>
      <c r="D697" s="1" t="s">
        <v>26</v>
      </c>
      <c r="E697" s="1" t="s">
        <v>36</v>
      </c>
      <c r="F697" s="1" t="s">
        <v>19</v>
      </c>
      <c r="G697" s="1">
        <f>YEAR(Table1[[#This Row],[Application_Date]])</f>
        <v>2026</v>
      </c>
      <c r="H697" s="1" t="str">
        <f>TEXT(Table1[[#This Row],[EMI_payment_date]],"mmmm")</f>
        <v>March</v>
      </c>
      <c r="I697" s="3">
        <v>46077</v>
      </c>
      <c r="J697" s="3">
        <f>EDATE(Table1[[#This Row],[Application_Date]],1)</f>
        <v>46105</v>
      </c>
      <c r="K697" s="9">
        <v>1332000</v>
      </c>
      <c r="L697" s="9">
        <f>Table1[[#This Row],[Annual_Income]]/12</f>
        <v>111000</v>
      </c>
      <c r="M697" s="9">
        <v>1532000</v>
      </c>
      <c r="N697" s="5">
        <f ca="1">DATEDIF(Table1[[#This Row],[EMI_payment_date]],TODAY(),"m")</f>
        <v>4</v>
      </c>
      <c r="O697" s="9">
        <f>5*Table1[[#This Row],[monthly_EMI]]</f>
        <v>166500</v>
      </c>
      <c r="P697" s="1">
        <v>7.2</v>
      </c>
      <c r="Q697" s="9">
        <f>Table1[[#This Row],[monthly_income]]*30%</f>
        <v>33300</v>
      </c>
      <c r="R697" s="1">
        <f>ROUNDUP(NPER(P697/100/12,-Q697,Table1[[#This Row],[Loan_Amount]]),0)</f>
        <v>54</v>
      </c>
      <c r="S697" s="1">
        <v>802</v>
      </c>
      <c r="T697" s="1" t="s">
        <v>37</v>
      </c>
      <c r="U697" s="1" t="str">
        <f>IF(Table1[[#This Row],[Repayment_Status]]="late","bad loan","good loan")</f>
        <v>bad loan</v>
      </c>
      <c r="V697" s="1" t="str">
        <f>IF(Table1[[#This Row],[Repayment_Status]]="late","high","low")</f>
        <v>high</v>
      </c>
      <c r="W697" s="1">
        <f>(Table1[[#This Row],[monthly_EMI]]/Table1[[#This Row],[monthly_income]])*100</f>
        <v>30</v>
      </c>
      <c r="X697" s="7">
        <v>15147.07</v>
      </c>
    </row>
    <row r="698" spans="1:24" x14ac:dyDescent="0.25">
      <c r="A698" s="1" t="s">
        <v>181</v>
      </c>
      <c r="B698" s="2" t="s">
        <v>785</v>
      </c>
      <c r="C698" s="5">
        <v>32</v>
      </c>
      <c r="D698" s="1" t="s">
        <v>15</v>
      </c>
      <c r="E698" s="1" t="s">
        <v>16</v>
      </c>
      <c r="F698" s="1" t="s">
        <v>19</v>
      </c>
      <c r="G698" s="1">
        <f>YEAR(Table1[[#This Row],[Application_Date]])</f>
        <v>2026</v>
      </c>
      <c r="H698" s="1" t="str">
        <f>TEXT(Table1[[#This Row],[EMI_payment_date]],"mmmm")</f>
        <v>March</v>
      </c>
      <c r="I698" s="3">
        <v>46078</v>
      </c>
      <c r="J698" s="3">
        <f>EDATE(Table1[[#This Row],[Application_Date]],1)</f>
        <v>46106</v>
      </c>
      <c r="K698" s="9">
        <v>2436000</v>
      </c>
      <c r="L698" s="9">
        <f>Table1[[#This Row],[Annual_Income]]/12</f>
        <v>203000</v>
      </c>
      <c r="M698" s="9">
        <v>2636000</v>
      </c>
      <c r="N698" s="5">
        <f ca="1">DATEDIF(Table1[[#This Row],[EMI_payment_date]],TODAY(),"m")</f>
        <v>4</v>
      </c>
      <c r="O698" s="9">
        <f>5*Table1[[#This Row],[monthly_EMI]]</f>
        <v>304500</v>
      </c>
      <c r="P698" s="1">
        <v>5.63</v>
      </c>
      <c r="Q698" s="9">
        <f>Table1[[#This Row],[monthly_income]]*30%</f>
        <v>60900</v>
      </c>
      <c r="R698" s="1">
        <f>ROUNDUP(NPER(P698/100/12,-Q698,Table1[[#This Row],[Loan_Amount]]),0)</f>
        <v>49</v>
      </c>
      <c r="S698" s="1">
        <v>759</v>
      </c>
      <c r="T698" s="1" t="s">
        <v>20</v>
      </c>
      <c r="U698" s="1" t="str">
        <f>IF(Table1[[#This Row],[Repayment_Status]]="late","bad loan","good loan")</f>
        <v>good loan</v>
      </c>
      <c r="V698" s="1" t="str">
        <f>IF(Table1[[#This Row],[Repayment_Status]]="late","high","low")</f>
        <v>low</v>
      </c>
      <c r="W698" s="1">
        <f>(Table1[[#This Row],[monthly_EMI]]/Table1[[#This Row],[monthly_income]])*100</f>
        <v>30</v>
      </c>
      <c r="X698" s="7">
        <v>4868.8900000000003</v>
      </c>
    </row>
    <row r="699" spans="1:24" x14ac:dyDescent="0.25">
      <c r="A699" s="1" t="s">
        <v>184</v>
      </c>
      <c r="B699" s="2" t="s">
        <v>837</v>
      </c>
      <c r="C699" s="5">
        <v>54</v>
      </c>
      <c r="D699" s="1" t="s">
        <v>26</v>
      </c>
      <c r="E699" s="1" t="s">
        <v>29</v>
      </c>
      <c r="F699" s="1" t="s">
        <v>31</v>
      </c>
      <c r="G699" s="1">
        <f>YEAR(Table1[[#This Row],[Application_Date]])</f>
        <v>2026</v>
      </c>
      <c r="H699" s="1" t="str">
        <f>TEXT(Table1[[#This Row],[EMI_payment_date]],"mmmm")</f>
        <v>March</v>
      </c>
      <c r="I699" s="3">
        <v>46079</v>
      </c>
      <c r="J699" s="3">
        <f>EDATE(Table1[[#This Row],[Application_Date]],1)</f>
        <v>46107</v>
      </c>
      <c r="K699" s="9">
        <v>2472000</v>
      </c>
      <c r="L699" s="9">
        <f>Table1[[#This Row],[Annual_Income]]/12</f>
        <v>206000</v>
      </c>
      <c r="M699" s="9">
        <v>2672000</v>
      </c>
      <c r="N699" s="5">
        <f ca="1">DATEDIF(Table1[[#This Row],[EMI_payment_date]],TODAY(),"m")</f>
        <v>4</v>
      </c>
      <c r="O699" s="9">
        <f>5*Table1[[#This Row],[monthly_EMI]]</f>
        <v>309000</v>
      </c>
      <c r="P699" s="1">
        <v>6.97</v>
      </c>
      <c r="Q699" s="9">
        <f>Table1[[#This Row],[monthly_income]]*30%</f>
        <v>61800</v>
      </c>
      <c r="R699" s="1">
        <f>ROUNDUP(NPER(P699/100/12,-Q699,Table1[[#This Row],[Loan_Amount]]),0)</f>
        <v>50</v>
      </c>
      <c r="S699" s="1">
        <v>725</v>
      </c>
      <c r="T699" s="1" t="s">
        <v>20</v>
      </c>
      <c r="U699" s="1" t="str">
        <f>IF(Table1[[#This Row],[Repayment_Status]]="late","bad loan","good loan")</f>
        <v>good loan</v>
      </c>
      <c r="V699" s="1" t="str">
        <f>IF(Table1[[#This Row],[Repayment_Status]]="late","high","low")</f>
        <v>low</v>
      </c>
      <c r="W699" s="1">
        <f>(Table1[[#This Row],[monthly_EMI]]/Table1[[#This Row],[monthly_income]])*100</f>
        <v>30</v>
      </c>
      <c r="X699" s="7">
        <v>26495.91</v>
      </c>
    </row>
    <row r="700" spans="1:24" x14ac:dyDescent="0.25">
      <c r="A700" s="1" t="s">
        <v>286</v>
      </c>
      <c r="B700" s="2" t="s">
        <v>878</v>
      </c>
      <c r="C700" s="5">
        <v>47</v>
      </c>
      <c r="D700" s="1" t="s">
        <v>15</v>
      </c>
      <c r="E700" s="1" t="s">
        <v>24</v>
      </c>
      <c r="F700" s="1" t="s">
        <v>51</v>
      </c>
      <c r="G700" s="1">
        <f>YEAR(Table1[[#This Row],[Application_Date]])</f>
        <v>2026</v>
      </c>
      <c r="H700" s="1" t="str">
        <f>TEXT(Table1[[#This Row],[EMI_payment_date]],"mmmm")</f>
        <v>March</v>
      </c>
      <c r="I700" s="3">
        <v>46080</v>
      </c>
      <c r="J700" s="3">
        <f>EDATE(Table1[[#This Row],[Application_Date]],1)</f>
        <v>46108</v>
      </c>
      <c r="K700" s="9">
        <v>3696000</v>
      </c>
      <c r="L700" s="9">
        <f>Table1[[#This Row],[Annual_Income]]/12</f>
        <v>308000</v>
      </c>
      <c r="M700" s="9">
        <v>3896000</v>
      </c>
      <c r="N700" s="5">
        <f ca="1">DATEDIF(Table1[[#This Row],[EMI_payment_date]],TODAY(),"m")</f>
        <v>4</v>
      </c>
      <c r="O700" s="9">
        <f>5*Table1[[#This Row],[monthly_EMI]]</f>
        <v>462000</v>
      </c>
      <c r="P700" s="1">
        <v>9.41</v>
      </c>
      <c r="Q700" s="9">
        <f>Table1[[#This Row],[monthly_income]]*30%</f>
        <v>92400</v>
      </c>
      <c r="R700" s="1">
        <f>ROUNDUP(NPER(P700/100/12,-Q700,Table1[[#This Row],[Loan_Amount]]),0)</f>
        <v>52</v>
      </c>
      <c r="S700" s="1">
        <v>806</v>
      </c>
      <c r="T700" s="1" t="s">
        <v>20</v>
      </c>
      <c r="U700" s="1" t="str">
        <f>IF(Table1[[#This Row],[Repayment_Status]]="late","bad loan","good loan")</f>
        <v>good loan</v>
      </c>
      <c r="V700" s="1" t="str">
        <f>IF(Table1[[#This Row],[Repayment_Status]]="late","high","low")</f>
        <v>low</v>
      </c>
      <c r="W700" s="1">
        <f>(Table1[[#This Row],[monthly_EMI]]/Table1[[#This Row],[monthly_income]])*100</f>
        <v>30</v>
      </c>
      <c r="X700" s="7">
        <v>12276.93</v>
      </c>
    </row>
    <row r="701" spans="1:24" x14ac:dyDescent="0.25">
      <c r="A701" s="1" t="s">
        <v>709</v>
      </c>
      <c r="B701" s="2" t="s">
        <v>869</v>
      </c>
      <c r="C701" s="5">
        <v>52</v>
      </c>
      <c r="D701" s="1" t="s">
        <v>26</v>
      </c>
      <c r="E701" s="1" t="s">
        <v>16</v>
      </c>
      <c r="F701" s="1" t="s">
        <v>22</v>
      </c>
      <c r="G701" s="1">
        <f>YEAR(Table1[[#This Row],[Application_Date]])</f>
        <v>2026</v>
      </c>
      <c r="H701" s="1" t="str">
        <f>TEXT(Table1[[#This Row],[EMI_payment_date]],"mmmm")</f>
        <v>March</v>
      </c>
      <c r="I701" s="3">
        <v>46081</v>
      </c>
      <c r="J701" s="3">
        <f>EDATE(Table1[[#This Row],[Application_Date]],1)</f>
        <v>46109</v>
      </c>
      <c r="K701" s="9">
        <v>8772000</v>
      </c>
      <c r="L701" s="9">
        <f>Table1[[#This Row],[Annual_Income]]/12</f>
        <v>731000</v>
      </c>
      <c r="M701" s="9">
        <v>8972000</v>
      </c>
      <c r="N701" s="5">
        <f ca="1">DATEDIF(Table1[[#This Row],[EMI_payment_date]],TODAY(),"m")</f>
        <v>4</v>
      </c>
      <c r="O701" s="9">
        <f>5*Table1[[#This Row],[monthly_EMI]]</f>
        <v>1096500</v>
      </c>
      <c r="P701" s="1">
        <v>6.25</v>
      </c>
      <c r="Q701" s="9">
        <f>Table1[[#This Row],[monthly_income]]*30%</f>
        <v>219300</v>
      </c>
      <c r="R701" s="1">
        <f>ROUNDUP(NPER(P701/100/12,-Q701,Table1[[#This Row],[Loan_Amount]]),0)</f>
        <v>47</v>
      </c>
      <c r="S701" s="1">
        <v>678</v>
      </c>
      <c r="T701" s="1" t="s">
        <v>20</v>
      </c>
      <c r="U701" s="1" t="str">
        <f>IF(Table1[[#This Row],[Repayment_Status]]="late","bad loan","good loan")</f>
        <v>good loan</v>
      </c>
      <c r="V701" s="1" t="str">
        <f>IF(Table1[[#This Row],[Repayment_Status]]="late","high","low")</f>
        <v>low</v>
      </c>
      <c r="W701" s="1">
        <f>(Table1[[#This Row],[monthly_EMI]]/Table1[[#This Row],[monthly_income]])*100</f>
        <v>30</v>
      </c>
      <c r="X701" s="7">
        <v>25313.66</v>
      </c>
    </row>
  </sheetData>
  <mergeCells count="1">
    <mergeCell ref="A1:W1"/>
  </mergeCells>
  <pageMargins left="0.75" right="0.75" top="1" bottom="1" header="0.5" footer="0.5"/>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65FAF-B201-4E19-8FB2-EB7A1BF0D86C}">
  <dimension ref="A1:O26"/>
  <sheetViews>
    <sheetView showGridLines="0" zoomScale="86" zoomScaleNormal="86" workbookViewId="0">
      <selection activeCell="G22" sqref="G22"/>
    </sheetView>
  </sheetViews>
  <sheetFormatPr defaultRowHeight="15" x14ac:dyDescent="0.25"/>
  <cols>
    <col min="1" max="1" width="14" style="18" bestFit="1" customWidth="1"/>
    <col min="2" max="2" width="21.140625" style="18" bestFit="1" customWidth="1"/>
    <col min="3" max="3" width="5.42578125" style="18" customWidth="1"/>
    <col min="4" max="4" width="14" style="18" bestFit="1" customWidth="1"/>
    <col min="5" max="5" width="25.7109375" style="18" bestFit="1" customWidth="1"/>
    <col min="6" max="6" width="10" style="18" bestFit="1" customWidth="1"/>
    <col min="7" max="7" width="7.28515625" style="18" customWidth="1"/>
    <col min="8" max="8" width="14" style="18" bestFit="1" customWidth="1"/>
    <col min="9" max="9" width="16.7109375" style="18" bestFit="1" customWidth="1"/>
    <col min="10" max="10" width="6.5703125" style="18" customWidth="1"/>
    <col min="11" max="11" width="14" style="18" bestFit="1" customWidth="1"/>
    <col min="12" max="12" width="20.28515625" style="18" bestFit="1" customWidth="1"/>
    <col min="13" max="13" width="9.140625" style="18" customWidth="1"/>
    <col min="14" max="14" width="14" style="18" bestFit="1" customWidth="1"/>
    <col min="15" max="15" width="21.140625" style="18" bestFit="1" customWidth="1"/>
    <col min="16" max="45" width="16.85546875" style="18" bestFit="1" customWidth="1"/>
    <col min="46" max="46" width="11.5703125" style="18" bestFit="1" customWidth="1"/>
    <col min="47" max="16384" width="9.140625" style="18"/>
  </cols>
  <sheetData>
    <row r="1" spans="1:15" ht="24.75" customHeight="1" x14ac:dyDescent="0.25">
      <c r="A1" s="41"/>
      <c r="B1" s="41"/>
      <c r="C1" s="41"/>
      <c r="D1" s="41"/>
      <c r="E1" s="41"/>
      <c r="F1" s="41"/>
      <c r="G1" s="41"/>
      <c r="H1" s="41"/>
      <c r="I1" s="41"/>
      <c r="J1" s="41"/>
      <c r="K1" s="41"/>
      <c r="L1" s="41"/>
      <c r="M1" s="41"/>
      <c r="N1" s="41"/>
      <c r="O1" s="41"/>
    </row>
    <row r="2" spans="1:15" ht="18.75" x14ac:dyDescent="0.3">
      <c r="A2" s="27" t="s">
        <v>934</v>
      </c>
      <c r="D2" s="27" t="s">
        <v>941</v>
      </c>
      <c r="H2" s="27" t="s">
        <v>960</v>
      </c>
      <c r="K2" s="27" t="s">
        <v>939</v>
      </c>
      <c r="N2" s="28" t="s">
        <v>950</v>
      </c>
    </row>
    <row r="3" spans="1:15" x14ac:dyDescent="0.25">
      <c r="A3" s="20" t="s">
        <v>935</v>
      </c>
      <c r="B3" s="20"/>
      <c r="D3" s="20" t="s">
        <v>926</v>
      </c>
      <c r="E3" s="20" t="s">
        <v>928</v>
      </c>
      <c r="F3" s="20" t="s">
        <v>927</v>
      </c>
      <c r="G3" s="21"/>
      <c r="H3" s="20" t="s">
        <v>926</v>
      </c>
      <c r="I3" s="20" t="s">
        <v>927</v>
      </c>
      <c r="K3" s="20" t="s">
        <v>926</v>
      </c>
      <c r="L3" s="20" t="s">
        <v>927</v>
      </c>
      <c r="N3" s="20" t="s">
        <v>926</v>
      </c>
      <c r="O3" s="20" t="s">
        <v>951</v>
      </c>
    </row>
    <row r="4" spans="1:15" x14ac:dyDescent="0.25">
      <c r="A4" s="22" t="s">
        <v>927</v>
      </c>
      <c r="B4" s="23">
        <v>699</v>
      </c>
      <c r="D4" s="22" t="s">
        <v>26</v>
      </c>
      <c r="E4" s="24">
        <v>1709408000</v>
      </c>
      <c r="F4" s="23">
        <v>337</v>
      </c>
      <c r="G4" s="21"/>
      <c r="H4" s="22" t="s">
        <v>20</v>
      </c>
      <c r="I4" s="23">
        <v>457</v>
      </c>
      <c r="K4" s="22" t="s">
        <v>29</v>
      </c>
      <c r="L4" s="26">
        <v>119</v>
      </c>
      <c r="N4" s="22" t="s">
        <v>29</v>
      </c>
      <c r="O4" s="24">
        <v>4881075.6302521005</v>
      </c>
    </row>
    <row r="5" spans="1:15" x14ac:dyDescent="0.25">
      <c r="A5" s="22" t="s">
        <v>928</v>
      </c>
      <c r="B5" s="24">
        <v>3494112000</v>
      </c>
      <c r="D5" s="22" t="s">
        <v>15</v>
      </c>
      <c r="E5" s="24">
        <v>1784704000</v>
      </c>
      <c r="F5" s="23">
        <v>362</v>
      </c>
      <c r="G5" s="21"/>
      <c r="H5" s="22" t="s">
        <v>37</v>
      </c>
      <c r="I5" s="23">
        <v>242</v>
      </c>
      <c r="K5" s="22" t="s">
        <v>24</v>
      </c>
      <c r="L5" s="26">
        <v>107</v>
      </c>
      <c r="N5" s="22" t="s">
        <v>24</v>
      </c>
      <c r="O5" s="24">
        <v>4964971.9626168227</v>
      </c>
    </row>
    <row r="6" spans="1:15" x14ac:dyDescent="0.25">
      <c r="A6" s="22" t="s">
        <v>932</v>
      </c>
      <c r="B6" s="30">
        <v>7.5090844062947006</v>
      </c>
      <c r="K6" s="22" t="s">
        <v>33</v>
      </c>
      <c r="L6" s="26">
        <v>136</v>
      </c>
      <c r="N6" s="22" t="s">
        <v>33</v>
      </c>
      <c r="O6" s="24">
        <v>4823735.2941176472</v>
      </c>
    </row>
    <row r="7" spans="1:15" ht="18.75" x14ac:dyDescent="0.3">
      <c r="A7" s="22" t="s">
        <v>931</v>
      </c>
      <c r="B7" s="24">
        <v>1930221.582733813</v>
      </c>
      <c r="D7" s="27" t="s">
        <v>959</v>
      </c>
      <c r="K7" s="22" t="s">
        <v>36</v>
      </c>
      <c r="L7" s="26">
        <v>110</v>
      </c>
      <c r="N7" s="22" t="s">
        <v>36</v>
      </c>
      <c r="O7" s="24">
        <v>4779709.0909090908</v>
      </c>
    </row>
    <row r="8" spans="1:15" ht="18.75" x14ac:dyDescent="0.3">
      <c r="A8" s="22" t="s">
        <v>933</v>
      </c>
      <c r="B8" s="23">
        <v>30</v>
      </c>
      <c r="D8" s="20" t="s">
        <v>927</v>
      </c>
      <c r="E8" s="20" t="s">
        <v>938</v>
      </c>
      <c r="F8" s="20"/>
      <c r="H8" s="27" t="s">
        <v>942</v>
      </c>
      <c r="K8" s="22" t="s">
        <v>16</v>
      </c>
      <c r="L8" s="26">
        <v>116</v>
      </c>
      <c r="N8" s="22" t="s">
        <v>16</v>
      </c>
      <c r="O8" s="24">
        <v>4543344.8275862066</v>
      </c>
    </row>
    <row r="9" spans="1:15" ht="14.25" customHeight="1" x14ac:dyDescent="0.25">
      <c r="A9" s="22" t="s">
        <v>930</v>
      </c>
      <c r="B9" s="24">
        <v>14829044.699999984</v>
      </c>
      <c r="D9" s="20" t="s">
        <v>926</v>
      </c>
      <c r="E9" s="20" t="s">
        <v>936</v>
      </c>
      <c r="F9" s="20" t="s">
        <v>937</v>
      </c>
      <c r="H9" s="20" t="s">
        <v>926</v>
      </c>
      <c r="I9" s="20" t="s">
        <v>927</v>
      </c>
      <c r="K9" s="22" t="s">
        <v>27</v>
      </c>
      <c r="L9" s="26">
        <v>111</v>
      </c>
      <c r="N9" s="22" t="s">
        <v>27</v>
      </c>
      <c r="O9" s="24">
        <v>4805297.297297297</v>
      </c>
    </row>
    <row r="10" spans="1:15" ht="14.25" customHeight="1" x14ac:dyDescent="0.25">
      <c r="D10" s="22" t="s">
        <v>29</v>
      </c>
      <c r="E10" s="23">
        <v>38</v>
      </c>
      <c r="F10" s="23">
        <v>81</v>
      </c>
      <c r="H10" s="22" t="s">
        <v>962</v>
      </c>
      <c r="I10" s="23">
        <v>242</v>
      </c>
      <c r="N10" s="19"/>
    </row>
    <row r="11" spans="1:15" ht="16.5" customHeight="1" x14ac:dyDescent="0.3">
      <c r="A11" s="27" t="s">
        <v>940</v>
      </c>
      <c r="D11" s="22" t="s">
        <v>24</v>
      </c>
      <c r="E11" s="23">
        <v>37</v>
      </c>
      <c r="F11" s="23">
        <v>70</v>
      </c>
      <c r="H11" s="22" t="s">
        <v>963</v>
      </c>
      <c r="I11" s="23">
        <v>457</v>
      </c>
      <c r="K11" s="27" t="s">
        <v>944</v>
      </c>
      <c r="N11" s="27" t="s">
        <v>958</v>
      </c>
    </row>
    <row r="12" spans="1:15" x14ac:dyDescent="0.25">
      <c r="A12" s="20" t="s">
        <v>926</v>
      </c>
      <c r="B12" s="20" t="s">
        <v>928</v>
      </c>
      <c r="D12" s="22" t="s">
        <v>33</v>
      </c>
      <c r="E12" s="23">
        <v>58</v>
      </c>
      <c r="F12" s="23">
        <v>78</v>
      </c>
      <c r="K12" s="20" t="s">
        <v>926</v>
      </c>
      <c r="L12" s="20" t="s">
        <v>932</v>
      </c>
      <c r="N12" s="20" t="s">
        <v>926</v>
      </c>
      <c r="O12" s="20" t="s">
        <v>928</v>
      </c>
    </row>
    <row r="13" spans="1:15" x14ac:dyDescent="0.25">
      <c r="A13" s="22" t="s">
        <v>51</v>
      </c>
      <c r="B13" s="24">
        <v>675944000</v>
      </c>
      <c r="D13" s="22" t="s">
        <v>36</v>
      </c>
      <c r="E13" s="23">
        <v>38</v>
      </c>
      <c r="F13" s="23">
        <v>72</v>
      </c>
      <c r="K13" s="22" t="s">
        <v>51</v>
      </c>
      <c r="L13" s="23">
        <v>7.601397058823526</v>
      </c>
      <c r="N13" s="22" t="s">
        <v>29</v>
      </c>
      <c r="O13" s="24">
        <v>604648000</v>
      </c>
    </row>
    <row r="14" spans="1:15" ht="18.75" x14ac:dyDescent="0.3">
      <c r="A14" s="22" t="s">
        <v>19</v>
      </c>
      <c r="B14" s="24">
        <v>661352000</v>
      </c>
      <c r="D14" s="22" t="s">
        <v>16</v>
      </c>
      <c r="E14" s="23">
        <v>34</v>
      </c>
      <c r="F14" s="23">
        <v>82</v>
      </c>
      <c r="H14" s="27" t="s">
        <v>945</v>
      </c>
      <c r="K14" s="22" t="s">
        <v>19</v>
      </c>
      <c r="L14" s="23">
        <v>7.5224193548387097</v>
      </c>
      <c r="N14" s="22" t="s">
        <v>24</v>
      </c>
      <c r="O14" s="24">
        <v>552652000</v>
      </c>
    </row>
    <row r="15" spans="1:15" x14ac:dyDescent="0.25">
      <c r="A15" s="22" t="s">
        <v>22</v>
      </c>
      <c r="B15" s="24">
        <v>739476000</v>
      </c>
      <c r="D15" s="22" t="s">
        <v>27</v>
      </c>
      <c r="E15" s="23">
        <v>37</v>
      </c>
      <c r="F15" s="23">
        <v>74</v>
      </c>
      <c r="H15" s="20" t="s">
        <v>926</v>
      </c>
      <c r="I15" s="20" t="s">
        <v>930</v>
      </c>
      <c r="K15" s="22" t="s">
        <v>22</v>
      </c>
      <c r="L15" s="23">
        <v>7.5765359477124203</v>
      </c>
      <c r="N15" s="22" t="s">
        <v>33</v>
      </c>
      <c r="O15" s="24">
        <v>683228000</v>
      </c>
    </row>
    <row r="16" spans="1:15" x14ac:dyDescent="0.25">
      <c r="A16" s="22" t="s">
        <v>17</v>
      </c>
      <c r="B16" s="24">
        <v>706604000</v>
      </c>
      <c r="H16" s="22" t="s">
        <v>51</v>
      </c>
      <c r="I16" s="24">
        <v>2862769.2700000023</v>
      </c>
      <c r="K16" s="22" t="s">
        <v>17</v>
      </c>
      <c r="L16" s="23">
        <v>7.4301408450704205</v>
      </c>
      <c r="N16" s="22" t="s">
        <v>36</v>
      </c>
      <c r="O16" s="24">
        <v>547768000</v>
      </c>
    </row>
    <row r="17" spans="1:15" ht="18.75" x14ac:dyDescent="0.3">
      <c r="A17" s="22" t="s">
        <v>31</v>
      </c>
      <c r="B17" s="24">
        <v>710736000</v>
      </c>
      <c r="D17" s="27" t="s">
        <v>949</v>
      </c>
      <c r="H17" s="22" t="s">
        <v>19</v>
      </c>
      <c r="I17" s="24">
        <v>2799302.69</v>
      </c>
      <c r="K17" s="22" t="s">
        <v>31</v>
      </c>
      <c r="L17" s="23">
        <v>7.4165972222222205</v>
      </c>
      <c r="N17" s="22" t="s">
        <v>16</v>
      </c>
      <c r="O17" s="24">
        <v>550228000</v>
      </c>
    </row>
    <row r="18" spans="1:15" x14ac:dyDescent="0.25">
      <c r="D18" s="20" t="s">
        <v>926</v>
      </c>
      <c r="E18" s="20" t="s">
        <v>929</v>
      </c>
      <c r="H18" s="22" t="s">
        <v>22</v>
      </c>
      <c r="I18" s="24">
        <v>3151641.1000000006</v>
      </c>
      <c r="N18" s="22" t="s">
        <v>27</v>
      </c>
      <c r="O18" s="24">
        <v>555588000</v>
      </c>
    </row>
    <row r="19" spans="1:15" ht="18.75" x14ac:dyDescent="0.3">
      <c r="A19" s="27" t="s">
        <v>943</v>
      </c>
      <c r="D19" s="22" t="s">
        <v>51</v>
      </c>
      <c r="E19" s="24">
        <v>268450500</v>
      </c>
      <c r="H19" s="22" t="s">
        <v>17</v>
      </c>
      <c r="I19" s="24">
        <v>3135051.67</v>
      </c>
      <c r="N19" s="25"/>
      <c r="O19" s="25"/>
    </row>
    <row r="20" spans="1:15" ht="18.75" x14ac:dyDescent="0.3">
      <c r="A20" s="20" t="s">
        <v>926</v>
      </c>
      <c r="B20" s="20" t="s">
        <v>930</v>
      </c>
      <c r="D20" s="22" t="s">
        <v>19</v>
      </c>
      <c r="E20" s="24">
        <v>255999300</v>
      </c>
      <c r="H20" s="22" t="s">
        <v>31</v>
      </c>
      <c r="I20" s="24">
        <v>2880279.9700000007</v>
      </c>
      <c r="K20" s="27" t="s">
        <v>947</v>
      </c>
    </row>
    <row r="21" spans="1:15" x14ac:dyDescent="0.25">
      <c r="A21" s="22" t="s">
        <v>29</v>
      </c>
      <c r="B21" s="24">
        <v>2477866.4000000004</v>
      </c>
      <c r="D21" s="22" t="s">
        <v>22</v>
      </c>
      <c r="E21" s="24">
        <v>258431100</v>
      </c>
      <c r="K21" s="20" t="s">
        <v>926</v>
      </c>
      <c r="L21" s="20" t="s">
        <v>948</v>
      </c>
    </row>
    <row r="22" spans="1:15" ht="15.75" x14ac:dyDescent="0.25">
      <c r="A22" s="22" t="s">
        <v>24</v>
      </c>
      <c r="B22" s="24">
        <v>2123362.87</v>
      </c>
      <c r="D22" s="22" t="s">
        <v>17</v>
      </c>
      <c r="E22" s="24">
        <v>280035600</v>
      </c>
      <c r="H22" s="32"/>
      <c r="K22" s="22" t="s">
        <v>51</v>
      </c>
      <c r="L22" s="24">
        <v>16218600</v>
      </c>
    </row>
    <row r="23" spans="1:15" x14ac:dyDescent="0.25">
      <c r="A23" s="22" t="s">
        <v>33</v>
      </c>
      <c r="B23" s="24">
        <v>3050533.48</v>
      </c>
      <c r="D23" s="22" t="s">
        <v>31</v>
      </c>
      <c r="E23" s="24">
        <v>278587500</v>
      </c>
      <c r="H23" s="34"/>
      <c r="I23" s="34"/>
      <c r="K23" s="22" t="s">
        <v>19</v>
      </c>
      <c r="L23" s="24">
        <v>15913800</v>
      </c>
    </row>
    <row r="24" spans="1:15" x14ac:dyDescent="0.25">
      <c r="A24" s="22" t="s">
        <v>36</v>
      </c>
      <c r="B24" s="24">
        <v>2207168.3000000003</v>
      </c>
      <c r="H24" s="35"/>
      <c r="I24" s="36"/>
      <c r="K24" s="22" t="s">
        <v>22</v>
      </c>
      <c r="L24" s="24">
        <v>17721900</v>
      </c>
    </row>
    <row r="25" spans="1:15" ht="18.75" x14ac:dyDescent="0.3">
      <c r="A25" s="22" t="s">
        <v>16</v>
      </c>
      <c r="B25" s="24">
        <v>2573550.9500000011</v>
      </c>
      <c r="D25" s="27"/>
      <c r="H25" s="35"/>
      <c r="I25" s="36"/>
      <c r="K25" s="22" t="s">
        <v>17</v>
      </c>
      <c r="L25" s="24">
        <v>16955100</v>
      </c>
    </row>
    <row r="26" spans="1:15" x14ac:dyDescent="0.25">
      <c r="A26" s="22" t="s">
        <v>27</v>
      </c>
      <c r="B26" s="24">
        <v>2396562.6999999997</v>
      </c>
      <c r="H26" s="35"/>
      <c r="I26" s="36"/>
      <c r="K26" s="22" t="s">
        <v>31</v>
      </c>
      <c r="L26" s="24">
        <v>17048400</v>
      </c>
    </row>
  </sheetData>
  <mergeCells count="1">
    <mergeCell ref="A1:O1"/>
  </mergeCells>
  <pageMargins left="0.7" right="0.7" top="0.75" bottom="0.75" header="0.3" footer="0.3"/>
  <pageSetup orientation="portrait" r:id="rId15"/>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B3F31-4742-4B90-A5A5-63FB163BA3BA}">
  <dimension ref="A1:AD29"/>
  <sheetViews>
    <sheetView zoomScale="70" zoomScaleNormal="70" workbookViewId="0">
      <selection activeCell="AA47" sqref="AA46:AB47"/>
    </sheetView>
  </sheetViews>
  <sheetFormatPr defaultRowHeight="15" x14ac:dyDescent="0.25"/>
  <cols>
    <col min="1" max="6" width="9.140625" style="29"/>
    <col min="7" max="7" width="9.140625" style="29" customWidth="1"/>
    <col min="8" max="16384" width="9.140625" style="29"/>
  </cols>
  <sheetData>
    <row r="1" spans="1:29" ht="12.75" customHeight="1" x14ac:dyDescent="0.25"/>
    <row r="7" spans="1:29" ht="15.75" thickBot="1" x14ac:dyDescent="0.3"/>
    <row r="8" spans="1:29" ht="15" customHeight="1" x14ac:dyDescent="0.25">
      <c r="A8" s="42" t="s">
        <v>953</v>
      </c>
      <c r="B8" s="43"/>
      <c r="C8" s="43"/>
      <c r="D8" s="43"/>
      <c r="E8" s="43"/>
      <c r="F8" s="44"/>
      <c r="G8" s="43" t="s">
        <v>954</v>
      </c>
      <c r="H8" s="43"/>
      <c r="I8" s="43"/>
      <c r="J8" s="43"/>
      <c r="K8" s="43"/>
      <c r="L8" s="44"/>
      <c r="M8" s="42" t="s">
        <v>957</v>
      </c>
      <c r="N8" s="43"/>
      <c r="O8" s="43"/>
      <c r="P8" s="43"/>
      <c r="Q8" s="43"/>
      <c r="R8" s="44"/>
      <c r="S8" s="42" t="s">
        <v>955</v>
      </c>
      <c r="T8" s="43"/>
      <c r="U8" s="43"/>
      <c r="V8" s="43"/>
      <c r="W8" s="44"/>
      <c r="X8" s="42" t="s">
        <v>956</v>
      </c>
      <c r="Y8" s="43"/>
      <c r="Z8" s="43"/>
      <c r="AA8" s="43"/>
      <c r="AB8" s="43"/>
      <c r="AC8" s="44"/>
    </row>
    <row r="9" spans="1:29" ht="15.75" customHeight="1" x14ac:dyDescent="0.25">
      <c r="A9" s="45"/>
      <c r="B9" s="46"/>
      <c r="C9" s="46"/>
      <c r="D9" s="46"/>
      <c r="E9" s="46"/>
      <c r="F9" s="47"/>
      <c r="G9" s="46"/>
      <c r="H9" s="46"/>
      <c r="I9" s="46"/>
      <c r="J9" s="46"/>
      <c r="K9" s="46"/>
      <c r="L9" s="47"/>
      <c r="M9" s="45"/>
      <c r="N9" s="46"/>
      <c r="O9" s="46"/>
      <c r="P9" s="46"/>
      <c r="Q9" s="46"/>
      <c r="R9" s="47"/>
      <c r="S9" s="45"/>
      <c r="T9" s="46"/>
      <c r="U9" s="46"/>
      <c r="V9" s="46"/>
      <c r="W9" s="47"/>
      <c r="X9" s="45"/>
      <c r="Y9" s="46"/>
      <c r="Z9" s="46"/>
      <c r="AA9" s="46"/>
      <c r="AB9" s="46"/>
      <c r="AC9" s="47"/>
    </row>
    <row r="10" spans="1:29" ht="15" customHeight="1" x14ac:dyDescent="0.25">
      <c r="A10" s="60">
        <f>GETPIVOTDATA("Count of Loan_ID",'pivot table'!$A$3)</f>
        <v>699</v>
      </c>
      <c r="B10" s="61"/>
      <c r="C10" s="61"/>
      <c r="D10" s="61"/>
      <c r="E10" s="61"/>
      <c r="F10" s="62"/>
      <c r="G10" s="49">
        <f>GETPIVOTDATA("Sum of Loan_Amount",'pivot table'!$A$3)</f>
        <v>3494112000</v>
      </c>
      <c r="H10" s="49"/>
      <c r="I10" s="49"/>
      <c r="J10" s="49"/>
      <c r="K10" s="49"/>
      <c r="L10" s="50"/>
      <c r="M10" s="60">
        <f>GETPIVOTDATA("Average of Interest_Rate",'pivot table'!$A$3)</f>
        <v>7.5090844062947006</v>
      </c>
      <c r="N10" s="61"/>
      <c r="O10" s="61"/>
      <c r="P10" s="61"/>
      <c r="Q10" s="61"/>
      <c r="R10" s="62"/>
      <c r="S10" s="48">
        <f>GETPIVOTDATA("Average of total_amount_paid",'pivot table'!$A$3)</f>
        <v>1930221.582733813</v>
      </c>
      <c r="T10" s="49"/>
      <c r="U10" s="49"/>
      <c r="V10" s="49"/>
      <c r="W10" s="50"/>
      <c r="X10" s="54">
        <f>GETPIVOTDATA("Sum of Profit",'pivot table'!$A$3)</f>
        <v>14829044.699999984</v>
      </c>
      <c r="Y10" s="55"/>
      <c r="Z10" s="55"/>
      <c r="AA10" s="55"/>
      <c r="AB10" s="55"/>
      <c r="AC10" s="56"/>
    </row>
    <row r="11" spans="1:29" ht="15.75" customHeight="1" thickBot="1" x14ac:dyDescent="0.3">
      <c r="A11" s="63"/>
      <c r="B11" s="64"/>
      <c r="C11" s="64"/>
      <c r="D11" s="64"/>
      <c r="E11" s="64"/>
      <c r="F11" s="65"/>
      <c r="G11" s="52"/>
      <c r="H11" s="52"/>
      <c r="I11" s="52"/>
      <c r="J11" s="52"/>
      <c r="K11" s="52"/>
      <c r="L11" s="53"/>
      <c r="M11" s="63"/>
      <c r="N11" s="64"/>
      <c r="O11" s="64"/>
      <c r="P11" s="64"/>
      <c r="Q11" s="64"/>
      <c r="R11" s="65"/>
      <c r="S11" s="51"/>
      <c r="T11" s="52"/>
      <c r="U11" s="52"/>
      <c r="V11" s="52"/>
      <c r="W11" s="53"/>
      <c r="X11" s="57"/>
      <c r="Y11" s="58"/>
      <c r="Z11" s="58"/>
      <c r="AA11" s="58"/>
      <c r="AB11" s="58"/>
      <c r="AC11" s="59"/>
    </row>
    <row r="12" spans="1:29" ht="3.75" customHeight="1" x14ac:dyDescent="0.25"/>
    <row r="13" spans="1:29" ht="3.75" customHeight="1" x14ac:dyDescent="0.25"/>
    <row r="29" spans="30:30" ht="18.75" x14ac:dyDescent="0.3">
      <c r="AD29" s="31"/>
    </row>
  </sheetData>
  <mergeCells count="10">
    <mergeCell ref="S8:W9"/>
    <mergeCell ref="S10:W11"/>
    <mergeCell ref="X8:AC9"/>
    <mergeCell ref="X10:AC11"/>
    <mergeCell ref="A8:F9"/>
    <mergeCell ref="A10:F11"/>
    <mergeCell ref="G8:L9"/>
    <mergeCell ref="G10:L11"/>
    <mergeCell ref="M8:R9"/>
    <mergeCell ref="M10:R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E0050-8BC3-4FAA-8C44-170249C80596}">
  <dimension ref="A1"/>
  <sheetViews>
    <sheetView showGridLines="0" zoomScale="86" zoomScaleNormal="86" workbookViewId="0"/>
  </sheetViews>
  <sheetFormatPr defaultRowHeight="15" x14ac:dyDescent="0.25"/>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B9F0-FF8F-4939-92F2-CDBCA9974692}">
  <dimension ref="A1:E12"/>
  <sheetViews>
    <sheetView showGridLines="0" tabSelected="1" zoomScale="123" workbookViewId="0">
      <selection activeCell="A13" sqref="A13"/>
    </sheetView>
  </sheetViews>
  <sheetFormatPr defaultRowHeight="15" x14ac:dyDescent="0.25"/>
  <cols>
    <col min="1" max="1" width="54.85546875" bestFit="1" customWidth="1"/>
    <col min="2" max="2" width="103.28515625" bestFit="1" customWidth="1"/>
  </cols>
  <sheetData>
    <row r="1" spans="1:5" ht="15.75" x14ac:dyDescent="0.25">
      <c r="A1" s="67" t="s">
        <v>965</v>
      </c>
      <c r="B1" s="69" t="s">
        <v>967</v>
      </c>
      <c r="C1" s="38"/>
      <c r="D1" s="38"/>
    </row>
    <row r="2" spans="1:5" x14ac:dyDescent="0.25">
      <c r="A2" s="68" t="str">
        <f ca="1">_xlfn.FORMULATEXT(data!J3)</f>
        <v>=EDATE([@[Application_Date]],1)</v>
      </c>
      <c r="B2" s="70" t="s">
        <v>968</v>
      </c>
      <c r="C2" s="37"/>
      <c r="D2" s="37"/>
      <c r="E2" s="37"/>
    </row>
    <row r="3" spans="1:5" x14ac:dyDescent="0.25">
      <c r="A3" s="68" t="str">
        <f ca="1">_xlfn.FORMULATEXT(Table1[[#This Row],[years]])</f>
        <v>=YEAR([@[Application_Date]])</v>
      </c>
      <c r="B3" s="71" t="s">
        <v>978</v>
      </c>
      <c r="C3" s="37"/>
      <c r="D3" s="37"/>
      <c r="E3" s="37"/>
    </row>
    <row r="4" spans="1:5" x14ac:dyDescent="0.25">
      <c r="A4" s="68" t="str">
        <f ca="1">_xlfn.FORMULATEXT(Table1[[#This Row],[months]])</f>
        <v>=TEXT([@[EMI_payment_date]],"mmmm")</v>
      </c>
      <c r="B4" s="70" t="s">
        <v>969</v>
      </c>
      <c r="C4" s="37"/>
      <c r="D4" s="37"/>
      <c r="E4" s="37"/>
    </row>
    <row r="5" spans="1:5" x14ac:dyDescent="0.25">
      <c r="A5" s="68" t="str">
        <f ca="1">_xlfn.FORMULATEXT(data!L3)</f>
        <v>=[@[Annual_Income]]/12</v>
      </c>
      <c r="B5" s="70" t="s">
        <v>970</v>
      </c>
      <c r="C5" s="37"/>
      <c r="D5" s="37"/>
      <c r="E5" s="37"/>
    </row>
    <row r="6" spans="1:5" x14ac:dyDescent="0.25">
      <c r="A6" s="68" t="str">
        <f ca="1">_xlfn.FORMULATEXT(data!Q3)</f>
        <v>=[@[monthly_income]]*30%</v>
      </c>
      <c r="B6" s="70" t="s">
        <v>971</v>
      </c>
      <c r="C6" s="37"/>
      <c r="D6" s="37"/>
      <c r="E6" s="37"/>
    </row>
    <row r="7" spans="1:5" x14ac:dyDescent="0.25">
      <c r="A7" s="68" t="str">
        <f ca="1">_xlfn.FORMULATEXT(data!O3)</f>
        <v>=[@[month_paid]]*[@[monthly_EMI]]</v>
      </c>
      <c r="B7" s="70" t="s">
        <v>972</v>
      </c>
      <c r="C7" s="37"/>
      <c r="D7" s="37"/>
      <c r="E7" s="37"/>
    </row>
    <row r="8" spans="1:5" x14ac:dyDescent="0.25">
      <c r="A8" s="68" t="str">
        <f ca="1">_xlfn.FORMULATEXT(data!N3)</f>
        <v>=DATEDIF([@[EMI_payment_date]],TODAY(),"m")</v>
      </c>
      <c r="B8" s="70" t="s">
        <v>973</v>
      </c>
      <c r="C8" s="37"/>
      <c r="D8" s="37"/>
      <c r="E8" s="37"/>
    </row>
    <row r="9" spans="1:5" x14ac:dyDescent="0.25">
      <c r="A9" s="66" t="str">
        <f ca="1">_xlfn.FORMULATEXT(data!R3)</f>
        <v>=ROUNDUP(NPER(P3/100/12,-Q3,[@[Loan_Amount]]),0)</v>
      </c>
      <c r="B9" s="70" t="s">
        <v>974</v>
      </c>
    </row>
    <row r="10" spans="1:5" x14ac:dyDescent="0.25">
      <c r="A10" s="66" t="str">
        <f ca="1">_xlfn.FORMULATEXT(data!U3)</f>
        <v>=IF([@[Repayment_Status]]="late","bad loan","good loan")</v>
      </c>
      <c r="B10" s="70" t="s">
        <v>975</v>
      </c>
    </row>
    <row r="11" spans="1:5" x14ac:dyDescent="0.25">
      <c r="A11" s="66" t="str">
        <f ca="1">_xlfn.FORMULATEXT(data!V3)</f>
        <v>=IF([@[Repayment_Status]]="late","high","low")</v>
      </c>
      <c r="B11" s="70" t="s">
        <v>976</v>
      </c>
    </row>
    <row r="12" spans="1:5" x14ac:dyDescent="0.25">
      <c r="A12" s="66" t="str">
        <f ca="1">_xlfn.FORMULATEXT(data!W3)</f>
        <v>=([@[monthly_EMI]]/[@[monthly_income]])*100</v>
      </c>
      <c r="B12" s="70" t="s">
        <v>977</v>
      </c>
    </row>
  </sheetData>
  <pageMargins left="0.7" right="0.7" top="0.75" bottom="0.75" header="0.3" footer="0.3"/>
  <pageSetup orientation="portrait" r:id="rId1"/>
  <ignoredErrors>
    <ignoredError sqref="A4"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data</vt:lpstr>
      <vt:lpstr>pivot table</vt:lpstr>
      <vt:lpstr>deshboard</vt:lpstr>
      <vt:lpstr>insights</vt:lpstr>
      <vt:lpstr>formula used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2026-07-06T14:37:03Z</dcterms:created>
  <dcterms:modified xsi:type="dcterms:W3CDTF">2026-07-30T06:36:14Z</dcterms:modified>
</cp:coreProperties>
</file>